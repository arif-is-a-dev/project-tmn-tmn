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_produksi_pupuk" sheetId="1" r:id="rId4"/>
    <sheet state="visible" name="Data_Bahan_Organik" sheetId="2" r:id="rId5"/>
    <sheet state="visible" name="Produk_Katalog" sheetId="3" r:id="rId6"/>
    <sheet state="visible" name="Data_Produk_Katalog" sheetId="4" r:id="rId7"/>
    <sheet state="visible" name="Data_Penjualan" sheetId="5" r:id="rId8"/>
    <sheet state="visible" name="Data Wilayah_Kalurahan" sheetId="6" r:id="rId9"/>
    <sheet state="visible" name="Data_Wilayah_Padukuhan" sheetId="7" r:id="rId10"/>
    <sheet state="visible" name="Data_Pertanian" sheetId="8" r:id="rId11"/>
    <sheet state="visible" name="Copy of Data_Penjualan" sheetId="9" r:id="rId12"/>
    <sheet state="visible" name="Copy of Data Pertanian_Dummy" sheetId="10" r:id="rId13"/>
    <sheet state="visible" name="Data Pertanian_real" sheetId="11" r:id="rId14"/>
    <sheet state="visible" name="Copy of Data Wilayah_Kalurahan" sheetId="12" r:id="rId15"/>
    <sheet state="visible" name="Copy of Data Wilayah_Padukuhan" sheetId="13" r:id="rId16"/>
  </sheets>
  <definedNames/>
  <calcPr/>
  <extLst>
    <ext uri="GoogleSheetsCustomDataVersion2">
      <go:sheetsCustomData xmlns:go="http://customooxmlschemas.google.com/" r:id="rId17" roundtripDataChecksum="RsgjP//25wkP1qCL6ivzslACBNCwT0kZnk425nGAJLU="/>
    </ext>
  </extLst>
</workbook>
</file>

<file path=xl/sharedStrings.xml><?xml version="1.0" encoding="utf-8"?>
<sst xmlns="http://schemas.openxmlformats.org/spreadsheetml/2006/main" count="21581" uniqueCount="2210">
  <si>
    <t>produksi_id</t>
  </si>
  <si>
    <t>produk_id</t>
  </si>
  <si>
    <t>Nama_Produk</t>
  </si>
  <si>
    <t>bahan_id</t>
  </si>
  <si>
    <t>Jenis_Produk</t>
  </si>
  <si>
    <t>Jumlah_produksi_varian</t>
  </si>
  <si>
    <t>jenis_bahan_organik</t>
  </si>
  <si>
    <t>kategori_bahan</t>
  </si>
  <si>
    <t>Jumlah_produksi_total</t>
  </si>
  <si>
    <t>ketersediaan_id</t>
  </si>
  <si>
    <t>Satuan</t>
  </si>
  <si>
    <t>padukuhan_id</t>
  </si>
  <si>
    <t>Kapasitas-produk</t>
  </si>
  <si>
    <t>Bahan_baku_aktif</t>
  </si>
  <si>
    <t>periode</t>
  </si>
  <si>
    <t>Deskripsi</t>
  </si>
  <si>
    <t>jumlah_ketersediaan</t>
  </si>
  <si>
    <t>Bahan_baku</t>
  </si>
  <si>
    <t>Manfaat</t>
  </si>
  <si>
    <t>jumlah_bahan_baku</t>
  </si>
  <si>
    <t>satuan</t>
  </si>
  <si>
    <t>Harga</t>
  </si>
  <si>
    <t>Periode_produksi</t>
  </si>
  <si>
    <t>Ukuran_Kemasan</t>
  </si>
  <si>
    <t>Stok</t>
  </si>
  <si>
    <t>kontinuitas</t>
  </si>
  <si>
    <t>Produsen</t>
  </si>
  <si>
    <t>status_data</t>
  </si>
  <si>
    <t>jarak_ke_produksi_km</t>
  </si>
  <si>
    <t>Lokasi_Produsen</t>
  </si>
  <si>
    <t>Kontak</t>
  </si>
  <si>
    <t>kemudahan_pengumpulan</t>
  </si>
  <si>
    <t>Stok_Ketersediaan</t>
  </si>
  <si>
    <t>status_pemanfaatan</t>
  </si>
  <si>
    <t>Foto Produk</t>
  </si>
  <si>
    <t>PRD001</t>
  </si>
  <si>
    <t>frekuensi</t>
  </si>
  <si>
    <t>musim</t>
  </si>
  <si>
    <t>PRD-001</t>
  </si>
  <si>
    <t>jumlah_sumber</t>
  </si>
  <si>
    <t>PRD-002</t>
  </si>
  <si>
    <t>Probiotik GB Proquatic</t>
  </si>
  <si>
    <t>Probiotik GB Propunic</t>
  </si>
  <si>
    <t>BAH-004</t>
  </si>
  <si>
    <t>Probiotik perikanan</t>
  </si>
  <si>
    <t>Probiotik Organik dan Sanitasi</t>
  </si>
  <si>
    <t>Produk bioteknologi berbasis probiotik yang digunakan pada budidaya ikan dan udang untuk membantu menciptakan kondisi perairan yang stabil melalui aktivitas mikroorganisme pengurai dan mikroorganisme yang bersahabat dengan kehidupan.</t>
  </si>
  <si>
    <t>Membantu menguraikan limbah organik, sisa pakan, kotoran ikan atau udang, mengurangi bau amonia dan skatol, mengurangi lendir dasar tambak/kolam, menekan mikroorganisme patogen, serta membantu meningkatkan kualitas dan produksi ikan dan udang.</t>
  </si>
  <si>
    <t>Dedak</t>
  </si>
  <si>
    <t>Bahan organik pertanian</t>
  </si>
  <si>
    <t>KB-001</t>
  </si>
  <si>
    <t>PAD-006</t>
  </si>
  <si>
    <t>1 L</t>
  </si>
  <si>
    <t>CV. Pendawa Kencana Multi Farm</t>
  </si>
  <si>
    <t>Yogyakarta</t>
  </si>
  <si>
    <t>085.643.596.401 (Agus)</t>
  </si>
  <si>
    <t>Tersedia</t>
  </si>
  <si>
    <t>Foto Produk 1</t>
  </si>
  <si>
    <t>L</t>
  </si>
  <si>
    <t>Produk probiotik yang digunakan sebagai bakteri dekomposisi untuk membantu menguraikan bahan organik, limbah, dan kotoran ternak serta mendukung proses pembuatan pupuk organik.</t>
  </si>
  <si>
    <t>kg</t>
  </si>
  <si>
    <t>Kontinu</t>
  </si>
  <si>
    <t>Lactobacillus, Saccharomyces, Bacillus</t>
  </si>
  <si>
    <t>Membantu mempercepat penguraian bahan organik, mengurangi bau pada kandang dan kotoran ternak, menjadi aktivator pembuatan pupuk organik, membantu mengatasi limbah rumah tangga dan septic tank, serta membantu perawatan saluran dan pengelolaan limbah.</t>
  </si>
  <si>
    <t>Molase, dedak halus, substrat cair fermentasi, mineral pendukung</t>
  </si>
  <si>
    <t>Sedang</t>
  </si>
  <si>
    <t>4.103 kg</t>
  </si>
  <si>
    <t>Belum dimanfaatkan</t>
  </si>
  <si>
    <t>Harian</t>
  </si>
  <si>
    <t>513 L</t>
  </si>
  <si>
    <t>Sepanjang tahun</t>
  </si>
  <si>
    <t>Sintetis</t>
  </si>
  <si>
    <t>Sintestis</t>
  </si>
  <si>
    <t>BAH-011</t>
  </si>
  <si>
    <t>PRD002</t>
  </si>
  <si>
    <t>Kompos organik</t>
  </si>
  <si>
    <t>Kompos</t>
  </si>
  <si>
    <t>KB-002</t>
  </si>
  <si>
    <t>PAD-017</t>
  </si>
  <si>
    <t>Foto Produk 2</t>
  </si>
  <si>
    <t>Tidak kontinu</t>
  </si>
  <si>
    <t>4.446 kg</t>
  </si>
  <si>
    <t>PRD-003</t>
  </si>
  <si>
    <t>556 L</t>
  </si>
  <si>
    <t>Probiotik GB Profeed Untuk Ternak Sehat Gemuk</t>
  </si>
  <si>
    <t>PRD003</t>
  </si>
  <si>
    <t>Probiotik Ternak</t>
  </si>
  <si>
    <t>Produk bioteknologi yang mengandung koloni mikroorganisme berupa bakteri, fungi, dan aktinomiset beserta enzim yang digunakan sebagai campuran pakan ternak. Mikroorganisme tersebut bekerja secara enzimatis untuk membantu memecah protein, karbohidrat, dan lemak sehingga nutrien pakan dapat dimanfaatkan dengan lebih optimal.</t>
  </si>
  <si>
    <t>Mudah</t>
  </si>
  <si>
    <t>Sebagian dimanfaatkan</t>
  </si>
  <si>
    <t>Membantu meningkatkan pemanfaatan dan penyerapan nutrisi pakan, meningkatkan kecernaan pakan, mendukung produksi ternak, serta menghasilkan kotoran yang lebih kering dan mengurangi bau. Dokumen mitra menyebut tingkat kecernaan pakan mencapai 20% berdasarkan hasil laboratorium dan pengalaman lapangan.</t>
  </si>
  <si>
    <t>Mingguan</t>
  </si>
  <si>
    <t>Musim panen</t>
  </si>
  <si>
    <t>BAH-001</t>
  </si>
  <si>
    <t>5.163 kg</t>
  </si>
  <si>
    <t>Foto Produk 11</t>
  </si>
  <si>
    <t>Limbah sayuran</t>
  </si>
  <si>
    <t>PRD-004</t>
  </si>
  <si>
    <t>Limbah pertanian/organik</t>
  </si>
  <si>
    <t>Compossap Pupuk Organik Padat dari Kotoran Ternak</t>
  </si>
  <si>
    <t>Pupuk organik padat</t>
  </si>
  <si>
    <t>Pupuk organik yang dihasilkan melalui pengolahan limbah organik pertanian dan peternakan menjadi pupuk organik yang berkualitas dan berdaya guna.</t>
  </si>
  <si>
    <t>Merangsang pertumbuhan tanaman, menyegarkan dan memperbaiki kondisi tanah, memperbaiki porositas, agregat dan permeabilitas tanah, meningkatkan kemampuan tanah mengikat air, menyediakan unsur hara makro dan mikro, serta meningkatkan produktivitas lahan.</t>
  </si>
  <si>
    <t>KB-003</t>
  </si>
  <si>
    <t>PAD-028</t>
  </si>
  <si>
    <t>20 kg</t>
  </si>
  <si>
    <t>Musiman</t>
  </si>
  <si>
    <t>Foto Produk 3</t>
  </si>
  <si>
    <t>Sulit</t>
  </si>
  <si>
    <t>Sudah dimanfaatkan</t>
  </si>
  <si>
    <t>PRD-005</t>
  </si>
  <si>
    <t>Bulanan</t>
  </si>
  <si>
    <t>Tricogem Fungisida Organik</t>
  </si>
  <si>
    <t>Musim tertentu</t>
  </si>
  <si>
    <t>Fungisida organik / agen hayati</t>
  </si>
  <si>
    <t>Agen hayati berbasis Trichoderma yang dikembangkan sebagai fungisida organik untuk membantu pengendalian hama dan penyakit tanaman.</t>
  </si>
  <si>
    <t>BAH-008</t>
  </si>
  <si>
    <t>Membantu mengendalikan penyakit tanaman yang disebabkan oleh fungi serta mendukung pengendalian organisme pengganggu tanaman secara hayati.</t>
  </si>
  <si>
    <t>100 g</t>
  </si>
  <si>
    <t>Sumber karbon organik</t>
  </si>
  <si>
    <t>Bahan organik</t>
  </si>
  <si>
    <t>KB-004</t>
  </si>
  <si>
    <t>Foto Produk 4</t>
  </si>
  <si>
    <t>PAD-039</t>
  </si>
  <si>
    <t>PRD-006</t>
  </si>
  <si>
    <t>Pendawa Subur Pertumbuhan</t>
  </si>
  <si>
    <t>Cukup kontinu</t>
  </si>
  <si>
    <t>Dimanfaatkan sebagai pupuk</t>
  </si>
  <si>
    <t>645 L</t>
  </si>
  <si>
    <t>Pupuk organik cair</t>
  </si>
  <si>
    <t>Pupuk cair organik yang dibuat dari bahan berkualitas melalui proses dekomposisi oleh bakteri pengurai dan digunakan sebagai perangsang pertumbuhan alami tanaman.</t>
  </si>
  <si>
    <t>Membantu merangsang pertumbuhan tanaman serta menyediakan unsur hara yang mendukung pertumbuhan tanaman. Produk juga mengandung klorofil yang mendukung penggunaannya sebagai perangsang pertumbuhan.</t>
  </si>
  <si>
    <t>BAH-015</t>
  </si>
  <si>
    <t>Jerami</t>
  </si>
  <si>
    <t>Limbah pertanian</t>
  </si>
  <si>
    <t>KB-005</t>
  </si>
  <si>
    <t>PAD-050</t>
  </si>
  <si>
    <t>PRD004</t>
  </si>
  <si>
    <t>Foto Produk 5</t>
  </si>
  <si>
    <t>PRD-007</t>
  </si>
  <si>
    <t>Beva Gem</t>
  </si>
  <si>
    <t>Pestisida organik / agen hayati</t>
  </si>
  <si>
    <t>BAH-005</t>
  </si>
  <si>
    <t>Agen hayati berbasis Beauveria bassiana yang digunakan sebagai pestisida organik untuk membantu pengendalian organisme pengganggu tanaman.</t>
  </si>
  <si>
    <t>Membantu mengendalikan hama tanaman melalui pemanfaatan agen hayati dan mendukung pengendalian hama secara lebih selektif.</t>
  </si>
  <si>
    <t>KB-006</t>
  </si>
  <si>
    <t>PAD-061</t>
  </si>
  <si>
    <t>5.605 kg</t>
  </si>
  <si>
    <t>Foto Produk 6</t>
  </si>
  <si>
    <t>701 L</t>
  </si>
  <si>
    <t>PRD-008</t>
  </si>
  <si>
    <t>Metha Gem</t>
  </si>
  <si>
    <t>BAH-012</t>
  </si>
  <si>
    <t>Insektisida organik / agen hayati</t>
  </si>
  <si>
    <t>PRD005</t>
  </si>
  <si>
    <t>Agen hayati berbasis Metharizium yang digunakan sebagai insektisida organik untuk membantu pengendalian hama tanaman.</t>
  </si>
  <si>
    <t>Humus tanah</t>
  </si>
  <si>
    <t>Bahan organik tanah</t>
  </si>
  <si>
    <t>Membantu mengendalikan hama tanaman melalui pemanfaatan agen hayati.</t>
  </si>
  <si>
    <t>KB-007</t>
  </si>
  <si>
    <t>PAD-072</t>
  </si>
  <si>
    <t>Foto Produk 7</t>
  </si>
  <si>
    <t>BAH-002</t>
  </si>
  <si>
    <t>PRD-009</t>
  </si>
  <si>
    <t>Sisa tanaman pertanian</t>
  </si>
  <si>
    <t>Pestisida Organik Pendawa Ampuh</t>
  </si>
  <si>
    <t>Pestisida Organik</t>
  </si>
  <si>
    <t>KB-008</t>
  </si>
  <si>
    <t>Pestisida organik yang mengandung berbagai jenis tanaman, seperti daun mimba, tembakau, dan tanaman alami lainnya, yang digunakan untuk membantu mencegah dan mengendalikan hama serta penyakit tanaman.</t>
  </si>
  <si>
    <t>PAD-010</t>
  </si>
  <si>
    <t>Membantu memberantas hama dan penyakit tanaman, mudah digunakan, aman terhadap lingkungan, serta dapat dikombinasikan dengan metode pengendalian lainnya.</t>
  </si>
  <si>
    <t>6.287 kg</t>
  </si>
  <si>
    <t>786 L</t>
  </si>
  <si>
    <t>PRD006</t>
  </si>
  <si>
    <t>Foto Produk 8</t>
  </si>
  <si>
    <t>PRD-010</t>
  </si>
  <si>
    <t>Pendawa Subur Pembungaan</t>
  </si>
  <si>
    <t>BAH-009</t>
  </si>
  <si>
    <t>Bahan fermentasi organik</t>
  </si>
  <si>
    <t>Pupuk cair organik yang dibuat dari bahan berkualitas melalui proses dekomposisi oleh bakteri pengurai dan digunakan sebagai perangsang alami untuk pembungaan dan pembuahan tanaman.</t>
  </si>
  <si>
    <t>8.160 kg</t>
  </si>
  <si>
    <t>Membantu merangsang pembungaan dan pembuahan tanaman serta mendukung kebutuhan unsur hara tanaman.</t>
  </si>
  <si>
    <t>Bahan fermentasi</t>
  </si>
  <si>
    <t>1.020 L</t>
  </si>
  <si>
    <t>KB-009</t>
  </si>
  <si>
    <t>PAD-021</t>
  </si>
  <si>
    <t>PRD007</t>
  </si>
  <si>
    <t>Foto Produk 9</t>
  </si>
  <si>
    <t>PRD-011</t>
  </si>
  <si>
    <t>Pendawa Subur Tunas (ZpT) Organik</t>
  </si>
  <si>
    <t>Pupuk organik cair untuk benih dan kecambah yang digunakan untuk mendukung tahap awal pertumbuhan tanaman.</t>
  </si>
  <si>
    <t>BAH-016</t>
  </si>
  <si>
    <t>Mendukung perkecambahan benih dan pertumbuhan awal tanaman.</t>
  </si>
  <si>
    <t>Daun mimba</t>
  </si>
  <si>
    <t>Bahan nabati</t>
  </si>
  <si>
    <t>KB-010</t>
  </si>
  <si>
    <t>PAD-032</t>
  </si>
  <si>
    <t>Foto Produk 10</t>
  </si>
  <si>
    <t>BAH-006</t>
  </si>
  <si>
    <t>Bahan organik fermentasi</t>
  </si>
  <si>
    <t>KB-011</t>
  </si>
  <si>
    <t>1.800 kg</t>
  </si>
  <si>
    <t>PAD-043</t>
  </si>
  <si>
    <t>300 L</t>
  </si>
  <si>
    <t>PRD008</t>
  </si>
  <si>
    <t>2.136 kg</t>
  </si>
  <si>
    <t>356 L</t>
  </si>
  <si>
    <t>BAH-013</t>
  </si>
  <si>
    <t>PRD009</t>
  </si>
  <si>
    <t>Bahan tanaman fermentasi</t>
  </si>
  <si>
    <t>KB-012</t>
  </si>
  <si>
    <t>PAD-054</t>
  </si>
  <si>
    <t>3.120 kg</t>
  </si>
  <si>
    <t>520 L</t>
  </si>
  <si>
    <t>PRD010</t>
  </si>
  <si>
    <t>BAH-003</t>
  </si>
  <si>
    <t>Bahan organik rumah tangga</t>
  </si>
  <si>
    <t>Limbah rumah tangga</t>
  </si>
  <si>
    <t>3.726 kg</t>
  </si>
  <si>
    <t>KB-013</t>
  </si>
  <si>
    <t>621 L</t>
  </si>
  <si>
    <t>PAD-065</t>
  </si>
  <si>
    <t>PRD011</t>
  </si>
  <si>
    <t>3.660 kg</t>
  </si>
  <si>
    <t>610 L</t>
  </si>
  <si>
    <t>BAH-010</t>
  </si>
  <si>
    <t>Kompos tanaman</t>
  </si>
  <si>
    <t>PRD012</t>
  </si>
  <si>
    <t>KB-014</t>
  </si>
  <si>
    <t>PAD-003</t>
  </si>
  <si>
    <t>5.526 kg</t>
  </si>
  <si>
    <t>921 L</t>
  </si>
  <si>
    <t>PRD013</t>
  </si>
  <si>
    <t>BAH-017</t>
  </si>
  <si>
    <t>Bahan nabati lokal</t>
  </si>
  <si>
    <t>KB-015</t>
  </si>
  <si>
    <t>Bacillus subtilis, Nitrosomonas, Nitrobacter</t>
  </si>
  <si>
    <t>PAD-014</t>
  </si>
  <si>
    <t>Molase, unsur hara mikro, substrat cair hayati</t>
  </si>
  <si>
    <t>1.270 kg</t>
  </si>
  <si>
    <t>254 L</t>
  </si>
  <si>
    <t>PRD014</t>
  </si>
  <si>
    <t>BAH-007</t>
  </si>
  <si>
    <t>Molase</t>
  </si>
  <si>
    <t>1.700 kg</t>
  </si>
  <si>
    <t>340 L</t>
  </si>
  <si>
    <t>PRD015</t>
  </si>
  <si>
    <t>1.650 kg</t>
  </si>
  <si>
    <t>330 L</t>
  </si>
  <si>
    <t>PRD016</t>
  </si>
  <si>
    <t>1.500 kg</t>
  </si>
  <si>
    <t>KB-016</t>
  </si>
  <si>
    <t>PAD-025</t>
  </si>
  <si>
    <t>PRD017</t>
  </si>
  <si>
    <t>2.600 kg</t>
  </si>
  <si>
    <t>BAH-014</t>
  </si>
  <si>
    <t>Kotoran ternak</t>
  </si>
  <si>
    <t>PRD018</t>
  </si>
  <si>
    <t>Limbah peternakan</t>
  </si>
  <si>
    <t>KB-017</t>
  </si>
  <si>
    <t>PAD-036</t>
  </si>
  <si>
    <t>3.000 kg</t>
  </si>
  <si>
    <t>600 L</t>
  </si>
  <si>
    <t>PRD019</t>
  </si>
  <si>
    <t>KB-018</t>
  </si>
  <si>
    <t>PAD-047</t>
  </si>
  <si>
    <t>Ekstrak organik tinggi Kalium dan Fosfat, mikroba pelarut fosfat</t>
  </si>
  <si>
    <t>Abu sabut kelapa, batuan fosfat organik, ekstrak buah, molase</t>
  </si>
  <si>
    <t>1.327 kg</t>
  </si>
  <si>
    <t>111 L</t>
  </si>
  <si>
    <t>PRD020</t>
  </si>
  <si>
    <t>KB-019</t>
  </si>
  <si>
    <t>PAD-058</t>
  </si>
  <si>
    <t>Nutrisi organik kaya nitrogen, starter mikroba</t>
  </si>
  <si>
    <t>Urin kelinci, ekstrak bahan organik kaya nitrogen, molase</t>
  </si>
  <si>
    <t>1.162 kg</t>
  </si>
  <si>
    <t>97 L</t>
  </si>
  <si>
    <t>PRD021</t>
  </si>
  <si>
    <t>KB-020</t>
  </si>
  <si>
    <t>PAD-069</t>
  </si>
  <si>
    <t>Sitokinin, Auksin, asam humat</t>
  </si>
  <si>
    <t>Ekstrak tanaman, rumput laut, bahan organik sumber asam humat</t>
  </si>
  <si>
    <t>829 kg</t>
  </si>
  <si>
    <t>69 L</t>
  </si>
  <si>
    <t>PRD022</t>
  </si>
  <si>
    <t>KB-021</t>
  </si>
  <si>
    <t>PAD-007</t>
  </si>
  <si>
    <t>1.462 kg</t>
  </si>
  <si>
    <t>122 L</t>
  </si>
  <si>
    <t>PRD023</t>
  </si>
  <si>
    <t>1.278 kg</t>
  </si>
  <si>
    <t>107 L</t>
  </si>
  <si>
    <t>PRD024</t>
  </si>
  <si>
    <t>KB-022</t>
  </si>
  <si>
    <t>PAD-018</t>
  </si>
  <si>
    <t>913 kg</t>
  </si>
  <si>
    <t>76 L</t>
  </si>
  <si>
    <t>KB-023</t>
  </si>
  <si>
    <t>PRD025</t>
  </si>
  <si>
    <t>PAD-029</t>
  </si>
  <si>
    <t>1.537 kg</t>
  </si>
  <si>
    <t>128 L</t>
  </si>
  <si>
    <t>PRD026</t>
  </si>
  <si>
    <t>KB-024</t>
  </si>
  <si>
    <t>1.345 kg</t>
  </si>
  <si>
    <t>PAD-040</t>
  </si>
  <si>
    <t>112 L</t>
  </si>
  <si>
    <t>PRD027</t>
  </si>
  <si>
    <t>960 kg</t>
  </si>
  <si>
    <t>80 L</t>
  </si>
  <si>
    <t>KB-025</t>
  </si>
  <si>
    <t>PRD028</t>
  </si>
  <si>
    <t>PAD-051</t>
  </si>
  <si>
    <t>1.854 kg</t>
  </si>
  <si>
    <t>155 L</t>
  </si>
  <si>
    <t>PRD029</t>
  </si>
  <si>
    <t>KB-026</t>
  </si>
  <si>
    <t>PAD-062</t>
  </si>
  <si>
    <t>1.622 kg</t>
  </si>
  <si>
    <t>135 L</t>
  </si>
  <si>
    <t>PRD030</t>
  </si>
  <si>
    <t>1.158 kg</t>
  </si>
  <si>
    <t>KB-027</t>
  </si>
  <si>
    <t>PRD031</t>
  </si>
  <si>
    <t>PAD-073</t>
  </si>
  <si>
    <t>KB-028</t>
  </si>
  <si>
    <t>PAD-011</t>
  </si>
  <si>
    <t>KB-029</t>
  </si>
  <si>
    <t>PAD-022</t>
  </si>
  <si>
    <t>2.245 kg</t>
  </si>
  <si>
    <t>187 L</t>
  </si>
  <si>
    <t>PRD032</t>
  </si>
  <si>
    <t>1.964 kg</t>
  </si>
  <si>
    <t>164L</t>
  </si>
  <si>
    <t>PRD033</t>
  </si>
  <si>
    <t>KB-030</t>
  </si>
  <si>
    <t>PAD-033</t>
  </si>
  <si>
    <t>1.404 kg</t>
  </si>
  <si>
    <t>117 L</t>
  </si>
  <si>
    <t>PRD034</t>
  </si>
  <si>
    <t>KB-031</t>
  </si>
  <si>
    <t>PAD-044</t>
  </si>
  <si>
    <t>2.681 kg</t>
  </si>
  <si>
    <t>223 L</t>
  </si>
  <si>
    <t>PRD035</t>
  </si>
  <si>
    <t>KB-032</t>
  </si>
  <si>
    <t>PAD-055</t>
  </si>
  <si>
    <t>2.345 kg</t>
  </si>
  <si>
    <t>195 L</t>
  </si>
  <si>
    <t>PRD036</t>
  </si>
  <si>
    <t>1.675 kg</t>
  </si>
  <si>
    <t>140 L</t>
  </si>
  <si>
    <t>PRD037</t>
  </si>
  <si>
    <t>KB-033</t>
  </si>
  <si>
    <t>PAD-066</t>
  </si>
  <si>
    <t>Kg</t>
  </si>
  <si>
    <t>Trichoderma harzianum</t>
  </si>
  <si>
    <t>Beras, jagung halus, carrier cair</t>
  </si>
  <si>
    <t>273 kg</t>
  </si>
  <si>
    <t>25 kg</t>
  </si>
  <si>
    <t>PRD038</t>
  </si>
  <si>
    <t>KB-034</t>
  </si>
  <si>
    <t>Metarhizium anisopliae</t>
  </si>
  <si>
    <t>PAD-004</t>
  </si>
  <si>
    <t>Substrat nutrisi biakan</t>
  </si>
  <si>
    <t>205 kg</t>
  </si>
  <si>
    <t>19 kg</t>
  </si>
  <si>
    <t>PRD039</t>
  </si>
  <si>
    <t>Beauveria bassiana</t>
  </si>
  <si>
    <t>Media nutrisi perbanyakan jamur</t>
  </si>
  <si>
    <t>PRD040</t>
  </si>
  <si>
    <t>KB-035</t>
  </si>
  <si>
    <t>PAD-015</t>
  </si>
  <si>
    <t>322 kg</t>
  </si>
  <si>
    <t>29 kg</t>
  </si>
  <si>
    <t>PRD041</t>
  </si>
  <si>
    <t>KB-036</t>
  </si>
  <si>
    <t>242 kg</t>
  </si>
  <si>
    <t>PAD-026</t>
  </si>
  <si>
    <t>22 kg</t>
  </si>
  <si>
    <t>PRD042</t>
  </si>
  <si>
    <t>241 kg</t>
  </si>
  <si>
    <t>PRD043</t>
  </si>
  <si>
    <t>KB-037</t>
  </si>
  <si>
    <t>332 kg</t>
  </si>
  <si>
    <t>PAD-037</t>
  </si>
  <si>
    <t>30 kg</t>
  </si>
  <si>
    <t>PRD044</t>
  </si>
  <si>
    <t>250 kg</t>
  </si>
  <si>
    <t>23 kg</t>
  </si>
  <si>
    <t>PRD045</t>
  </si>
  <si>
    <t>KB-038</t>
  </si>
  <si>
    <t>PAD-048</t>
  </si>
  <si>
    <t>249 kg</t>
  </si>
  <si>
    <t>PRD046</t>
  </si>
  <si>
    <t>414 kg</t>
  </si>
  <si>
    <t>38 kg</t>
  </si>
  <si>
    <t>PRD047</t>
  </si>
  <si>
    <t>310 kg</t>
  </si>
  <si>
    <t>28 kg</t>
  </si>
  <si>
    <t>KB-039</t>
  </si>
  <si>
    <t>PAD-059</t>
  </si>
  <si>
    <t>PRD048</t>
  </si>
  <si>
    <t>PRD049</t>
  </si>
  <si>
    <t>561 kg</t>
  </si>
  <si>
    <t>51 kg</t>
  </si>
  <si>
    <t>PRD050</t>
  </si>
  <si>
    <t>KB-040</t>
  </si>
  <si>
    <t>PAD-070</t>
  </si>
  <si>
    <t>421 kg</t>
  </si>
  <si>
    <t>PRD051</t>
  </si>
  <si>
    <t>420 kg</t>
  </si>
  <si>
    <t>PRD052</t>
  </si>
  <si>
    <t>KB-041</t>
  </si>
  <si>
    <t>PAD-008</t>
  </si>
  <si>
    <t>625 kg</t>
  </si>
  <si>
    <t>57 kg</t>
  </si>
  <si>
    <t>PRD053</t>
  </si>
  <si>
    <t>469 kg</t>
  </si>
  <si>
    <t>43 kg</t>
  </si>
  <si>
    <t>PRD054</t>
  </si>
  <si>
    <t>KB-042</t>
  </si>
  <si>
    <t>PAD-019</t>
  </si>
  <si>
    <t>PRD055</t>
  </si>
  <si>
    <t>Zak</t>
  </si>
  <si>
    <t>Trichoderma, Aspergillus, bakteri selulolitik</t>
  </si>
  <si>
    <t>Molase, media pembawa organik</t>
  </si>
  <si>
    <t>32.625 kg</t>
  </si>
  <si>
    <t>131 zak</t>
  </si>
  <si>
    <t>KB-043</t>
  </si>
  <si>
    <t>PAD-030</t>
  </si>
  <si>
    <t>PRD056</t>
  </si>
  <si>
    <t>34.575 kg</t>
  </si>
  <si>
    <t>138 zak</t>
  </si>
  <si>
    <t>PRD057</t>
  </si>
  <si>
    <t>KB-044</t>
  </si>
  <si>
    <t>PAD-041</t>
  </si>
  <si>
    <t>39.750 kg</t>
  </si>
  <si>
    <t>159 zak</t>
  </si>
  <si>
    <t>PRD058</t>
  </si>
  <si>
    <t>34.425 kg</t>
  </si>
  <si>
    <t>KB-045</t>
  </si>
  <si>
    <t>PRD059</t>
  </si>
  <si>
    <t>PAD-052</t>
  </si>
  <si>
    <t>35.500 kg</t>
  </si>
  <si>
    <t>142 zak</t>
  </si>
  <si>
    <t>PRD060</t>
  </si>
  <si>
    <t>KB-046</t>
  </si>
  <si>
    <t>80.000 kg</t>
  </si>
  <si>
    <t>PAD-063</t>
  </si>
  <si>
    <t>320 zak</t>
  </si>
  <si>
    <t>PRD061</t>
  </si>
  <si>
    <t>Daun mimba (imba), tembakau, dan tanaman alami lain sebagai bahan penolak hama</t>
  </si>
  <si>
    <t>Daun mimba, bahan nabati lokal, ekstrak tanaman pengendali hama</t>
  </si>
  <si>
    <t>180 kg</t>
  </si>
  <si>
    <t>KB-047</t>
  </si>
  <si>
    <t>60 L</t>
  </si>
  <si>
    <t>PAD-001</t>
  </si>
  <si>
    <t>PRD062</t>
  </si>
  <si>
    <t>195 kg</t>
  </si>
  <si>
    <t>65 L</t>
  </si>
  <si>
    <t>KB-048</t>
  </si>
  <si>
    <t>PRD063</t>
  </si>
  <si>
    <t>PAD-012</t>
  </si>
  <si>
    <t>210 kg</t>
  </si>
  <si>
    <t>70 L</t>
  </si>
  <si>
    <t>PRD064</t>
  </si>
  <si>
    <t>KB-049</t>
  </si>
  <si>
    <t>PAD-023</t>
  </si>
  <si>
    <t>240 kg</t>
  </si>
  <si>
    <t>PRD065</t>
  </si>
  <si>
    <t>270 kg</t>
  </si>
  <si>
    <t>90 L</t>
  </si>
  <si>
    <t>PRD066</t>
  </si>
  <si>
    <t>300 kg</t>
  </si>
  <si>
    <t>100 L</t>
  </si>
  <si>
    <t>KB-050</t>
  </si>
  <si>
    <t>PAD-034</t>
  </si>
  <si>
    <t>KB-051</t>
  </si>
  <si>
    <t>PAD-045</t>
  </si>
  <si>
    <t>KB-052</t>
  </si>
  <si>
    <t>PAD-056</t>
  </si>
  <si>
    <t>KB-053</t>
  </si>
  <si>
    <t>PAD-067</t>
  </si>
  <si>
    <t>KB-054</t>
  </si>
  <si>
    <t>PAD-005</t>
  </si>
  <si>
    <t>KB-055</t>
  </si>
  <si>
    <t>PAD-016</t>
  </si>
  <si>
    <t>KB-056</t>
  </si>
  <si>
    <t>PAD-027</t>
  </si>
  <si>
    <t>KB-057</t>
  </si>
  <si>
    <t>PAD-038</t>
  </si>
  <si>
    <t>KB-058</t>
  </si>
  <si>
    <t>PAD-049</t>
  </si>
  <si>
    <t>KB-059</t>
  </si>
  <si>
    <t>PAD-060</t>
  </si>
  <si>
    <t>KB-060</t>
  </si>
  <si>
    <t>PAD-071</t>
  </si>
  <si>
    <t>KB-061</t>
  </si>
  <si>
    <t>PAD-009</t>
  </si>
  <si>
    <t>KB-062</t>
  </si>
  <si>
    <t>PAD-020</t>
  </si>
  <si>
    <t>KB-063</t>
  </si>
  <si>
    <t>PAD-031</t>
  </si>
  <si>
    <t>KB-064</t>
  </si>
  <si>
    <t>PAD-042</t>
  </si>
  <si>
    <t>KB-065</t>
  </si>
  <si>
    <t>PAD-053</t>
  </si>
  <si>
    <t>KB-066</t>
  </si>
  <si>
    <t>PAD-064</t>
  </si>
  <si>
    <t>KB-067</t>
  </si>
  <si>
    <t>PAD-002</t>
  </si>
  <si>
    <t>KB-068</t>
  </si>
  <si>
    <t>PAD-013</t>
  </si>
  <si>
    <t>KB-069</t>
  </si>
  <si>
    <t>PAD-024</t>
  </si>
  <si>
    <t>KB-070</t>
  </si>
  <si>
    <t>PAD-035</t>
  </si>
  <si>
    <t>KB-071</t>
  </si>
  <si>
    <t>PAD-046</t>
  </si>
  <si>
    <t>KB-072</t>
  </si>
  <si>
    <t>PAD-057</t>
  </si>
  <si>
    <t>KB-073</t>
  </si>
  <si>
    <t>PAD-068</t>
  </si>
  <si>
    <t>KB-074</t>
  </si>
  <si>
    <t>KB-075</t>
  </si>
  <si>
    <t>KB-076</t>
  </si>
  <si>
    <t>KB-077</t>
  </si>
  <si>
    <t>KB-078</t>
  </si>
  <si>
    <t>KB-079</t>
  </si>
  <si>
    <t>KB-080</t>
  </si>
  <si>
    <t>KB-081</t>
  </si>
  <si>
    <t>KB-082</t>
  </si>
  <si>
    <t>KB-083</t>
  </si>
  <si>
    <t>KB-084</t>
  </si>
  <si>
    <t>KB-085</t>
  </si>
  <si>
    <t>KB-086</t>
  </si>
  <si>
    <t>KB-087</t>
  </si>
  <si>
    <t>KB-088</t>
  </si>
  <si>
    <t>Penjualan_id</t>
  </si>
  <si>
    <t>Produk_id</t>
  </si>
  <si>
    <t>Bulan</t>
  </si>
  <si>
    <t>Produk</t>
  </si>
  <si>
    <t>Jumlah_Terjual</t>
  </si>
  <si>
    <t>Harga_Satuan</t>
  </si>
  <si>
    <t>Total_Penjualan</t>
  </si>
  <si>
    <t>Kanal</t>
  </si>
  <si>
    <t>Status_Data</t>
  </si>
  <si>
    <t>SALE-0001</t>
  </si>
  <si>
    <t>Liter</t>
  </si>
  <si>
    <t>Shopee</t>
  </si>
  <si>
    <t>SALE-0002</t>
  </si>
  <si>
    <t>SALE-0003</t>
  </si>
  <si>
    <t>SALE-0004</t>
  </si>
  <si>
    <t>SALE-0005</t>
  </si>
  <si>
    <t>SALE-0006</t>
  </si>
  <si>
    <t>SALE-0007</t>
  </si>
  <si>
    <t>SALE-0008</t>
  </si>
  <si>
    <t>kalurahan_id</t>
  </si>
  <si>
    <t>kalurahan</t>
  </si>
  <si>
    <t>luas_kalurahan_ha</t>
  </si>
  <si>
    <t>SALE-0009</t>
  </si>
  <si>
    <t>jumlah_padukuhan</t>
  </si>
  <si>
    <t>jumlah_rw</t>
  </si>
  <si>
    <t>jumlah_rt</t>
  </si>
  <si>
    <t>batas_utara</t>
  </si>
  <si>
    <t>batas_selatan</t>
  </si>
  <si>
    <t>batas_barat</t>
  </si>
  <si>
    <t>batas_timur</t>
  </si>
  <si>
    <t>jarak_kecamatan_km</t>
  </si>
  <si>
    <t>jarak_kabupaten_km</t>
  </si>
  <si>
    <t>SALE-0010</t>
  </si>
  <si>
    <t>jarak_provinsi_km</t>
  </si>
  <si>
    <t>jarak_nasional_km</t>
  </si>
  <si>
    <t>latitude</t>
  </si>
  <si>
    <t>longitude</t>
  </si>
  <si>
    <t>KAL-001</t>
  </si>
  <si>
    <t>Argomulyo</t>
  </si>
  <si>
    <t>SALE-0011</t>
  </si>
  <si>
    <t>Glagaharjo, Wukirsari</t>
  </si>
  <si>
    <t>Sindumartani, Bimomartani, Kec. Ngemplak</t>
  </si>
  <si>
    <t>Wukirsari</t>
  </si>
  <si>
    <t>Kepurun, Kec. Manisrenggo, Kab. Klaten</t>
  </si>
  <si>
    <t>0.1</t>
  </si>
  <si>
    <t>-7.66833</t>
  </si>
  <si>
    <t>SALE-0012</t>
  </si>
  <si>
    <t>110.46028</t>
  </si>
  <si>
    <t>KAL-002</t>
  </si>
  <si>
    <t>Umbulharjo, Kepuharjo</t>
  </si>
  <si>
    <t>Umbulmartani, Widodomartani, Kec. Ngemplak</t>
  </si>
  <si>
    <t>Pakembinangun, Kec. Pakem</t>
  </si>
  <si>
    <t>Argomulyo, Glagaharjo</t>
  </si>
  <si>
    <t>-7.657916</t>
  </si>
  <si>
    <t>SALE-0013</t>
  </si>
  <si>
    <t>110.443836</t>
  </si>
  <si>
    <t>KAL-003</t>
  </si>
  <si>
    <t>Glagaharjo</t>
  </si>
  <si>
    <t>Kec. Selo, Kab. Boyolali</t>
  </si>
  <si>
    <t>Wukirsari, Kepuharjo</t>
  </si>
  <si>
    <t>Panggang, Bawukan, Balerante, Kec. Kemalang, Kab. Klaten</t>
  </si>
  <si>
    <t>-7.6482628</t>
  </si>
  <si>
    <t>110.4684501</t>
  </si>
  <si>
    <t>KAL-004</t>
  </si>
  <si>
    <t>Kepuharjo</t>
  </si>
  <si>
    <t>SALE-0014</t>
  </si>
  <si>
    <t>Umbulharjo</t>
  </si>
  <si>
    <t>-7.62516805</t>
  </si>
  <si>
    <t>110.45238557</t>
  </si>
  <si>
    <t>KAL-005</t>
  </si>
  <si>
    <t>Hargobinangun, Kec. Pakem</t>
  </si>
  <si>
    <t>-7.625827</t>
  </si>
  <si>
    <t>110.433399</t>
  </si>
  <si>
    <t>SALE-0015</t>
  </si>
  <si>
    <t>SALE-0016</t>
  </si>
  <si>
    <t>SALE-0017</t>
  </si>
  <si>
    <t>SALE-0018</t>
  </si>
  <si>
    <t>SALE-0019</t>
  </si>
  <si>
    <t>SALE-0020</t>
  </si>
  <si>
    <t>padukuhan</t>
  </si>
  <si>
    <t>SALE-0021</t>
  </si>
  <si>
    <t>SALE-0022</t>
  </si>
  <si>
    <t>Randusari</t>
  </si>
  <si>
    <t>SALE-0023</t>
  </si>
  <si>
    <t>-7.679963</t>
  </si>
  <si>
    <t>SALE-0024</t>
  </si>
  <si>
    <t>110.449106</t>
  </si>
  <si>
    <t>Kuwang</t>
  </si>
  <si>
    <t>-7.6593</t>
  </si>
  <si>
    <t>110.4563</t>
  </si>
  <si>
    <t>SALE-0025</t>
  </si>
  <si>
    <t>Panggung</t>
  </si>
  <si>
    <t>-7.66667</t>
  </si>
  <si>
    <t>110.45556</t>
  </si>
  <si>
    <t>SALE-0026</t>
  </si>
  <si>
    <t>Kliwang</t>
  </si>
  <si>
    <t>-7.669722</t>
  </si>
  <si>
    <t>110.456111</t>
  </si>
  <si>
    <t>Teplok</t>
  </si>
  <si>
    <t>SALE-0027</t>
  </si>
  <si>
    <t>-7.669666</t>
  </si>
  <si>
    <t>110.454251</t>
  </si>
  <si>
    <t>Kebur Lor</t>
  </si>
  <si>
    <t>-7.675833</t>
  </si>
  <si>
    <t>SALE-0028</t>
  </si>
  <si>
    <t>Kebur Kidul</t>
  </si>
  <si>
    <t>-7.6775</t>
  </si>
  <si>
    <t>110.4575</t>
  </si>
  <si>
    <t>Sewon</t>
  </si>
  <si>
    <t>SALE-0029</t>
  </si>
  <si>
    <t>-7.685000</t>
  </si>
  <si>
    <t>110.464722</t>
  </si>
  <si>
    <t>Brongkol</t>
  </si>
  <si>
    <t>-7.6784</t>
  </si>
  <si>
    <t>110.4665</t>
  </si>
  <si>
    <t>SALE-0030</t>
  </si>
  <si>
    <t>Cangkringan</t>
  </si>
  <si>
    <t>-7.6800</t>
  </si>
  <si>
    <t>110.4611</t>
  </si>
  <si>
    <t>Jaranan</t>
  </si>
  <si>
    <t>SALE-0031</t>
  </si>
  <si>
    <t>-7.67306</t>
  </si>
  <si>
    <t>110.46472</t>
  </si>
  <si>
    <t>Karanglo</t>
  </si>
  <si>
    <t>-7.670278</t>
  </si>
  <si>
    <t>110.463056</t>
  </si>
  <si>
    <t>SALE-0032</t>
  </si>
  <si>
    <t>Jetis</t>
  </si>
  <si>
    <t>-7.6677</t>
  </si>
  <si>
    <t>110.4629</t>
  </si>
  <si>
    <t>Suruh</t>
  </si>
  <si>
    <t>SALE-0033</t>
  </si>
  <si>
    <t>-7.66478</t>
  </si>
  <si>
    <t>110.46001</t>
  </si>
  <si>
    <t>Bakalan</t>
  </si>
  <si>
    <t>-7.65624</t>
  </si>
  <si>
    <t>110.462</t>
  </si>
  <si>
    <t>SALE-0034</t>
  </si>
  <si>
    <t>Gadingan</t>
  </si>
  <si>
    <t>-7.65547</t>
  </si>
  <si>
    <t>110.46503</t>
  </si>
  <si>
    <t>Banaran</t>
  </si>
  <si>
    <t>SALE-0035</t>
  </si>
  <si>
    <t>-7.6661</t>
  </si>
  <si>
    <t>110.4666</t>
  </si>
  <si>
    <t>Kauman</t>
  </si>
  <si>
    <t>-7.666944</t>
  </si>
  <si>
    <t>110.472500</t>
  </si>
  <si>
    <t>SALE-0036</t>
  </si>
  <si>
    <t>Jiwan</t>
  </si>
  <si>
    <t>-7.6638</t>
  </si>
  <si>
    <t>110.4700</t>
  </si>
  <si>
    <t>Dliring</t>
  </si>
  <si>
    <t>SALE-0037</t>
  </si>
  <si>
    <t>-7.6642</t>
  </si>
  <si>
    <t>110.4715</t>
  </si>
  <si>
    <t>Gayam</t>
  </si>
  <si>
    <t>-7.6596</t>
  </si>
  <si>
    <t>110.4694</t>
  </si>
  <si>
    <t>SALE-0038</t>
  </si>
  <si>
    <t>Mudal</t>
  </si>
  <si>
    <t>-7.65306</t>
  </si>
  <si>
    <t>110.47028</t>
  </si>
  <si>
    <t>SALE-0039</t>
  </si>
  <si>
    <t>Karangpakis</t>
  </si>
  <si>
    <t>SALE-0040</t>
  </si>
  <si>
    <t>-7.66778</t>
  </si>
  <si>
    <t>SALE-0041</t>
  </si>
  <si>
    <t>110.43361</t>
  </si>
  <si>
    <t>SALE-0042</t>
  </si>
  <si>
    <t>Glagahwero</t>
  </si>
  <si>
    <t>-7.66806</t>
  </si>
  <si>
    <t>110.43667</t>
  </si>
  <si>
    <t>agri_id</t>
  </si>
  <si>
    <t>SALE-0043</t>
  </si>
  <si>
    <t>Pusmalang</t>
  </si>
  <si>
    <t>-7.67250</t>
  </si>
  <si>
    <t>110.44028</t>
  </si>
  <si>
    <t>SALE-0044</t>
  </si>
  <si>
    <t>Sruni</t>
  </si>
  <si>
    <t>110.44222</t>
  </si>
  <si>
    <t>komoditas</t>
  </si>
  <si>
    <t>Sintokan</t>
  </si>
  <si>
    <t>kelompok_komoditas</t>
  </si>
  <si>
    <t>SALE-0045</t>
  </si>
  <si>
    <t>-7.66500</t>
  </si>
  <si>
    <t>tahun</t>
  </si>
  <si>
    <t>110.44000</t>
  </si>
  <si>
    <t>luas_panen_ha</t>
  </si>
  <si>
    <t>luas_lahan_ha</t>
  </si>
  <si>
    <t>Rejosari</t>
  </si>
  <si>
    <t>jumlah_petani</t>
  </si>
  <si>
    <t>jumlah_utp</t>
  </si>
  <si>
    <t>-7.65778</t>
  </si>
  <si>
    <t>110.44583</t>
  </si>
  <si>
    <t>SALE-0046</t>
  </si>
  <si>
    <t>jumlah_kelompok_tani</t>
  </si>
  <si>
    <t>Sempon</t>
  </si>
  <si>
    <t>produksi</t>
  </si>
  <si>
    <t>-7.65972</t>
  </si>
  <si>
    <t>110.44750</t>
  </si>
  <si>
    <t>SALE-0047</t>
  </si>
  <si>
    <t>Ngemplak</t>
  </si>
  <si>
    <t>satuan_produksi_q</t>
  </si>
  <si>
    <t>110.45028</t>
  </si>
  <si>
    <t>AGRI-0001</t>
  </si>
  <si>
    <t>Kiyaran</t>
  </si>
  <si>
    <t>-7.65833</t>
  </si>
  <si>
    <t>SALE-0048</t>
  </si>
  <si>
    <t>Cangcangan</t>
  </si>
  <si>
    <t>Bawang Merah</t>
  </si>
  <si>
    <t>Sembungan</t>
  </si>
  <si>
    <t>Hortikultura</t>
  </si>
  <si>
    <t>-7.65861</t>
  </si>
  <si>
    <t>110.43694</t>
  </si>
  <si>
    <t>SALE-0049</t>
  </si>
  <si>
    <t>Tanjung</t>
  </si>
  <si>
    <t>-7.65250</t>
  </si>
  <si>
    <t>110.43528</t>
  </si>
  <si>
    <t>Gram</t>
  </si>
  <si>
    <t>Bedoyo</t>
  </si>
  <si>
    <t>-7.64583</t>
  </si>
  <si>
    <t>SALE-0050</t>
  </si>
  <si>
    <t>110.43333</t>
  </si>
  <si>
    <t>Selorejo</t>
  </si>
  <si>
    <t>kuintal</t>
  </si>
  <si>
    <t>-7.65379</t>
  </si>
  <si>
    <t>110.43572</t>
  </si>
  <si>
    <t>AGRI-0002</t>
  </si>
  <si>
    <t>SALE-0051</t>
  </si>
  <si>
    <t>Plupuh</t>
  </si>
  <si>
    <t>-7.64861</t>
  </si>
  <si>
    <t>110.44361</t>
  </si>
  <si>
    <t>SALE-0052</t>
  </si>
  <si>
    <t>Kregan</t>
  </si>
  <si>
    <t>Besalen</t>
  </si>
  <si>
    <t>-7.64167</t>
  </si>
  <si>
    <t>110.44806</t>
  </si>
  <si>
    <t>Salam Krajan</t>
  </si>
  <si>
    <t>SALE-0053</t>
  </si>
  <si>
    <t>-7.65194</t>
  </si>
  <si>
    <t>110.45389</t>
  </si>
  <si>
    <t>AGRI-0003</t>
  </si>
  <si>
    <t>Cakran</t>
  </si>
  <si>
    <t>Bulaksalak</t>
  </si>
  <si>
    <t>Cabai Keriting</t>
  </si>
  <si>
    <t>-7.65083</t>
  </si>
  <si>
    <t>110.45611</t>
  </si>
  <si>
    <t>SALE-0054</t>
  </si>
  <si>
    <t>Duwet</t>
  </si>
  <si>
    <t>AGRI-0004</t>
  </si>
  <si>
    <t>-7.64833</t>
  </si>
  <si>
    <t>110.45667</t>
  </si>
  <si>
    <t>SALE-0055</t>
  </si>
  <si>
    <t>Gungan</t>
  </si>
  <si>
    <t>-7.64417</t>
  </si>
  <si>
    <t>AGRI-0005</t>
  </si>
  <si>
    <t>110.45722</t>
  </si>
  <si>
    <t>Kencur</t>
  </si>
  <si>
    <t>Tanaman Obat</t>
  </si>
  <si>
    <t>Ngepringan</t>
  </si>
  <si>
    <t>SALE-0056</t>
  </si>
  <si>
    <t>-7.64500</t>
  </si>
  <si>
    <t>110.46194</t>
  </si>
  <si>
    <t>Gondang</t>
  </si>
  <si>
    <t>-7.64722</t>
  </si>
  <si>
    <t>110.46333</t>
  </si>
  <si>
    <t>SALE-0057</t>
  </si>
  <si>
    <t>AGRI-0006</t>
  </si>
  <si>
    <t>Glagah Malang</t>
  </si>
  <si>
    <t>-7.64917</t>
  </si>
  <si>
    <t>SALE-0058</t>
  </si>
  <si>
    <t>Surodadi</t>
  </si>
  <si>
    <t>AGRI-0007</t>
  </si>
  <si>
    <t>-7.66056</t>
  </si>
  <si>
    <t>110.45278</t>
  </si>
  <si>
    <t>AGRI-0008</t>
  </si>
  <si>
    <t>SALE-0059</t>
  </si>
  <si>
    <t>Kunyit</t>
  </si>
  <si>
    <t>AGRI-0009</t>
  </si>
  <si>
    <t>SALE-0060</t>
  </si>
  <si>
    <t>AGRI-0010</t>
  </si>
  <si>
    <t>-7.63750</t>
  </si>
  <si>
    <t>110.43278</t>
  </si>
  <si>
    <t>Srunen</t>
  </si>
  <si>
    <t>SALE-0061</t>
  </si>
  <si>
    <t>AGRI-0011</t>
  </si>
  <si>
    <t>Cabai Rawit</t>
  </si>
  <si>
    <t>SALE-0062</t>
  </si>
  <si>
    <t>AGRI-0012</t>
  </si>
  <si>
    <t>Kalitengah Lor</t>
  </si>
  <si>
    <t>Kepuh</t>
  </si>
  <si>
    <t>SALE-0063</t>
  </si>
  <si>
    <t>AGRI-0013</t>
  </si>
  <si>
    <t>-7.58517</t>
  </si>
  <si>
    <t>SALE-0064</t>
  </si>
  <si>
    <t>AGRI-0014</t>
  </si>
  <si>
    <t>Jahe</t>
  </si>
  <si>
    <t>TOTAL</t>
  </si>
  <si>
    <t>Kalitengah Kidul</t>
  </si>
  <si>
    <t>SALE-0065</t>
  </si>
  <si>
    <t>AGRI-0015</t>
  </si>
  <si>
    <t>Pelemsari</t>
  </si>
  <si>
    <t>Cabai Besar/TW/Teropong</t>
  </si>
  <si>
    <t>-7.59194</t>
  </si>
  <si>
    <t>110.45778</t>
  </si>
  <si>
    <t>SALE-0066</t>
  </si>
  <si>
    <t>AGRI-0016</t>
  </si>
  <si>
    <t>Plosorejo</t>
  </si>
  <si>
    <t>-7.591956</t>
  </si>
  <si>
    <t>110.455256</t>
  </si>
  <si>
    <t>AGRI-0017</t>
  </si>
  <si>
    <t>SALE-0067</t>
  </si>
  <si>
    <t>Singlar</t>
  </si>
  <si>
    <t>-7.6128541</t>
  </si>
  <si>
    <t>110.4604695</t>
  </si>
  <si>
    <t>AGRI-0018</t>
  </si>
  <si>
    <t>SALE-0068</t>
  </si>
  <si>
    <t>Gading</t>
  </si>
  <si>
    <t>-7.6172</t>
  </si>
  <si>
    <t>110.4644</t>
  </si>
  <si>
    <t>AGRI-0019</t>
  </si>
  <si>
    <t>SALE-0069</t>
  </si>
  <si>
    <t>-7.6491</t>
  </si>
  <si>
    <t>110.4578</t>
  </si>
  <si>
    <t>Jetis Sumur</t>
  </si>
  <si>
    <t>-7.6267</t>
  </si>
  <si>
    <t>110.4672</t>
  </si>
  <si>
    <t>SALE-0070</t>
  </si>
  <si>
    <t>Ngancar</t>
  </si>
  <si>
    <t>AGRI-0020</t>
  </si>
  <si>
    <t>-7.639722</t>
  </si>
  <si>
    <t>110.466389</t>
  </si>
  <si>
    <t>Gambretan</t>
  </si>
  <si>
    <t>Banjarsari</t>
  </si>
  <si>
    <t>-7.6461</t>
  </si>
  <si>
    <t>SALE-0071</t>
  </si>
  <si>
    <t>110.4692</t>
  </si>
  <si>
    <t>AGRI-0021</t>
  </si>
  <si>
    <t>-7.650278</t>
  </si>
  <si>
    <t>AGRI-0022</t>
  </si>
  <si>
    <t>SALE-0072</t>
  </si>
  <si>
    <t>AGRI-0023</t>
  </si>
  <si>
    <t>Kaliadem</t>
  </si>
  <si>
    <t>SALE-0073</t>
  </si>
  <si>
    <t>AGRI-0024</t>
  </si>
  <si>
    <t>Manggong</t>
  </si>
  <si>
    <t>SALE-0074</t>
  </si>
  <si>
    <t>-7.62880</t>
  </si>
  <si>
    <t>AGRI-0025</t>
  </si>
  <si>
    <t>110.44661</t>
  </si>
  <si>
    <t>SALE-0075</t>
  </si>
  <si>
    <t>Jambu</t>
  </si>
  <si>
    <t>AGRI-0026</t>
  </si>
  <si>
    <t>-7.6148</t>
  </si>
  <si>
    <t>110.4552</t>
  </si>
  <si>
    <t>Petung</t>
  </si>
  <si>
    <t>-7.6022</t>
  </si>
  <si>
    <t>SALE-0076</t>
  </si>
  <si>
    <t>110.4479</t>
  </si>
  <si>
    <t>AGRI-0027</t>
  </si>
  <si>
    <t>Kopeng</t>
  </si>
  <si>
    <t>-7.611389</t>
  </si>
  <si>
    <t>110.453611</t>
  </si>
  <si>
    <t>AGRI-0028</t>
  </si>
  <si>
    <t>SALE-0077</t>
  </si>
  <si>
    <t>Pangukrejo</t>
  </si>
  <si>
    <t>Batur</t>
  </si>
  <si>
    <t>-7.619502</t>
  </si>
  <si>
    <t>110.454741</t>
  </si>
  <si>
    <t>AGRI-0029</t>
  </si>
  <si>
    <t>SALE-0078</t>
  </si>
  <si>
    <t>AGRI-0030</t>
  </si>
  <si>
    <t>Karanggeneng</t>
  </si>
  <si>
    <t>SALE-0079</t>
  </si>
  <si>
    <t>AGRI-0031</t>
  </si>
  <si>
    <t>SALE-0080</t>
  </si>
  <si>
    <t>AGRI-0032</t>
  </si>
  <si>
    <t>Pagerjurang</t>
  </si>
  <si>
    <t>SALE-0081</t>
  </si>
  <si>
    <t>-7.629444</t>
  </si>
  <si>
    <t>110.447500</t>
  </si>
  <si>
    <t>AGRI-0033</t>
  </si>
  <si>
    <t>-7.622778</t>
  </si>
  <si>
    <t>SALE-0082</t>
  </si>
  <si>
    <t>AGRI-0034</t>
  </si>
  <si>
    <t>110.453056</t>
  </si>
  <si>
    <t>SALE-0083</t>
  </si>
  <si>
    <t>AGRI-0035</t>
  </si>
  <si>
    <t>SALE-0084</t>
  </si>
  <si>
    <t>AGRI-0036</t>
  </si>
  <si>
    <t>SALE-0085</t>
  </si>
  <si>
    <t>AGRI-0037</t>
  </si>
  <si>
    <t>-7.62749</t>
  </si>
  <si>
    <t>110.44744</t>
  </si>
  <si>
    <t>AGRI-0038</t>
  </si>
  <si>
    <t>SALE-0086</t>
  </si>
  <si>
    <t>AGRI-0039</t>
  </si>
  <si>
    <t>Plosokerep</t>
  </si>
  <si>
    <t>SALE-0087</t>
  </si>
  <si>
    <t>AGRI-0040</t>
  </si>
  <si>
    <t>SALE-0088</t>
  </si>
  <si>
    <t>-7.58500</t>
  </si>
  <si>
    <t>AGRI-0041</t>
  </si>
  <si>
    <t>110.442222</t>
  </si>
  <si>
    <t>SALE-0089</t>
  </si>
  <si>
    <t>AGRI-0042</t>
  </si>
  <si>
    <t>-7.5734</t>
  </si>
  <si>
    <t>110.4461</t>
  </si>
  <si>
    <t>-7.623071</t>
  </si>
  <si>
    <t>SALE-0090</t>
  </si>
  <si>
    <t>110.443244</t>
  </si>
  <si>
    <t>AGRI-0043</t>
  </si>
  <si>
    <t>-7.6255</t>
  </si>
  <si>
    <t>110.4330</t>
  </si>
  <si>
    <t>SALE-0091</t>
  </si>
  <si>
    <t>AGRI-0044</t>
  </si>
  <si>
    <t>Balong</t>
  </si>
  <si>
    <t>-7.6217</t>
  </si>
  <si>
    <t>110.4333</t>
  </si>
  <si>
    <t>AGRI-0045</t>
  </si>
  <si>
    <t>SALE-0092</t>
  </si>
  <si>
    <t>-7.6250</t>
  </si>
  <si>
    <t>110.4356</t>
  </si>
  <si>
    <t>AGRI-0046</t>
  </si>
  <si>
    <t>-7.63028</t>
  </si>
  <si>
    <t>SALE-0093</t>
  </si>
  <si>
    <t>110.43306</t>
  </si>
  <si>
    <t>-7.631667</t>
  </si>
  <si>
    <t>AGRI-0047</t>
  </si>
  <si>
    <t>110.444722</t>
  </si>
  <si>
    <t>Pentingsari</t>
  </si>
  <si>
    <t>-7.625</t>
  </si>
  <si>
    <t>0.5</t>
  </si>
  <si>
    <t>110.426</t>
  </si>
  <si>
    <t>SALE-0094</t>
  </si>
  <si>
    <t>AGRI-0048</t>
  </si>
  <si>
    <t>AGRI-0049</t>
  </si>
  <si>
    <t>SALE-0095</t>
  </si>
  <si>
    <t>AGRI-0050</t>
  </si>
  <si>
    <t>AGRI-0051</t>
  </si>
  <si>
    <t>SALE-0096</t>
  </si>
  <si>
    <t>SALE-0097</t>
  </si>
  <si>
    <t>AGRI-0052</t>
  </si>
  <si>
    <t>AGRI-0053</t>
  </si>
  <si>
    <t>SALE-0098</t>
  </si>
  <si>
    <t>AGRI-0054</t>
  </si>
  <si>
    <t>SALE-0099</t>
  </si>
  <si>
    <t>AGRI-0055</t>
  </si>
  <si>
    <t>SALE-0100</t>
  </si>
  <si>
    <t>AGRI-0056</t>
  </si>
  <si>
    <t>SALE-0101</t>
  </si>
  <si>
    <t>AGRI-0057</t>
  </si>
  <si>
    <t>SALE-0102</t>
  </si>
  <si>
    <t>AGRI-0058</t>
  </si>
  <si>
    <t>AGRI-0059</t>
  </si>
  <si>
    <t>SALE-0103</t>
  </si>
  <si>
    <t>AGRI-0060</t>
  </si>
  <si>
    <t>SALE-0104</t>
  </si>
  <si>
    <t>AGRI-0061</t>
  </si>
  <si>
    <t>SALE-0105</t>
  </si>
  <si>
    <t>AGRI-0062</t>
  </si>
  <si>
    <t>SALE-0106</t>
  </si>
  <si>
    <t>AGRI-0063</t>
  </si>
  <si>
    <t>SALE-0107</t>
  </si>
  <si>
    <t>AGRI-0064</t>
  </si>
  <si>
    <t>SALE-0108</t>
  </si>
  <si>
    <t>AGRI-0065</t>
  </si>
  <si>
    <t>SALE-0109</t>
  </si>
  <si>
    <t>AGRI-0066</t>
  </si>
  <si>
    <t>AGRI-0067</t>
  </si>
  <si>
    <t>SALE-0110</t>
  </si>
  <si>
    <t>AGRI-0068</t>
  </si>
  <si>
    <t>SALE-0111</t>
  </si>
  <si>
    <t>AGRI-0069</t>
  </si>
  <si>
    <t>SALE-0112</t>
  </si>
  <si>
    <t>AGRI-0070</t>
  </si>
  <si>
    <t>SALE-0113</t>
  </si>
  <si>
    <t>AGRI-0071</t>
  </si>
  <si>
    <t>SALE-0114</t>
  </si>
  <si>
    <t>AGRI-0072</t>
  </si>
  <si>
    <t>SALE-0115</t>
  </si>
  <si>
    <t>AGRI-0073</t>
  </si>
  <si>
    <t>AGRI-0074</t>
  </si>
  <si>
    <t>SALE-0116</t>
  </si>
  <si>
    <t>AGRI-0075</t>
  </si>
  <si>
    <t>SALE-0117</t>
  </si>
  <si>
    <t>AGRI-0076</t>
  </si>
  <si>
    <t>SALE-0118</t>
  </si>
  <si>
    <t>AGRI-0077</t>
  </si>
  <si>
    <t>SALE-0119</t>
  </si>
  <si>
    <t>AGRI-0078</t>
  </si>
  <si>
    <t>SALE-0120</t>
  </si>
  <si>
    <t>AGRI-0079</t>
  </si>
  <si>
    <t>AGRI-0080</t>
  </si>
  <si>
    <t>SALE-0121</t>
  </si>
  <si>
    <t>AGRI-0081</t>
  </si>
  <si>
    <t>SALE-0122</t>
  </si>
  <si>
    <t>AGRI-0082</t>
  </si>
  <si>
    <t>SALE-0123</t>
  </si>
  <si>
    <t>AGRI-0083</t>
  </si>
  <si>
    <t>SALE-0124</t>
  </si>
  <si>
    <t>AGRI-0084</t>
  </si>
  <si>
    <t>SALE-0125</t>
  </si>
  <si>
    <t>AGRI-0085</t>
  </si>
  <si>
    <t>SALE-0126</t>
  </si>
  <si>
    <t>AGRI-0086</t>
  </si>
  <si>
    <t>AGRI-0087</t>
  </si>
  <si>
    <t>SALE-0127</t>
  </si>
  <si>
    <t>AGRI-0088</t>
  </si>
  <si>
    <t>SALE-0128</t>
  </si>
  <si>
    <t>AGRI-0089</t>
  </si>
  <si>
    <t>SALE-0129</t>
  </si>
  <si>
    <t>AGRI-0090</t>
  </si>
  <si>
    <t>SALE-0130</t>
  </si>
  <si>
    <t>AGRI-0091</t>
  </si>
  <si>
    <t>AGRI-0092</t>
  </si>
  <si>
    <t>SALE-0131</t>
  </si>
  <si>
    <t>AGRI-0093</t>
  </si>
  <si>
    <t>SALE-0132</t>
  </si>
  <si>
    <t>AGRI-0094</t>
  </si>
  <si>
    <t>SALE-0133</t>
  </si>
  <si>
    <t>SALE-0134</t>
  </si>
  <si>
    <t>SALE-0135</t>
  </si>
  <si>
    <t>SALE-0136</t>
  </si>
  <si>
    <t>AGRI-0095</t>
  </si>
  <si>
    <t>AGRI-0096</t>
  </si>
  <si>
    <t>SALE-0137</t>
  </si>
  <si>
    <t>AGRI-0097</t>
  </si>
  <si>
    <t>SALE-0138</t>
  </si>
  <si>
    <t>AGRI-0098</t>
  </si>
  <si>
    <t>SALE-0139</t>
  </si>
  <si>
    <t>AGRI-0099</t>
  </si>
  <si>
    <t>AGRI-0100</t>
  </si>
  <si>
    <t>SALE-0140</t>
  </si>
  <si>
    <t>AGRI-0101</t>
  </si>
  <si>
    <t>SALE-0141</t>
  </si>
  <si>
    <t>AGRI-0102</t>
  </si>
  <si>
    <t>SALE-0142</t>
  </si>
  <si>
    <t>AGRI-0103</t>
  </si>
  <si>
    <t>SALE-0143</t>
  </si>
  <si>
    <t>AGRI-0104</t>
  </si>
  <si>
    <t>AGRI-0105</t>
  </si>
  <si>
    <t>SALE-0144</t>
  </si>
  <si>
    <t>AGRI-0106</t>
  </si>
  <si>
    <t>SALE-0145</t>
  </si>
  <si>
    <t>AGRI-0107</t>
  </si>
  <si>
    <t>SALE-0146</t>
  </si>
  <si>
    <t>AGRI-0108</t>
  </si>
  <si>
    <t>SALE-0147</t>
  </si>
  <si>
    <t>AGRI-0109</t>
  </si>
  <si>
    <t>AGRI-0110</t>
  </si>
  <si>
    <t>SALE-0148</t>
  </si>
  <si>
    <t>AGRI-0111</t>
  </si>
  <si>
    <t>SALE-0149</t>
  </si>
  <si>
    <t>AGRI-0112</t>
  </si>
  <si>
    <t>AGRI-0113</t>
  </si>
  <si>
    <t>Data penjualan yang digunakan dalam pengembangan sistem merupakan data sintetis yang dibangkitkan berdasarkan struktur dan informasi penjualan produk yang tersedia. Data sintetis tersebut digunakan untuk mensimulasikan transaksi penjualan bulanan periode 2020–2025 karena data transaksi historis aktual dari mitra belum tersedia secara lengkap. Data ini digunakan untuk kebutuhan pengembangan, pengujian, analisis, dan demonstrasi sistem, sehingga tidak merepresentasikan transaksi penjualan aktual mitra.</t>
  </si>
  <si>
    <t>SALE-0150</t>
  </si>
  <si>
    <t>AGRI-0114</t>
  </si>
  <si>
    <t>SALE-0151</t>
  </si>
  <si>
    <t>AGRI-0115</t>
  </si>
  <si>
    <t>SALE-0152</t>
  </si>
  <si>
    <t>AGRI-0116</t>
  </si>
  <si>
    <t>SALE-0153</t>
  </si>
  <si>
    <t>AGRI-0117</t>
  </si>
  <si>
    <t>AGRI-0118</t>
  </si>
  <si>
    <t>SALE-0154</t>
  </si>
  <si>
    <t>AGRI-0119</t>
  </si>
  <si>
    <t>SALE-0155</t>
  </si>
  <si>
    <t>AGRI-0120</t>
  </si>
  <si>
    <t>SALE-0156</t>
  </si>
  <si>
    <t>AGRI-0121</t>
  </si>
  <si>
    <t>AGRI-0122</t>
  </si>
  <si>
    <t>SALE-0157</t>
  </si>
  <si>
    <t>AGRI-0123</t>
  </si>
  <si>
    <t>SALE-0158</t>
  </si>
  <si>
    <t>AGRI-0124</t>
  </si>
  <si>
    <t>SALE-0159</t>
  </si>
  <si>
    <t>AGRI-0125</t>
  </si>
  <si>
    <t>SALE-0160</t>
  </si>
  <si>
    <t>AGRI-0126</t>
  </si>
  <si>
    <t>SALE-0161</t>
  </si>
  <si>
    <t>AGRI-0127</t>
  </si>
  <si>
    <t>AGRI-0128</t>
  </si>
  <si>
    <t>SALE-0162</t>
  </si>
  <si>
    <t>AGRI-0129</t>
  </si>
  <si>
    <t>SALE-0163</t>
  </si>
  <si>
    <t>AGRI-0130</t>
  </si>
  <si>
    <t>SALE-0164</t>
  </si>
  <si>
    <t>AGRI-0131</t>
  </si>
  <si>
    <t>SALE-0165</t>
  </si>
  <si>
    <t>AGRI-0132</t>
  </si>
  <si>
    <t>SALE-0166</t>
  </si>
  <si>
    <t>AGRI-0133</t>
  </si>
  <si>
    <t>SALE-0167</t>
  </si>
  <si>
    <t>AGRI-0134</t>
  </si>
  <si>
    <t>sumber</t>
  </si>
  <si>
    <t>catatan</t>
  </si>
  <si>
    <t>AGRI-0135</t>
  </si>
  <si>
    <t>SALE-0168</t>
  </si>
  <si>
    <t>AGRI-0136</t>
  </si>
  <si>
    <t>SALE-0169</t>
  </si>
  <si>
    <t>AGRI-0137</t>
  </si>
  <si>
    <t>SALE-0170</t>
  </si>
  <si>
    <t>AGRI-0138</t>
  </si>
  <si>
    <t>BPS Cangkringan Dalam Angka + ST2023; simulasi sintetis tingkat padukuhan</t>
  </si>
  <si>
    <t>SYNTHETIC</t>
  </si>
  <si>
    <t>SYNTHETIC: angka padukuhan dibuat untuk pengembangan/testing dengan variasi acak; bukan hasil pencacahan lapangan.</t>
  </si>
  <si>
    <t>SALE-0171</t>
  </si>
  <si>
    <t>AGRI-0139</t>
  </si>
  <si>
    <t>SALE-0172</t>
  </si>
  <si>
    <t>AGRI-0140</t>
  </si>
  <si>
    <t>AGRI-0141</t>
  </si>
  <si>
    <t>SALE-0173</t>
  </si>
  <si>
    <t>AGRI-0142</t>
  </si>
  <si>
    <t>SALE-0174</t>
  </si>
  <si>
    <t>AGRI-0143</t>
  </si>
  <si>
    <t>SALE-0175</t>
  </si>
  <si>
    <t>AGRI-0144</t>
  </si>
  <si>
    <t>SALE-0176</t>
  </si>
  <si>
    <t>AGRI-0145</t>
  </si>
  <si>
    <t>SALE-0177</t>
  </si>
  <si>
    <t>AGRI-0146</t>
  </si>
  <si>
    <t>SALE-0178</t>
  </si>
  <si>
    <t>AGRI-0147</t>
  </si>
  <si>
    <t>AGRI-0148</t>
  </si>
  <si>
    <t>SALE-0179</t>
  </si>
  <si>
    <t>AGRI-0149</t>
  </si>
  <si>
    <t>SALE-0180</t>
  </si>
  <si>
    <t>AGRI-0150</t>
  </si>
  <si>
    <t>SALE-0181</t>
  </si>
  <si>
    <t>AGRI-0151</t>
  </si>
  <si>
    <t>SALE-0182</t>
  </si>
  <si>
    <t>AGRI-0152</t>
  </si>
  <si>
    <t>AGRI-0153</t>
  </si>
  <si>
    <t>AGRI-0154</t>
  </si>
  <si>
    <t>AGRI-0155</t>
  </si>
  <si>
    <t>AGRI-0156</t>
  </si>
  <si>
    <t>SALE-0183</t>
  </si>
  <si>
    <t>AGRI-0157</t>
  </si>
  <si>
    <t>SALE-0184</t>
  </si>
  <si>
    <t>AGRI-0158</t>
  </si>
  <si>
    <t>SALE-0185</t>
  </si>
  <si>
    <t>AGRI-0159</t>
  </si>
  <si>
    <t>AGRI-0160</t>
  </si>
  <si>
    <t>SALE-0186</t>
  </si>
  <si>
    <t>AGRI-0161</t>
  </si>
  <si>
    <t>SALE-0187</t>
  </si>
  <si>
    <t>AGRI-0162</t>
  </si>
  <si>
    <t>SALE-0188</t>
  </si>
  <si>
    <t>AGRI-0163</t>
  </si>
  <si>
    <t>SALE-0189</t>
  </si>
  <si>
    <t>AGRI-0164</t>
  </si>
  <si>
    <t>SALE-0190</t>
  </si>
  <si>
    <t>AGRI-0165</t>
  </si>
  <si>
    <t>SALE-0191</t>
  </si>
  <si>
    <t>AGRI-0166</t>
  </si>
  <si>
    <t>AGRI-0167</t>
  </si>
  <si>
    <t>SALE-0192</t>
  </si>
  <si>
    <t>AGRI-0168</t>
  </si>
  <si>
    <t>SALE-0193</t>
  </si>
  <si>
    <t>AGRI-0169</t>
  </si>
  <si>
    <t>SALE-0194</t>
  </si>
  <si>
    <t>AGRI-0170</t>
  </si>
  <si>
    <t>SALE-0195</t>
  </si>
  <si>
    <t>AGRI-0171</t>
  </si>
  <si>
    <t>AGRI-0172</t>
  </si>
  <si>
    <t>SALE-0196</t>
  </si>
  <si>
    <t>AGRI-0173</t>
  </si>
  <si>
    <t>SALE-0197</t>
  </si>
  <si>
    <t>AGRI-0174</t>
  </si>
  <si>
    <t>SALE-0198</t>
  </si>
  <si>
    <t>AGRI-0175</t>
  </si>
  <si>
    <t>AGRI-0176</t>
  </si>
  <si>
    <t>SALE-0199</t>
  </si>
  <si>
    <t>SALE-0200</t>
  </si>
  <si>
    <t>AGRI-0177</t>
  </si>
  <si>
    <t>SALE-0201</t>
  </si>
  <si>
    <t>AGRI-0178</t>
  </si>
  <si>
    <t>AGRI-0179</t>
  </si>
  <si>
    <t>SALE-0202</t>
  </si>
  <si>
    <t>AGRI-0180</t>
  </si>
  <si>
    <t>SALE-0203</t>
  </si>
  <si>
    <t>AGRI-0181</t>
  </si>
  <si>
    <t>SALE-0204</t>
  </si>
  <si>
    <t>AGRI-0182</t>
  </si>
  <si>
    <t>AGRI-0183</t>
  </si>
  <si>
    <t>SALE-0205</t>
  </si>
  <si>
    <t>AGRI-0184</t>
  </si>
  <si>
    <t>SALE-0206</t>
  </si>
  <si>
    <t>AGRI-0185</t>
  </si>
  <si>
    <t>AGRI-0186</t>
  </si>
  <si>
    <t>SALE-0207</t>
  </si>
  <si>
    <t>AGRI-0187</t>
  </si>
  <si>
    <t>SALE-0208</t>
  </si>
  <si>
    <t>AGRI-0188</t>
  </si>
  <si>
    <t>SALE-0209</t>
  </si>
  <si>
    <t>AGRI-0189</t>
  </si>
  <si>
    <t>SALE-0210</t>
  </si>
  <si>
    <t>AGRI-0190</t>
  </si>
  <si>
    <t>SALE-0211</t>
  </si>
  <si>
    <t>AGRI-0191</t>
  </si>
  <si>
    <t>SALE-0212</t>
  </si>
  <si>
    <t>AGRI-0192</t>
  </si>
  <si>
    <t>SALE-0213</t>
  </si>
  <si>
    <t>AGRI-0193</t>
  </si>
  <si>
    <t>SALE-0214</t>
  </si>
  <si>
    <t>AGRI-0194</t>
  </si>
  <si>
    <t>AGRI-0195</t>
  </si>
  <si>
    <t>SALE-0215</t>
  </si>
  <si>
    <t>AGRI-0196</t>
  </si>
  <si>
    <t>SALE-0216</t>
  </si>
  <si>
    <t>AGRI-0197</t>
  </si>
  <si>
    <t>SALE-0217</t>
  </si>
  <si>
    <t>AGRI-0198</t>
  </si>
  <si>
    <t>SALE-0218</t>
  </si>
  <si>
    <t>AGRI-0199</t>
  </si>
  <si>
    <t>SALE-0219</t>
  </si>
  <si>
    <t>AGRI-0200</t>
  </si>
  <si>
    <t>AGRI-0201</t>
  </si>
  <si>
    <t>SALE-0220</t>
  </si>
  <si>
    <t>AGRI-0202</t>
  </si>
  <si>
    <t>SALE-0221</t>
  </si>
  <si>
    <t>AGRI-0203</t>
  </si>
  <si>
    <t>AGRI-0204</t>
  </si>
  <si>
    <t>SALE-0222</t>
  </si>
  <si>
    <t>AGRI-0205</t>
  </si>
  <si>
    <t>SALE-0223</t>
  </si>
  <si>
    <t>AGRI-0206</t>
  </si>
  <si>
    <t>SALE-0224</t>
  </si>
  <si>
    <t>AGRI-0207</t>
  </si>
  <si>
    <t>AGRI-0208</t>
  </si>
  <si>
    <t>SALE-0225</t>
  </si>
  <si>
    <t>AGRI-0209</t>
  </si>
  <si>
    <t>SALE-0226</t>
  </si>
  <si>
    <t>AGRI-0210</t>
  </si>
  <si>
    <t>SALE-0227</t>
  </si>
  <si>
    <t>AGRI-0211</t>
  </si>
  <si>
    <t>SALE-0228</t>
  </si>
  <si>
    <t>AGRI-0212</t>
  </si>
  <si>
    <t>SALE-0229</t>
  </si>
  <si>
    <t>AGRI-0213</t>
  </si>
  <si>
    <t>AGRI-0214</t>
  </si>
  <si>
    <t>SALE-0230</t>
  </si>
  <si>
    <t>AGRI-0215</t>
  </si>
  <si>
    <t>SALE-0231</t>
  </si>
  <si>
    <t>AGRI-0216</t>
  </si>
  <si>
    <t>SALE-0232</t>
  </si>
  <si>
    <t>AGRI-0217</t>
  </si>
  <si>
    <t>SALE-0233</t>
  </si>
  <si>
    <t>AGRI-0218</t>
  </si>
  <si>
    <t>AGRI-0219</t>
  </si>
  <si>
    <t>SALE-0234</t>
  </si>
  <si>
    <t>AGRI-0220</t>
  </si>
  <si>
    <t>SALE-0235</t>
  </si>
  <si>
    <t>AGRI-0221</t>
  </si>
  <si>
    <t>SALE-0236</t>
  </si>
  <si>
    <t>AGRI-0222</t>
  </si>
  <si>
    <t>SALE-0237</t>
  </si>
  <si>
    <t>AGRI-0223</t>
  </si>
  <si>
    <t>SALE-0238</t>
  </si>
  <si>
    <t>AGRI-0224</t>
  </si>
  <si>
    <t>AGRI-0225</t>
  </si>
  <si>
    <t>SALE-0239</t>
  </si>
  <si>
    <t>AGRI-0226</t>
  </si>
  <si>
    <t>SALE-0240</t>
  </si>
  <si>
    <t>AGRI-0227</t>
  </si>
  <si>
    <t>SALE-0241</t>
  </si>
  <si>
    <t>AGRI-0228</t>
  </si>
  <si>
    <t>SALE-0242</t>
  </si>
  <si>
    <t>AGRI-0229</t>
  </si>
  <si>
    <t>AGRI-0230</t>
  </si>
  <si>
    <t>SALE-0243</t>
  </si>
  <si>
    <t>AGRI-0231</t>
  </si>
  <si>
    <t>SALE-0244</t>
  </si>
  <si>
    <t>AGRI-0232</t>
  </si>
  <si>
    <t>SALE-0245</t>
  </si>
  <si>
    <t>AGRI-0233</t>
  </si>
  <si>
    <t>SALE-0246</t>
  </si>
  <si>
    <t>AGRI-0234</t>
  </si>
  <si>
    <t>SALE-0247</t>
  </si>
  <si>
    <t>SALE-0248</t>
  </si>
  <si>
    <t>AGRI-0235</t>
  </si>
  <si>
    <t>SALE-0249</t>
  </si>
  <si>
    <t>AGRI-0236</t>
  </si>
  <si>
    <t>SALE-0250</t>
  </si>
  <si>
    <t>AGRI-0237</t>
  </si>
  <si>
    <t>AGRI-0238</t>
  </si>
  <si>
    <t>SALE-0251</t>
  </si>
  <si>
    <t>AGRI-0239</t>
  </si>
  <si>
    <t>SALE-0252</t>
  </si>
  <si>
    <t>AGRI-0240</t>
  </si>
  <si>
    <t>SALE-0253</t>
  </si>
  <si>
    <t>AGRI-0241</t>
  </si>
  <si>
    <t>SALE-0254</t>
  </si>
  <si>
    <t>AGRI-0242</t>
  </si>
  <si>
    <t>SALE-0255</t>
  </si>
  <si>
    <t>AGRI-0243</t>
  </si>
  <si>
    <t>SALE-0256</t>
  </si>
  <si>
    <t>AGRI-0244</t>
  </si>
  <si>
    <t>AGRI-0245</t>
  </si>
  <si>
    <t>SALE-0257</t>
  </si>
  <si>
    <t>AGRI-0246</t>
  </si>
  <si>
    <t>SALE-0258</t>
  </si>
  <si>
    <t>AGRI-0247</t>
  </si>
  <si>
    <t>SALE-0259</t>
  </si>
  <si>
    <t>AGRI-0248</t>
  </si>
  <si>
    <t>SALE-0260</t>
  </si>
  <si>
    <t>AGRI-0249</t>
  </si>
  <si>
    <t>AGRI-0250</t>
  </si>
  <si>
    <t>SALE-0261</t>
  </si>
  <si>
    <t>AGRI-0251</t>
  </si>
  <si>
    <t>SALE-0262</t>
  </si>
  <si>
    <t>AGRI-0252</t>
  </si>
  <si>
    <t>SALE-0263</t>
  </si>
  <si>
    <t>AGRI-0253</t>
  </si>
  <si>
    <t>SALE-0264</t>
  </si>
  <si>
    <t>AGRI-0254</t>
  </si>
  <si>
    <t>SALE-0265</t>
  </si>
  <si>
    <t>AGRI-0255</t>
  </si>
  <si>
    <t>AGRI-0256</t>
  </si>
  <si>
    <t>AGRI-0257</t>
  </si>
  <si>
    <t>SALE-0266</t>
  </si>
  <si>
    <t>AGRI-0258</t>
  </si>
  <si>
    <t>SALE-0267</t>
  </si>
  <si>
    <t>AGRI-0259</t>
  </si>
  <si>
    <t>SALE-0268</t>
  </si>
  <si>
    <t>AGRI-0260</t>
  </si>
  <si>
    <t>AGRI-0261</t>
  </si>
  <si>
    <t>SALE-0269</t>
  </si>
  <si>
    <t>AGRI-0262</t>
  </si>
  <si>
    <t>SALE-0270</t>
  </si>
  <si>
    <t>AGRI-0263</t>
  </si>
  <si>
    <t>SALE-0271</t>
  </si>
  <si>
    <t>AGRI-0264</t>
  </si>
  <si>
    <t>SALE-0272</t>
  </si>
  <si>
    <t>AGRI-0265</t>
  </si>
  <si>
    <t>SALE-0273</t>
  </si>
  <si>
    <t>AGRI-0266</t>
  </si>
  <si>
    <t>AGRI-0267</t>
  </si>
  <si>
    <t>SALE-0274</t>
  </si>
  <si>
    <t>AGRI-0268</t>
  </si>
  <si>
    <t>SALE-0275</t>
  </si>
  <si>
    <t>AGRI-0269</t>
  </si>
  <si>
    <t>AGRI-0270</t>
  </si>
  <si>
    <t>SALE-0276</t>
  </si>
  <si>
    <t>AGRI-0271</t>
  </si>
  <si>
    <t>SALE-0277</t>
  </si>
  <si>
    <t>AGRI-0272</t>
  </si>
  <si>
    <t>SALE-0278</t>
  </si>
  <si>
    <t>AGRI-0273</t>
  </si>
  <si>
    <t>AGRI-0274</t>
  </si>
  <si>
    <t>SALE-0279</t>
  </si>
  <si>
    <t>AGRI-0275</t>
  </si>
  <si>
    <t>SALE-0280</t>
  </si>
  <si>
    <t>AGRI-0276</t>
  </si>
  <si>
    <t>SALE-0281</t>
  </si>
  <si>
    <t>AGRI-0277</t>
  </si>
  <si>
    <t>SALE-0282</t>
  </si>
  <si>
    <t>AGRI-0278</t>
  </si>
  <si>
    <t>AGRI-0279</t>
  </si>
  <si>
    <t>SALE-0283</t>
  </si>
  <si>
    <t>AGRI-0280</t>
  </si>
  <si>
    <t>SALE-0284</t>
  </si>
  <si>
    <t>AGRI-0281</t>
  </si>
  <si>
    <t>AGRI-0282</t>
  </si>
  <si>
    <t>SALE-0285</t>
  </si>
  <si>
    <t>AGRI-0283</t>
  </si>
  <si>
    <t>SALE-0286</t>
  </si>
  <si>
    <t>AGRI-0284</t>
  </si>
  <si>
    <t>SALE-0287</t>
  </si>
  <si>
    <t>AGRI-0285</t>
  </si>
  <si>
    <t>AGRI-0286</t>
  </si>
  <si>
    <t>SALE-0288</t>
  </si>
  <si>
    <t>AGRI-0287</t>
  </si>
  <si>
    <t>SALE-0289</t>
  </si>
  <si>
    <t>AGRI-0288</t>
  </si>
  <si>
    <t>SALE-0290</t>
  </si>
  <si>
    <t>AGRI-0289</t>
  </si>
  <si>
    <t>SALE-0291</t>
  </si>
  <si>
    <t>AGRI-0290</t>
  </si>
  <si>
    <t>SALE-0292</t>
  </si>
  <si>
    <t>SALE-0293</t>
  </si>
  <si>
    <t>AGRI-0291</t>
  </si>
  <si>
    <t>SALE-0294</t>
  </si>
  <si>
    <t>AGRI-0292</t>
  </si>
  <si>
    <t>AGRI-0293</t>
  </si>
  <si>
    <t>SALE-0295</t>
  </si>
  <si>
    <t>AGRI-0294</t>
  </si>
  <si>
    <t>SALE-0296</t>
  </si>
  <si>
    <t>SALE-0297</t>
  </si>
  <si>
    <t>AGRI-0295</t>
  </si>
  <si>
    <t>SALE-0298</t>
  </si>
  <si>
    <t>AGRI-0296</t>
  </si>
  <si>
    <t>SALE-0299</t>
  </si>
  <si>
    <t>AGRI-0297</t>
  </si>
  <si>
    <t>SALE-0300</t>
  </si>
  <si>
    <t>AGRI-0298</t>
  </si>
  <si>
    <t>AGRI-0299</t>
  </si>
  <si>
    <t>SALE-0301</t>
  </si>
  <si>
    <t>AGRI-0300</t>
  </si>
  <si>
    <t>SALE-0302</t>
  </si>
  <si>
    <t>AGRI-0301</t>
  </si>
  <si>
    <t>SALE-0303</t>
  </si>
  <si>
    <t>AGRI-0302</t>
  </si>
  <si>
    <t>SALE-0304</t>
  </si>
  <si>
    <t>AGRI-0303</t>
  </si>
  <si>
    <t>SALE-0305</t>
  </si>
  <si>
    <t>AGRI-0304</t>
  </si>
  <si>
    <t>AGRI-0305</t>
  </si>
  <si>
    <t>AGRI-0306</t>
  </si>
  <si>
    <t>AGRI-0307</t>
  </si>
  <si>
    <t>AGRI-0308</t>
  </si>
  <si>
    <t>SALE-0306</t>
  </si>
  <si>
    <t>SALE-0307</t>
  </si>
  <si>
    <t>AGRI-0309</t>
  </si>
  <si>
    <t>SALE-0308</t>
  </si>
  <si>
    <t>AGRI-0310</t>
  </si>
  <si>
    <t>AGRI-0311</t>
  </si>
  <si>
    <t>SALE-0309</t>
  </si>
  <si>
    <t>AGRI-0312</t>
  </si>
  <si>
    <t>SALE-0310</t>
  </si>
  <si>
    <t>AGRI-0313</t>
  </si>
  <si>
    <t>SALE-0311</t>
  </si>
  <si>
    <t>AGRI-0314</t>
  </si>
  <si>
    <t>SALE-0312</t>
  </si>
  <si>
    <t>AGRI-0315</t>
  </si>
  <si>
    <t>SALE-0313</t>
  </si>
  <si>
    <t>AGRI-0316</t>
  </si>
  <si>
    <t>AGRI-0317</t>
  </si>
  <si>
    <t>SALE-0314</t>
  </si>
  <si>
    <t>AGRI-0318</t>
  </si>
  <si>
    <t>SALE-0315</t>
  </si>
  <si>
    <t>AGRI-0319</t>
  </si>
  <si>
    <t>SALE-0316</t>
  </si>
  <si>
    <t>AGRI-0320</t>
  </si>
  <si>
    <t>SALE-0317</t>
  </si>
  <si>
    <t>AGRI-0321</t>
  </si>
  <si>
    <t>AGRI-0322</t>
  </si>
  <si>
    <t>SALE-0318</t>
  </si>
  <si>
    <t>AGRI-0323</t>
  </si>
  <si>
    <t>SALE-0319</t>
  </si>
  <si>
    <t>AGRI-0324</t>
  </si>
  <si>
    <t>SALE-0320</t>
  </si>
  <si>
    <t>AGRI-0325</t>
  </si>
  <si>
    <t>SALE-0321</t>
  </si>
  <si>
    <t>AGRI-0326</t>
  </si>
  <si>
    <t>SALE-0322</t>
  </si>
  <si>
    <t>AGRI-0327</t>
  </si>
  <si>
    <t>SALE-0323</t>
  </si>
  <si>
    <t>AGRI-0328</t>
  </si>
  <si>
    <t>AGRI-0329</t>
  </si>
  <si>
    <t>SALE-0324</t>
  </si>
  <si>
    <t>AGRI-0330</t>
  </si>
  <si>
    <t>SALE-0325</t>
  </si>
  <si>
    <t>AGRI-0331</t>
  </si>
  <si>
    <t>SALE-0326</t>
  </si>
  <si>
    <t>AGRI-0332</t>
  </si>
  <si>
    <t>SALE-0327</t>
  </si>
  <si>
    <t>AGRI-0333</t>
  </si>
  <si>
    <t>AGRI-0334</t>
  </si>
  <si>
    <t>SALE-0328</t>
  </si>
  <si>
    <t>AGRI-0335</t>
  </si>
  <si>
    <t>SALE-0329</t>
  </si>
  <si>
    <t>AGRI-0336</t>
  </si>
  <si>
    <t>SALE-0330</t>
  </si>
  <si>
    <t>AGRI-0337</t>
  </si>
  <si>
    <t>SALE-0331</t>
  </si>
  <si>
    <t>AGRI-0338</t>
  </si>
  <si>
    <t>AGRI-0339</t>
  </si>
  <si>
    <t>SALE-0332</t>
  </si>
  <si>
    <t>AGRI-0340</t>
  </si>
  <si>
    <t>SALE-0333</t>
  </si>
  <si>
    <t>AGRI-0341</t>
  </si>
  <si>
    <t>AGRI-0342</t>
  </si>
  <si>
    <t>SALE-0334</t>
  </si>
  <si>
    <t>AGRI-0343</t>
  </si>
  <si>
    <t>SALE-0335</t>
  </si>
  <si>
    <t>AGRI-0344</t>
  </si>
  <si>
    <t>SALE-0336</t>
  </si>
  <si>
    <t>AGRI-0345</t>
  </si>
  <si>
    <t>SALE-0337</t>
  </si>
  <si>
    <t>AGRI-0346</t>
  </si>
  <si>
    <t>SALE-0338</t>
  </si>
  <si>
    <t>AGRI-0347</t>
  </si>
  <si>
    <t>SALE-0339</t>
  </si>
  <si>
    <t>AGRI-0348</t>
  </si>
  <si>
    <t>AGRI-0349</t>
  </si>
  <si>
    <t>SALE-0340</t>
  </si>
  <si>
    <t>AGRI-0350</t>
  </si>
  <si>
    <t>SALE-0341</t>
  </si>
  <si>
    <t>AGRI-0351</t>
  </si>
  <si>
    <t>SALE-0342</t>
  </si>
  <si>
    <t>AGRI-0352</t>
  </si>
  <si>
    <t>SALE-0343</t>
  </si>
  <si>
    <t>AGRI-0353</t>
  </si>
  <si>
    <t>SALE-0344</t>
  </si>
  <si>
    <t>SALE-0345</t>
  </si>
  <si>
    <t>SALE-0346</t>
  </si>
  <si>
    <t>SALE-0347</t>
  </si>
  <si>
    <t>AGRI-0354</t>
  </si>
  <si>
    <t>SALE-0348</t>
  </si>
  <si>
    <t>AGRI-0355</t>
  </si>
  <si>
    <t>SALE-0349</t>
  </si>
  <si>
    <t>AGRI-0356</t>
  </si>
  <si>
    <t>SALE-0350</t>
  </si>
  <si>
    <t>AGRI-0357</t>
  </si>
  <si>
    <t>SALE-0351</t>
  </si>
  <si>
    <t>AGRI-0358</t>
  </si>
  <si>
    <t>SALE-0352</t>
  </si>
  <si>
    <t>AGRI-0359</t>
  </si>
  <si>
    <t>SALE-0353</t>
  </si>
  <si>
    <t>AGRI-0360</t>
  </si>
  <si>
    <t>SALE-0354</t>
  </si>
  <si>
    <t>AGRI-0361</t>
  </si>
  <si>
    <t>SALE-0355</t>
  </si>
  <si>
    <t>AGRI-0362</t>
  </si>
  <si>
    <t>AGRI-0363</t>
  </si>
  <si>
    <t>SALE-0356</t>
  </si>
  <si>
    <t>AGRI-0364</t>
  </si>
  <si>
    <t>SALE-0357</t>
  </si>
  <si>
    <t>AGRI-0365</t>
  </si>
  <si>
    <t>SALE-0358</t>
  </si>
  <si>
    <t>AGRI-0366</t>
  </si>
  <si>
    <t>SALE-0359</t>
  </si>
  <si>
    <t>AGRI-0367</t>
  </si>
  <si>
    <t>SALE-0360</t>
  </si>
  <si>
    <t>AGRI-0368</t>
  </si>
  <si>
    <t>SALE-0361</t>
  </si>
  <si>
    <t>AGRI-0369</t>
  </si>
  <si>
    <t>SALE-0362</t>
  </si>
  <si>
    <t>AGRI-0370</t>
  </si>
  <si>
    <t>SALE-0363</t>
  </si>
  <si>
    <t>AGRI-0371</t>
  </si>
  <si>
    <t>SALE-0364</t>
  </si>
  <si>
    <t>AGRI-0372</t>
  </si>
  <si>
    <t>SALE-0365</t>
  </si>
  <si>
    <t>AGRI-0373</t>
  </si>
  <si>
    <t>SALE-0366</t>
  </si>
  <si>
    <t>AGRI-0374</t>
  </si>
  <si>
    <t>SALE-0367</t>
  </si>
  <si>
    <t>AGRI-0375</t>
  </si>
  <si>
    <t>SALE-0368</t>
  </si>
  <si>
    <t>SALE-0369</t>
  </si>
  <si>
    <t>AGRI-0376</t>
  </si>
  <si>
    <t>SALE-0370</t>
  </si>
  <si>
    <t>AGRI-0377</t>
  </si>
  <si>
    <t>SALE-0371</t>
  </si>
  <si>
    <t>AGRI-0378</t>
  </si>
  <si>
    <t>SALE-0372</t>
  </si>
  <si>
    <t>AGRI-0379</t>
  </si>
  <si>
    <t>SALE-0373</t>
  </si>
  <si>
    <t>AGRI-0380</t>
  </si>
  <si>
    <t>SALE-0374</t>
  </si>
  <si>
    <t>AGRI-0381</t>
  </si>
  <si>
    <t>SALE-0375</t>
  </si>
  <si>
    <t>AGRI-0382</t>
  </si>
  <si>
    <t>AGRI-0383</t>
  </si>
  <si>
    <t>SALE-0376</t>
  </si>
  <si>
    <t>AGRI-0384</t>
  </si>
  <si>
    <t>SALE-0377</t>
  </si>
  <si>
    <t>AGRI-0385</t>
  </si>
  <si>
    <t>SALE-0378</t>
  </si>
  <si>
    <t>AGRI-0386</t>
  </si>
  <si>
    <t>AGRI-0387</t>
  </si>
  <si>
    <t>SALE-0379</t>
  </si>
  <si>
    <t>AGRI-0388</t>
  </si>
  <si>
    <t>SALE-0380</t>
  </si>
  <si>
    <t>AGRI-0389</t>
  </si>
  <si>
    <t>SALE-0381</t>
  </si>
  <si>
    <t>AGRI-0390</t>
  </si>
  <si>
    <t>SALE-0382</t>
  </si>
  <si>
    <t>AGRI-0391</t>
  </si>
  <si>
    <t>AGRI-0392</t>
  </si>
  <si>
    <t>SALE-0383</t>
  </si>
  <si>
    <t>AGRI-0393</t>
  </si>
  <si>
    <t>SALE-0384</t>
  </si>
  <si>
    <t>AGRI-0394</t>
  </si>
  <si>
    <t>AGRI-0395</t>
  </si>
  <si>
    <t>SALE-0385</t>
  </si>
  <si>
    <t>AGRI-0396</t>
  </si>
  <si>
    <t>SALE-0386</t>
  </si>
  <si>
    <t>AGRI-0397</t>
  </si>
  <si>
    <t>SALE-0387</t>
  </si>
  <si>
    <t>AGRI-0398</t>
  </si>
  <si>
    <t>SALE-0388</t>
  </si>
  <si>
    <t>AGRI-0399</t>
  </si>
  <si>
    <t>SALE-0389</t>
  </si>
  <si>
    <t>AGRI-0400</t>
  </si>
  <si>
    <t>SALE-0390</t>
  </si>
  <si>
    <t>AGRI-0401</t>
  </si>
  <si>
    <t>SALE-0391</t>
  </si>
  <si>
    <t>AGRI-0402</t>
  </si>
  <si>
    <t>SALE-0392</t>
  </si>
  <si>
    <t>AGRI-0403</t>
  </si>
  <si>
    <t>SALE-0393</t>
  </si>
  <si>
    <t>SALE-0394</t>
  </si>
  <si>
    <t>AGRI-0404</t>
  </si>
  <si>
    <t>SALE-0395</t>
  </si>
  <si>
    <t>AGRI-0405</t>
  </si>
  <si>
    <t>AGRI-0406</t>
  </si>
  <si>
    <t>AGRI-0407</t>
  </si>
  <si>
    <t>SALE-0396</t>
  </si>
  <si>
    <t>AGRI-0408</t>
  </si>
  <si>
    <t>AGRI-0409</t>
  </si>
  <si>
    <t>SALE-0397</t>
  </si>
  <si>
    <t>AGRI-0410</t>
  </si>
  <si>
    <t>SALE-0398</t>
  </si>
  <si>
    <t>AGRI-0411</t>
  </si>
  <si>
    <t>SALE-0399</t>
  </si>
  <si>
    <t>AGRI-0412</t>
  </si>
  <si>
    <t>AGRI-0413</t>
  </si>
  <si>
    <t>AGRI-0414</t>
  </si>
  <si>
    <t>SALE-0400</t>
  </si>
  <si>
    <t>AGRI-0415</t>
  </si>
  <si>
    <t>SALE-0401</t>
  </si>
  <si>
    <t>AGRI-0416</t>
  </si>
  <si>
    <t>SALE-0402</t>
  </si>
  <si>
    <t>AGRI-0417</t>
  </si>
  <si>
    <t>SALE-0403</t>
  </si>
  <si>
    <t>SALE-0404</t>
  </si>
  <si>
    <t>AGRI-0418</t>
  </si>
  <si>
    <t>SALE-0405</t>
  </si>
  <si>
    <t>AGRI-0419</t>
  </si>
  <si>
    <t>SALE-0406</t>
  </si>
  <si>
    <t>AGRI-0420</t>
  </si>
  <si>
    <t>SALE-0407</t>
  </si>
  <si>
    <t>AGRI-0421</t>
  </si>
  <si>
    <t>SALE-0408</t>
  </si>
  <si>
    <t>AGRI-0422</t>
  </si>
  <si>
    <t>SALE-0409</t>
  </si>
  <si>
    <t>SALE-0410</t>
  </si>
  <si>
    <t>AGRI-0423</t>
  </si>
  <si>
    <t>SALE-0411</t>
  </si>
  <si>
    <t>AGRI-0424</t>
  </si>
  <si>
    <t>SALE-0412</t>
  </si>
  <si>
    <t>AGRI-0425</t>
  </si>
  <si>
    <t>SALE-0413</t>
  </si>
  <si>
    <t>AGRI-0426</t>
  </si>
  <si>
    <t>SALE-0414</t>
  </si>
  <si>
    <t>AGRI-0427</t>
  </si>
  <si>
    <t>SALE-0415</t>
  </si>
  <si>
    <t>AGRI-0428</t>
  </si>
  <si>
    <t>SALE-0416</t>
  </si>
  <si>
    <t>AGRI-0429</t>
  </si>
  <si>
    <t>SALE-0417</t>
  </si>
  <si>
    <t>AGRI-0430</t>
  </si>
  <si>
    <t>SALE-0418</t>
  </si>
  <si>
    <t>AGRI-0431</t>
  </si>
  <si>
    <t>SALE-0419</t>
  </si>
  <si>
    <t>AGRI-0432</t>
  </si>
  <si>
    <t>SALE-0420</t>
  </si>
  <si>
    <t>AGRI-0433</t>
  </si>
  <si>
    <t>SALE-0421</t>
  </si>
  <si>
    <t>AGRI-0434</t>
  </si>
  <si>
    <t>AGRI-0435</t>
  </si>
  <si>
    <t>SALE-0422</t>
  </si>
  <si>
    <t>AGRI-0436</t>
  </si>
  <si>
    <t>SALE-0423</t>
  </si>
  <si>
    <t>AGRI-0437</t>
  </si>
  <si>
    <t>SALE-0424</t>
  </si>
  <si>
    <t>AGRI-0438</t>
  </si>
  <si>
    <t>AGRI-0439</t>
  </si>
  <si>
    <t>SALE-0425</t>
  </si>
  <si>
    <t>AGRI-0440</t>
  </si>
  <si>
    <t>SALE-0426</t>
  </si>
  <si>
    <t>AGRI-0441</t>
  </si>
  <si>
    <t>AGRI-0442</t>
  </si>
  <si>
    <t>SALE-0427</t>
  </si>
  <si>
    <t>AGRI-0443</t>
  </si>
  <si>
    <t>SALE-0428</t>
  </si>
  <si>
    <t>AGRI-0444</t>
  </si>
  <si>
    <t>AGRI-0445</t>
  </si>
  <si>
    <t>SALE-0429</t>
  </si>
  <si>
    <t>SALE-0430</t>
  </si>
  <si>
    <t>SALE-0431</t>
  </si>
  <si>
    <t>AGRI-0446</t>
  </si>
  <si>
    <t>SALE-0432</t>
  </si>
  <si>
    <t>AGRI-0447</t>
  </si>
  <si>
    <t>SALE-0433</t>
  </si>
  <si>
    <t>AGRI-0448</t>
  </si>
  <si>
    <t>SALE-0434</t>
  </si>
  <si>
    <t>AGRI-0449</t>
  </si>
  <si>
    <t>SALE-0435</t>
  </si>
  <si>
    <t>AGRI-0450</t>
  </si>
  <si>
    <t>SALE-0436</t>
  </si>
  <si>
    <t>AGRI-0451</t>
  </si>
  <si>
    <t>SALE-0437</t>
  </si>
  <si>
    <t>SALE-0438</t>
  </si>
  <si>
    <t>SALE-0439</t>
  </si>
  <si>
    <t>SALE-0440</t>
  </si>
  <si>
    <t>SALE-0441</t>
  </si>
  <si>
    <t>AGRI-0452</t>
  </si>
  <si>
    <t>SALE-0442</t>
  </si>
  <si>
    <t>AGRI-0453</t>
  </si>
  <si>
    <t>AGRI-0454</t>
  </si>
  <si>
    <t>AGRI-0455</t>
  </si>
  <si>
    <t>AGRI-0456</t>
  </si>
  <si>
    <t>SALE-0443</t>
  </si>
  <si>
    <t>AGRI-0457</t>
  </si>
  <si>
    <t>AGRI-0458</t>
  </si>
  <si>
    <t>SALE-0444</t>
  </si>
  <si>
    <t>AGRI-0459</t>
  </si>
  <si>
    <t>SALE-0445</t>
  </si>
  <si>
    <t>AGRI-0460</t>
  </si>
  <si>
    <t>AGRI-0461</t>
  </si>
  <si>
    <t>SALE-0446</t>
  </si>
  <si>
    <t>AGRI-0462</t>
  </si>
  <si>
    <t>SALE-0447</t>
  </si>
  <si>
    <t>AGRI-0463</t>
  </si>
  <si>
    <t>SALE-0448</t>
  </si>
  <si>
    <t>AGRI-0464</t>
  </si>
  <si>
    <t>SALE-0449</t>
  </si>
  <si>
    <t>AGRI-0465</t>
  </si>
  <si>
    <t>AGRI-0466</t>
  </si>
  <si>
    <t>SALE-0450</t>
  </si>
  <si>
    <t>AGRI-0467</t>
  </si>
  <si>
    <t>SALE-0451</t>
  </si>
  <si>
    <t>AGRI-0468</t>
  </si>
  <si>
    <t>AGRI-0469</t>
  </si>
  <si>
    <t>SALE-0452</t>
  </si>
  <si>
    <t>AGRI-0470</t>
  </si>
  <si>
    <t>SALE-0453</t>
  </si>
  <si>
    <t>AGRI-0471</t>
  </si>
  <si>
    <t>AGRI-0472</t>
  </si>
  <si>
    <t>SALE-0454</t>
  </si>
  <si>
    <t>SALE-0455</t>
  </si>
  <si>
    <t>AGRI-0473</t>
  </si>
  <si>
    <t>SALE-0456</t>
  </si>
  <si>
    <t>AGRI-0474</t>
  </si>
  <si>
    <t>AGRI-0475</t>
  </si>
  <si>
    <t>SALE-0457</t>
  </si>
  <si>
    <t>AGRI-0476</t>
  </si>
  <si>
    <t>SALE-0458</t>
  </si>
  <si>
    <t>AGRI-0477</t>
  </si>
  <si>
    <t>SALE-0459</t>
  </si>
  <si>
    <t>AGRI-0478</t>
  </si>
  <si>
    <t>SALE-0460</t>
  </si>
  <si>
    <t>AGRI-0479</t>
  </si>
  <si>
    <t>SALE-0461</t>
  </si>
  <si>
    <t>AGRI-0480</t>
  </si>
  <si>
    <t>AGRI-0481</t>
  </si>
  <si>
    <t>SALE-0462</t>
  </si>
  <si>
    <t>AGRI-0482</t>
  </si>
  <si>
    <t>SALE-0463</t>
  </si>
  <si>
    <t>AGRI-0483</t>
  </si>
  <si>
    <t>SALE-0464</t>
  </si>
  <si>
    <t>AGRI-0484</t>
  </si>
  <si>
    <t>AGRI-0485</t>
  </si>
  <si>
    <t>SALE-0465</t>
  </si>
  <si>
    <t>AGRI-0486</t>
  </si>
  <si>
    <t>SALE-0466</t>
  </si>
  <si>
    <t>AGRI-0487</t>
  </si>
  <si>
    <t>SALE-0467</t>
  </si>
  <si>
    <t>AGRI-0488</t>
  </si>
  <si>
    <t>AGRI-0489</t>
  </si>
  <si>
    <t>AGRI-0490</t>
  </si>
  <si>
    <t>AGRI-0491</t>
  </si>
  <si>
    <t>AGRI-0492</t>
  </si>
  <si>
    <t>SALE-0468</t>
  </si>
  <si>
    <t>AGRI-0493</t>
  </si>
  <si>
    <t>SALE-0469</t>
  </si>
  <si>
    <t>AGRI-0494</t>
  </si>
  <si>
    <t>AGRI-0495</t>
  </si>
  <si>
    <t>SALE-0470</t>
  </si>
  <si>
    <t>AGRI-0496</t>
  </si>
  <si>
    <t>SALE-0471</t>
  </si>
  <si>
    <t>AGRI-0497</t>
  </si>
  <si>
    <t>SALE-0472</t>
  </si>
  <si>
    <t>AGRI-0498</t>
  </si>
  <si>
    <t>AGRI-0499</t>
  </si>
  <si>
    <t>SALE-0473</t>
  </si>
  <si>
    <t>AGRI-0500</t>
  </si>
  <si>
    <t>SALE-0474</t>
  </si>
  <si>
    <t>AGRI-0501</t>
  </si>
  <si>
    <t>SALE-0475</t>
  </si>
  <si>
    <t>AGRI-0502</t>
  </si>
  <si>
    <t>SALE-0476</t>
  </si>
  <si>
    <t>AGRI-0503</t>
  </si>
  <si>
    <t>SALE-0477</t>
  </si>
  <si>
    <t>AGRI-0504</t>
  </si>
  <si>
    <t>SALE-0478</t>
  </si>
  <si>
    <t>AGRI-0505</t>
  </si>
  <si>
    <t>AGRI-0506</t>
  </si>
  <si>
    <t>SALE-0479</t>
  </si>
  <si>
    <t>AGRI-0507</t>
  </si>
  <si>
    <t>SALE-0480</t>
  </si>
  <si>
    <t>AGRI-0508</t>
  </si>
  <si>
    <t>SALE-0481</t>
  </si>
  <si>
    <t>AGRI-0509</t>
  </si>
  <si>
    <t>AGRI-0510</t>
  </si>
  <si>
    <t>SALE-0482</t>
  </si>
  <si>
    <t>AGRI-0511</t>
  </si>
  <si>
    <t>SALE-0483</t>
  </si>
  <si>
    <t>SALE-0484</t>
  </si>
  <si>
    <t>SALE-0485</t>
  </si>
  <si>
    <t>SALE-0486</t>
  </si>
  <si>
    <t>SALE-0487</t>
  </si>
  <si>
    <t>SALE-0488</t>
  </si>
  <si>
    <t>SALE-0489</t>
  </si>
  <si>
    <t>SALE-0490</t>
  </si>
  <si>
    <t>SALE-0491</t>
  </si>
  <si>
    <t>SALE-0492</t>
  </si>
  <si>
    <t>SALE-0493</t>
  </si>
  <si>
    <t>SALE-0494</t>
  </si>
  <si>
    <t>SALE-0495</t>
  </si>
  <si>
    <t>SALE-0496</t>
  </si>
  <si>
    <t>SALE-0497</t>
  </si>
  <si>
    <t>SALE-0498</t>
  </si>
  <si>
    <t>SALE-0499</t>
  </si>
  <si>
    <t>SALE-0500</t>
  </si>
  <si>
    <t>SALE-0501</t>
  </si>
  <si>
    <t>SALE-0502</t>
  </si>
  <si>
    <t>SALE-0503</t>
  </si>
  <si>
    <t>SALE-0504</t>
  </si>
  <si>
    <t>SALE-0505</t>
  </si>
  <si>
    <t>SALE-0506</t>
  </si>
  <si>
    <t>SALE-0507</t>
  </si>
  <si>
    <t>SALE-0508</t>
  </si>
  <si>
    <t>SALE-0509</t>
  </si>
  <si>
    <t>SALE-0510</t>
  </si>
  <si>
    <t>SALE-0511</t>
  </si>
  <si>
    <t>wilayah</t>
  </si>
  <si>
    <t>SALE-0512</t>
  </si>
  <si>
    <t>satuan_produksi</t>
  </si>
  <si>
    <t>tahun_produksi</t>
  </si>
  <si>
    <t>tahun_utp</t>
  </si>
  <si>
    <t>SALE-0513</t>
  </si>
  <si>
    <t>sumber_produksi</t>
  </si>
  <si>
    <t>sumber_utp</t>
  </si>
  <si>
    <t>AGR-001</t>
  </si>
  <si>
    <t>Kecamatan Cangkringan</t>
  </si>
  <si>
    <t>0.7</t>
  </si>
  <si>
    <t>SALE-0514</t>
  </si>
  <si>
    <t>BPS Cangkringan Dalam Angka 2025</t>
  </si>
  <si>
    <t>ST2023</t>
  </si>
  <si>
    <t>REAL</t>
  </si>
  <si>
    <t>AGR-002</t>
  </si>
  <si>
    <t>SALE-0515</t>
  </si>
  <si>
    <t>AGR-003</t>
  </si>
  <si>
    <t>SALE-0516</t>
  </si>
  <si>
    <t>Produksi 2024 tidak dilaporkan</t>
  </si>
  <si>
    <t>AGR-004</t>
  </si>
  <si>
    <t>SALE-0517</t>
  </si>
  <si>
    <t>AGR-005</t>
  </si>
  <si>
    <t>SALE-0518</t>
  </si>
  <si>
    <t>Kentang</t>
  </si>
  <si>
    <t>Data tidak dilaporkan</t>
  </si>
  <si>
    <t>AGR-006</t>
  </si>
  <si>
    <t>SALE-0519</t>
  </si>
  <si>
    <t>Kubis</t>
  </si>
  <si>
    <t>SALE-0520</t>
  </si>
  <si>
    <t>AGR-007</t>
  </si>
  <si>
    <t>Tomat</t>
  </si>
  <si>
    <t>AGR-008</t>
  </si>
  <si>
    <t>SALE-0521</t>
  </si>
  <si>
    <t>Bawang Putih</t>
  </si>
  <si>
    <t>SALE-0522</t>
  </si>
  <si>
    <t>UTP 2023 tidak tercatat</t>
  </si>
  <si>
    <t>AGR-009</t>
  </si>
  <si>
    <t>Kacang Panjang</t>
  </si>
  <si>
    <t>SALE-0523</t>
  </si>
  <si>
    <t>AGR-010</t>
  </si>
  <si>
    <t>Melon</t>
  </si>
  <si>
    <t>SALE-0524</t>
  </si>
  <si>
    <t>AGR-011</t>
  </si>
  <si>
    <t>BPS Cangkringan Dalam Angka 2024</t>
  </si>
  <si>
    <t>Produksi merupakan total Jahe</t>
  </si>
  <si>
    <t>SALE-0525</t>
  </si>
  <si>
    <t>AGR-012</t>
  </si>
  <si>
    <t>Lengkuas</t>
  </si>
  <si>
    <t>AGR-013</t>
  </si>
  <si>
    <t>SALE-0526</t>
  </si>
  <si>
    <t>AGR-014</t>
  </si>
  <si>
    <t>SALE-0527</t>
  </si>
  <si>
    <t>SALE-0528</t>
  </si>
  <si>
    <t>SALE-0529</t>
  </si>
  <si>
    <t>SALE-0530</t>
  </si>
  <si>
    <t>SALE-0531</t>
  </si>
  <si>
    <t>SALE-0532</t>
  </si>
  <si>
    <t>SALE-0533</t>
  </si>
  <si>
    <t>SALE-0534</t>
  </si>
  <si>
    <t>SALE-0535</t>
  </si>
  <si>
    <t>SALE-0536</t>
  </si>
  <si>
    <t>SALE-0537</t>
  </si>
  <si>
    <t>SALE-0538</t>
  </si>
  <si>
    <t>SALE-0539</t>
  </si>
  <si>
    <t>SALE-0540</t>
  </si>
  <si>
    <t>SALE-0541</t>
  </si>
  <si>
    <t>SALE-0542</t>
  </si>
  <si>
    <t>SALE-0543</t>
  </si>
  <si>
    <t>SALE-0544</t>
  </si>
  <si>
    <t>SALE-0545</t>
  </si>
  <si>
    <t>SALE-0546</t>
  </si>
  <si>
    <t>SALE-0547</t>
  </si>
  <si>
    <t>SALE-0548</t>
  </si>
  <si>
    <t>SALE-0549</t>
  </si>
  <si>
    <t>SALE-0550</t>
  </si>
  <si>
    <t>SALE-0551</t>
  </si>
  <si>
    <t>SALE-0552</t>
  </si>
  <si>
    <t>SALE-0553</t>
  </si>
  <si>
    <t>SALE-0554</t>
  </si>
  <si>
    <t>SALE-0555</t>
  </si>
  <si>
    <t>SALE-0556</t>
  </si>
  <si>
    <t>SALE-0557</t>
  </si>
  <si>
    <t>SALE-0558</t>
  </si>
  <si>
    <t>SALE-0559</t>
  </si>
  <si>
    <t>SALE-0560</t>
  </si>
  <si>
    <t>SALE-0561</t>
  </si>
  <si>
    <t>SALE-0562</t>
  </si>
  <si>
    <t>SALE-0563</t>
  </si>
  <si>
    <t>SALE-0564</t>
  </si>
  <si>
    <t>SALE-0565</t>
  </si>
  <si>
    <t>SALE-0566</t>
  </si>
  <si>
    <t>SALE-0567</t>
  </si>
  <si>
    <t>SALE-0568</t>
  </si>
  <si>
    <t>SALE-0569</t>
  </si>
  <si>
    <t>SALE-0570</t>
  </si>
  <si>
    <t>SALE-0571</t>
  </si>
  <si>
    <t>SALE-0572</t>
  </si>
  <si>
    <t>SALE-0573</t>
  </si>
  <si>
    <t>SALE-0574</t>
  </si>
  <si>
    <t>SALE-0575</t>
  </si>
  <si>
    <t>SALE-0576</t>
  </si>
  <si>
    <t>SALE-0577</t>
  </si>
  <si>
    <t>SALE-0578</t>
  </si>
  <si>
    <t>SALE-0579</t>
  </si>
  <si>
    <t>SALE-0580</t>
  </si>
  <si>
    <t>SALE-0581</t>
  </si>
  <si>
    <t>SALE-0582</t>
  </si>
  <si>
    <t>SALE-0583</t>
  </si>
  <si>
    <t>SALE-0584</t>
  </si>
  <si>
    <t>SALE-0585</t>
  </si>
  <si>
    <t>SALE-0586</t>
  </si>
  <si>
    <t>SALE-0587</t>
  </si>
  <si>
    <t>SALE-0588</t>
  </si>
  <si>
    <t>SALE-0589</t>
  </si>
  <si>
    <t>SALE-0590</t>
  </si>
  <si>
    <t>SALE-0591</t>
  </si>
  <si>
    <t>SALE-0592</t>
  </si>
  <si>
    <t>SALE-0593</t>
  </si>
  <si>
    <t>sumber_data</t>
  </si>
  <si>
    <t>keterangan</t>
  </si>
  <si>
    <t>SALE-0594</t>
  </si>
  <si>
    <t>SALE-0595</t>
  </si>
  <si>
    <t>SALE-0596</t>
  </si>
  <si>
    <t>SALE-0597</t>
  </si>
  <si>
    <t>Profil Kalurahan Argomulyo</t>
  </si>
  <si>
    <t>SALE-0598</t>
  </si>
  <si>
    <t>SALE-0599</t>
  </si>
  <si>
    <t>Profil Kalurahan Wukirsari</t>
  </si>
  <si>
    <t>SALE-0600</t>
  </si>
  <si>
    <t>SALE-0601</t>
  </si>
  <si>
    <t>Profil Kalurahan Glagaharjo</t>
  </si>
  <si>
    <t>Luas wilayah tidak diisi karena belum digunakan dari sumber yang sudah kita tetapkan</t>
  </si>
  <si>
    <t>SALE-0602</t>
  </si>
  <si>
    <t>SALE-0603</t>
  </si>
  <si>
    <t>Profil Kalurahan Kepuharjo</t>
  </si>
  <si>
    <t>SALE-0604</t>
  </si>
  <si>
    <t>SALE-0605</t>
  </si>
  <si>
    <t>Profil Kalurahan Umbulharjo</t>
  </si>
  <si>
    <t>SALE-0606</t>
  </si>
  <si>
    <t>Kegunaan: menyimpan informasi utama 5 kalurahan di Cangkringan.</t>
  </si>
  <si>
    <t>Untuk: profil wilayah, dashboard, filtering, pengelompokan data, dan relasi dengan data padukuhan/pertanian/bahan organik.</t>
  </si>
  <si>
    <t>SALE-0607</t>
  </si>
  <si>
    <t>Project tetap jalan dengan identitas wilayah (kalurahan/padukuhan) dan data jarak dalam km, bukan koordinat; data wilayah menjadi master untuk menghubungkan data pertanian, bahan organik, produksi, stok, dan penjualan, sedangkan faktor jarak sumber bahan ke lokasi produksi bisa langsung digunakan dalam scoring potensi bahan organik. Jadi latitude–longitude hanya diperlukan kalau nanti ingin membuat fitur peta atau analisis spasial, bukan untuk inti project kamu.</t>
  </si>
  <si>
    <t>SALE-0608</t>
  </si>
  <si>
    <t>SALE-0609</t>
  </si>
  <si>
    <t>SALE-0610</t>
  </si>
  <si>
    <t>SALE-0611</t>
  </si>
  <si>
    <t>SALE-0612</t>
  </si>
  <si>
    <t>SALE-0613</t>
  </si>
  <si>
    <t>SALE-0614</t>
  </si>
  <si>
    <t>SALE-0615</t>
  </si>
  <si>
    <t>SALE-0616</t>
  </si>
  <si>
    <t>SALE-0617</t>
  </si>
  <si>
    <t>SALE-0618</t>
  </si>
  <si>
    <t>SALE-0619</t>
  </si>
  <si>
    <t>SALE-0620</t>
  </si>
  <si>
    <t>SALE-0621</t>
  </si>
  <si>
    <t>SALE-0622</t>
  </si>
  <si>
    <t>SALE-0623</t>
  </si>
  <si>
    <t>SALE-0624</t>
  </si>
  <si>
    <t>SALE-0625</t>
  </si>
  <si>
    <t>SALE-0626</t>
  </si>
  <si>
    <t>SALE-0627</t>
  </si>
  <si>
    <t>SALE-0628</t>
  </si>
  <si>
    <t>SALE-0629</t>
  </si>
  <si>
    <t>SALE-0630</t>
  </si>
  <si>
    <t>SALE-0631</t>
  </si>
  <si>
    <t>SALE-0632</t>
  </si>
  <si>
    <t>SALE-0633</t>
  </si>
  <si>
    <t>SALE-0634</t>
  </si>
  <si>
    <t>SALE-0635</t>
  </si>
  <si>
    <t>SALE-0636</t>
  </si>
  <si>
    <t>SALE-0637</t>
  </si>
  <si>
    <t>SALE-0638</t>
  </si>
  <si>
    <t>SALE-0639</t>
  </si>
  <si>
    <t>SALE-0640</t>
  </si>
  <si>
    <t>SALE-0641</t>
  </si>
  <si>
    <t>SALE-0642</t>
  </si>
  <si>
    <t>SALE-0643</t>
  </si>
  <si>
    <t>SALE-0644</t>
  </si>
  <si>
    <t>SALE-0645</t>
  </si>
  <si>
    <t>SALE-0646</t>
  </si>
  <si>
    <t>SALE-0647</t>
  </si>
  <si>
    <t>SALE-0648</t>
  </si>
  <si>
    <t>SALE-0649</t>
  </si>
  <si>
    <t>SALE-0650</t>
  </si>
  <si>
    <t>SALE-0651</t>
  </si>
  <si>
    <t>SALE-0652</t>
  </si>
  <si>
    <t>SALE-0653</t>
  </si>
  <si>
    <t>SALE-0654</t>
  </si>
  <si>
    <t>SALE-0655</t>
  </si>
  <si>
    <t>SALE-0656</t>
  </si>
  <si>
    <t>SALE-0657</t>
  </si>
  <si>
    <t>SALE-0658</t>
  </si>
  <si>
    <t>SALE-0659</t>
  </si>
  <si>
    <t>SALE-0660</t>
  </si>
  <si>
    <t>SALE-0661</t>
  </si>
  <si>
    <t>SALE-0662</t>
  </si>
  <si>
    <t>SALE-0663</t>
  </si>
  <si>
    <t>SALE-0664</t>
  </si>
  <si>
    <t>SALE-0665</t>
  </si>
  <si>
    <t>SALE-0666</t>
  </si>
  <si>
    <t>SALE-0667</t>
  </si>
  <si>
    <t>SALE-0668</t>
  </si>
  <si>
    <t>SALE-0669</t>
  </si>
  <si>
    <t>SALE-0670</t>
  </si>
  <si>
    <t>SALE-0671</t>
  </si>
  <si>
    <t>SALE-0672</t>
  </si>
  <si>
    <t>SALE-0673</t>
  </si>
  <si>
    <t>SALE-0674</t>
  </si>
  <si>
    <t>SALE-0675</t>
  </si>
  <si>
    <t>SALE-0676</t>
  </si>
  <si>
    <t>SALE-0677</t>
  </si>
  <si>
    <t>SALE-0678</t>
  </si>
  <si>
    <t>SALE-0679</t>
  </si>
  <si>
    <t>SALE-0680</t>
  </si>
  <si>
    <t>SALE-0681</t>
  </si>
  <si>
    <t>SALE-0682</t>
  </si>
  <si>
    <t>SALE-0683</t>
  </si>
  <si>
    <t>SALE-0684</t>
  </si>
  <si>
    <t>SALE-0685</t>
  </si>
  <si>
    <t>SALE-0686</t>
  </si>
  <si>
    <t>SALE-0687</t>
  </si>
  <si>
    <t>SALE-0688</t>
  </si>
  <si>
    <t>SALE-0689</t>
  </si>
  <si>
    <t>SALE-0690</t>
  </si>
  <si>
    <t>SALE-0691</t>
  </si>
  <si>
    <t>SALE-0692</t>
  </si>
  <si>
    <t>SALE-0693</t>
  </si>
  <si>
    <t>SALE-0694</t>
  </si>
  <si>
    <t>SALE-0695</t>
  </si>
  <si>
    <t>SALE-0696</t>
  </si>
  <si>
    <t>SALE-0697</t>
  </si>
  <si>
    <t>SALE-0698</t>
  </si>
  <si>
    <t>SALE-0699</t>
  </si>
  <si>
    <t>SALE-0700</t>
  </si>
  <si>
    <t>SALE-0701</t>
  </si>
  <si>
    <t>SALE-0702</t>
  </si>
  <si>
    <t>SALE-0703</t>
  </si>
  <si>
    <t>SALE-0704</t>
  </si>
  <si>
    <t>SALE-0705</t>
  </si>
  <si>
    <t>SALE-0706</t>
  </si>
  <si>
    <t>SALE-0707</t>
  </si>
  <si>
    <t>SALE-0708</t>
  </si>
  <si>
    <t>SALE-0709</t>
  </si>
  <si>
    <t>sumber_koordinat</t>
  </si>
  <si>
    <t>SALE-0710</t>
  </si>
  <si>
    <t>SALE-0711</t>
  </si>
  <si>
    <t>SALE-0712</t>
  </si>
  <si>
    <t>SALE-0713</t>
  </si>
  <si>
    <t>SALE-0714</t>
  </si>
  <si>
    <t>SALE-0715</t>
  </si>
  <si>
    <t>SALE-0716</t>
  </si>
  <si>
    <t>Google Maps</t>
  </si>
  <si>
    <t>SALE-0717</t>
  </si>
  <si>
    <t>SALE-0718</t>
  </si>
  <si>
    <t>SALE-0719</t>
  </si>
  <si>
    <t>SALE-0720</t>
  </si>
  <si>
    <t>SALE-0721</t>
  </si>
  <si>
    <t>SALE-0722</t>
  </si>
  <si>
    <t>SALE-0723</t>
  </si>
  <si>
    <t>SALE-0724</t>
  </si>
  <si>
    <t>SALE-0725</t>
  </si>
  <si>
    <t>SALE-0726</t>
  </si>
  <si>
    <t>SALE-0727</t>
  </si>
  <si>
    <t>SALE-0728</t>
  </si>
  <si>
    <t>SALE-0729</t>
  </si>
  <si>
    <t>SALE-0730</t>
  </si>
  <si>
    <t>SALE-0731</t>
  </si>
  <si>
    <t>SALE-0732</t>
  </si>
  <si>
    <t>SALE-0733</t>
  </si>
  <si>
    <t>SALE-0734</t>
  </si>
  <si>
    <t>SALE-0735</t>
  </si>
  <si>
    <t>SALE-0736</t>
  </si>
  <si>
    <t>SALE-0737</t>
  </si>
  <si>
    <t>SALE-0738</t>
  </si>
  <si>
    <t>SALE-0739</t>
  </si>
  <si>
    <t>SALE-0740</t>
  </si>
  <si>
    <t>SALE-0741</t>
  </si>
  <si>
    <t>SALE-0742</t>
  </si>
  <si>
    <t>SALE-0743</t>
  </si>
  <si>
    <t>SALE-0744</t>
  </si>
  <si>
    <t>SALE-0745</t>
  </si>
  <si>
    <t>SALE-0746</t>
  </si>
  <si>
    <t>SALE-0747</t>
  </si>
  <si>
    <t>SALE-0748</t>
  </si>
  <si>
    <t>SALE-0749</t>
  </si>
  <si>
    <t>SALE-0750</t>
  </si>
  <si>
    <t>SALE-0751</t>
  </si>
  <si>
    <t>SALE-0752</t>
  </si>
  <si>
    <t>SALE-0753</t>
  </si>
  <si>
    <t>SALE-0754</t>
  </si>
  <si>
    <t>SALE-0755</t>
  </si>
  <si>
    <t>SALE-0756</t>
  </si>
  <si>
    <t>SALE-0757</t>
  </si>
  <si>
    <t>SALE-0758</t>
  </si>
  <si>
    <t>SALE-0759</t>
  </si>
  <si>
    <t>SALE-0760</t>
  </si>
  <si>
    <t>SALE-0761</t>
  </si>
  <si>
    <t>SALE-0762</t>
  </si>
  <si>
    <t>SALE-0763</t>
  </si>
  <si>
    <t>SALE-0764</t>
  </si>
  <si>
    <t>SALE-0765</t>
  </si>
  <si>
    <t>SALE-0766</t>
  </si>
  <si>
    <t>SALE-0767</t>
  </si>
  <si>
    <t>SALE-0768</t>
  </si>
  <si>
    <t>SALE-0769</t>
  </si>
  <si>
    <t>SALE-0770</t>
  </si>
  <si>
    <t>SALE-0771</t>
  </si>
  <si>
    <t>SALE-0772</t>
  </si>
  <si>
    <t>SALE-0773</t>
  </si>
  <si>
    <t>SALE-0774</t>
  </si>
  <si>
    <t>SALE-0775</t>
  </si>
  <si>
    <t>SALE-0776</t>
  </si>
  <si>
    <t>SALE-0777</t>
  </si>
  <si>
    <t>SALE-0778</t>
  </si>
  <si>
    <t>SALE-0779</t>
  </si>
  <si>
    <t>SALE-0780</t>
  </si>
  <si>
    <t>SALE-0781</t>
  </si>
  <si>
    <t>SALE-0782</t>
  </si>
  <si>
    <t>SALE-0783</t>
  </si>
  <si>
    <t>SALE-0784</t>
  </si>
  <si>
    <t>SALE-0785</t>
  </si>
  <si>
    <t>SALE-0786</t>
  </si>
  <si>
    <t>SALE-0787</t>
  </si>
  <si>
    <t>SALE-0788</t>
  </si>
  <si>
    <t>SALE-0789</t>
  </si>
  <si>
    <t>SALE-0790</t>
  </si>
  <si>
    <t>SALE-0791</t>
  </si>
  <si>
    <t>SALE-0792</t>
  </si>
  <si>
    <t>sumber :</t>
  </si>
  <si>
    <t>https://slemankab.bps.go.id/id/publication/2025/09/26/1c0207d9c668cfb5a340d838/cangkringan-district-in-figures-2025.html</t>
  </si>
  <si>
    <t>https://slemankab.bps.go.id/id/publication/2024/10/29/41932dae9e99b293342dfd35/complete-enumeration-results-of-the-2023-census-of-agriculture---edition-2--individual-agricultural-holdings-cangkringan-district.html</t>
  </si>
  <si>
    <t>https://slemankab.bps.go.id/id/statistics-table/2/MjE5IzI%3D/jumlah-petani-pengguna-lahan-pertanian-dan-petani-gurem-menurut-kecamatan--orang-.html</t>
  </si>
  <si>
    <t>https://slemankab.bps.go.id/id/publication/2024/09/26/af7cae87b4e78cdb6c0f0622/kecamatan-cangkringan-dalam-angka-2024.html</t>
  </si>
  <si>
    <t>https://cangkringan.slemankab.go.id/monografil</t>
  </si>
  <si>
    <t>https://slemankab.bps.go.id/id/statistics-table/3/U0dKc1owczVSalJ5VFdOMWVETnlVRVJ6YlRJMFp6MDkjMw%3D%3D/produksi-tanaman-buah-buahan-dan-sayuran-tahunan-menurut-kecamatan-dan-jenis-tanaman-di-kabupaten-sleman--2020.html</t>
  </si>
  <si>
    <t>https://slemankab.bps.go.id/id/statistics-table/1/Njc1IzE%3D/jumlah-rumah-tangga-usaha-pertanian-menurut-kecamatan-dan-kelompok-luas-lahan-selain-sawah-yang-dikuasai--rumah-tangga---2023.html</t>
  </si>
  <si>
    <t>Kegunaan: menyimpan daftar 73 padukuhan beserta hubungan ke kalurahannya.</t>
  </si>
  <si>
    <t>Untuk: menghubungkan data pertanian, bahan organik, produksi, stok, dan penjualan berdasarkan lokasi.</t>
  </si>
  <si>
    <t xml:space="preserve">sumber : </t>
  </si>
  <si>
    <t>https://cangkringan.slemankab.go.id/berita</t>
  </si>
  <si>
    <t>https://cangkringan.slemankab.go.id/desa-wukirsari</t>
  </si>
  <si>
    <t>https://cangkringan.slemankab.go.id/desa-glagaharjo</t>
  </si>
  <si>
    <t>https://cangkringan.slemankab.go.id/desa-kepuharjo</t>
  </si>
  <si>
    <t>https://cangkringan.slemankab.go.id/artikel</t>
  </si>
  <si>
    <t>BPS CANGKRINGAN 2024</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</si>
</sst>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quot;Rp&quot;#,##0"/>
    <numFmt numFmtId="165" formatCode="mmmm yyyy"/>
    <numFmt numFmtId="166" formatCode="d.m"/>
    <numFmt numFmtId="167" formatCode="yyyy-mm"/>
  </numFmts>
  <fonts count="10">
    <font>
      <sz val="10.0"/>
      <color rgb="FF000000"/>
      <name val="Arial"/>
      <scheme val="minor"/>
    </font>
    <font>
      <b/>
      <color theme="1"/>
      <name val="Arial"/>
    </font>
    <font>
      <b/>
      <sz val="10.0"/>
      <color theme="1"/>
      <name val="Arial"/>
    </font>
    <font>
      <sz val="11.0"/>
      <color rgb="FF000000"/>
      <name val="Calibri"/>
    </font>
    <font>
      <color theme="1"/>
      <name val="Arial"/>
    </font>
    <font>
      <sz val="10.0"/>
      <color rgb="FF000000"/>
      <name val="Arial"/>
    </font>
    <font>
      <b/>
      <sz val="11.0"/>
      <color rgb="FF000000"/>
      <name val="Calibri"/>
    </font>
    <font>
      <sz val="10.0"/>
      <color theme="1"/>
      <name val="Monospace"/>
    </font>
    <font>
      <color theme="1"/>
      <name val="Arial"/>
      <scheme val="minor"/>
    </font>
    <font>
      <u/>
      <color rgb="FF0000FF"/>
    </font>
  </fonts>
  <fills count="8">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theme="9"/>
        <bgColor theme="9"/>
      </patternFill>
    </fill>
    <fill>
      <patternFill patternType="solid">
        <fgColor rgb="FFC27BA0"/>
        <bgColor rgb="FFC27BA0"/>
      </patternFill>
    </fill>
    <fill>
      <patternFill patternType="solid">
        <fgColor rgb="FF6AA84F"/>
        <bgColor rgb="FF6AA84F"/>
      </patternFill>
    </fill>
    <fill>
      <patternFill patternType="solid">
        <fgColor rgb="FFCC4125"/>
        <bgColor rgb="FFCC4125"/>
      </patternFill>
    </fill>
  </fills>
  <borders count="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rder>
    <border>
      <right style="thin">
        <color rgb="FF000000"/>
      </right>
      <top style="thin">
        <color rgb="FF000000"/>
      </top>
      <bottom style="thin">
        <color rgb="FF000000"/>
      </bottom>
    </border>
  </borders>
  <cellStyleXfs count="1">
    <xf borderId="0" fillId="0" fontId="0" numFmtId="0" applyAlignment="1" applyFont="1"/>
  </cellStyleXfs>
  <cellXfs count="87">
    <xf borderId="0" fillId="0" fontId="0" numFmtId="0" xfId="0" applyAlignment="1" applyFont="1">
      <alignment readingOrder="0" shrinkToFit="0" vertical="bottom" wrapText="0"/>
    </xf>
    <xf borderId="1" fillId="0" fontId="1" numFmtId="0" xfId="0" applyAlignment="1" applyBorder="1" applyFont="1">
      <alignment shrinkToFit="0" vertical="center" wrapText="1"/>
    </xf>
    <xf borderId="1" fillId="0" fontId="2" numFmtId="0" xfId="0" applyAlignment="1" applyBorder="1" applyFont="1">
      <alignment horizontal="center"/>
    </xf>
    <xf borderId="1" fillId="0" fontId="1" numFmtId="0" xfId="0" applyBorder="1" applyFont="1"/>
    <xf borderId="0" fillId="0" fontId="1" numFmtId="0" xfId="0" applyAlignment="1" applyFont="1">
      <alignment horizontal="center" shrinkToFit="0" vertical="center" wrapText="1"/>
    </xf>
    <xf borderId="1" fillId="0" fontId="3" numFmtId="0" xfId="0" applyAlignment="1" applyBorder="1" applyFont="1">
      <alignment shrinkToFit="0" vertical="center" wrapText="1"/>
    </xf>
    <xf borderId="0" fillId="0" fontId="4" numFmtId="0" xfId="0" applyAlignment="1" applyFont="1">
      <alignment horizontal="center" shrinkToFit="0" vertical="top" wrapText="1"/>
    </xf>
    <xf borderId="1" fillId="0" fontId="4" numFmtId="0" xfId="0" applyBorder="1" applyFont="1"/>
    <xf borderId="0" fillId="0" fontId="4" numFmtId="0" xfId="0" applyAlignment="1" applyFont="1">
      <alignment horizontal="left" shrinkToFit="0" vertical="top" wrapText="1"/>
    </xf>
    <xf borderId="1" fillId="0" fontId="5" numFmtId="0" xfId="0" applyAlignment="1" applyBorder="1" applyFont="1">
      <alignment vertical="top"/>
    </xf>
    <xf borderId="1" fillId="0" fontId="4" numFmtId="0" xfId="0" applyAlignment="1" applyBorder="1" applyFont="1">
      <alignment shrinkToFit="0" vertical="center" wrapText="1"/>
    </xf>
    <xf borderId="0" fillId="0" fontId="4" numFmtId="164" xfId="0" applyAlignment="1" applyFont="1" applyNumberFormat="1">
      <alignment horizontal="center" shrinkToFit="0" vertical="top" wrapText="1"/>
    </xf>
    <xf borderId="1" fillId="0" fontId="4" numFmtId="3" xfId="0" applyBorder="1" applyFont="1" applyNumberFormat="1"/>
    <xf borderId="1" fillId="0" fontId="5" numFmtId="165" xfId="0" applyAlignment="1" applyBorder="1" applyFont="1" applyNumberFormat="1">
      <alignment vertical="top"/>
    </xf>
    <xf borderId="1" fillId="0" fontId="5" numFmtId="166" xfId="0" applyAlignment="1" applyBorder="1" applyFont="1" applyNumberFormat="1">
      <alignment vertical="top"/>
    </xf>
    <xf borderId="0" fillId="0" fontId="1" numFmtId="0" xfId="0" applyAlignment="1" applyFont="1">
      <alignment horizontal="center" shrinkToFit="0" vertical="top" wrapText="1"/>
    </xf>
    <xf borderId="0" fillId="0" fontId="1" numFmtId="0" xfId="0" applyAlignment="1" applyFont="1">
      <alignment horizontal="left" shrinkToFit="0" vertical="top" wrapText="1"/>
    </xf>
    <xf borderId="0" fillId="0" fontId="4" numFmtId="0" xfId="0" applyAlignment="1" applyFont="1">
      <alignment shrinkToFit="0" vertical="top" wrapText="1"/>
    </xf>
    <xf borderId="0" fillId="0" fontId="4" numFmtId="164" xfId="0" applyAlignment="1" applyFont="1" applyNumberFormat="1">
      <alignment shrinkToFit="0" vertical="top" wrapText="1"/>
    </xf>
    <xf borderId="0" fillId="0" fontId="4" numFmtId="0" xfId="0" applyAlignment="1" applyFont="1">
      <alignment horizontal="left"/>
    </xf>
    <xf borderId="1" fillId="0" fontId="4" numFmtId="3" xfId="0" applyAlignment="1" applyBorder="1" applyFont="1" applyNumberFormat="1">
      <alignment shrinkToFit="0" vertical="center" wrapText="1"/>
    </xf>
    <xf borderId="0" fillId="0" fontId="4" numFmtId="0" xfId="0" applyAlignment="1" applyFont="1">
      <alignment shrinkToFit="0" vertical="center" wrapText="1"/>
    </xf>
    <xf borderId="0" fillId="0" fontId="6" numFmtId="0" xfId="0" applyAlignment="1" applyFont="1">
      <alignment horizontal="center" shrinkToFit="0" vertical="center" wrapText="1"/>
    </xf>
    <xf borderId="0" fillId="2" fontId="4" numFmtId="0" xfId="0" applyFill="1" applyFont="1"/>
    <xf borderId="0" fillId="2" fontId="1" numFmtId="0" xfId="0" applyAlignment="1" applyFill="1" applyFont="1">
      <alignment horizontal="center"/>
    </xf>
    <xf borderId="0" fillId="0" fontId="4" numFmtId="0" xfId="0" applyFont="1"/>
    <xf borderId="0" fillId="0" fontId="4" numFmtId="167" xfId="0" applyAlignment="1" applyFont="1" applyNumberFormat="1">
      <alignment horizontal="center" shrinkToFit="0" vertical="center" wrapText="1"/>
    </xf>
    <xf borderId="0" fillId="0" fontId="3" numFmtId="0" xfId="0" applyAlignment="1" applyFont="1">
      <alignment shrinkToFit="0" vertical="center" wrapText="1"/>
    </xf>
    <xf borderId="0" fillId="2" fontId="3" numFmtId="0" xfId="0" applyAlignment="1" applyFill="1" applyFont="1">
      <alignment shrinkToFit="0" vertical="bottom" wrapText="1"/>
    </xf>
    <xf borderId="1" fillId="0" fontId="1" numFmtId="0" xfId="0" applyAlignment="1" applyBorder="1" applyFont="1">
      <alignment horizontal="center"/>
    </xf>
    <xf borderId="1" fillId="0" fontId="1" numFmtId="0" xfId="0" applyAlignment="1" applyBorder="1" applyFont="1">
      <alignment horizontal="right"/>
    </xf>
    <xf borderId="1" fillId="0" fontId="4" numFmtId="0" xfId="0" applyAlignment="1" applyBorder="1" applyFont="1">
      <alignment horizontal="right"/>
    </xf>
    <xf borderId="1" fillId="0" fontId="4" numFmtId="49" xfId="0" applyBorder="1" applyFont="1" applyNumberFormat="1"/>
    <xf borderId="1" fillId="0" fontId="4" numFmtId="166" xfId="0" applyAlignment="1" applyBorder="1" applyFont="1" applyNumberFormat="1">
      <alignment horizontal="right"/>
    </xf>
    <xf borderId="0" fillId="0" fontId="4" numFmtId="0" xfId="0" applyAlignment="1" applyFont="1">
      <alignment shrinkToFit="0" wrapText="1"/>
    </xf>
    <xf borderId="0" fillId="0" fontId="4" numFmtId="0" xfId="0" applyAlignment="1" applyFont="1">
      <alignment horizontal="left" shrinkToFit="0" wrapText="1"/>
    </xf>
    <xf borderId="1" fillId="0" fontId="1" numFmtId="49" xfId="0" applyAlignment="1" applyBorder="1" applyFont="1" applyNumberFormat="1">
      <alignment horizontal="right"/>
    </xf>
    <xf borderId="1" fillId="0" fontId="4" numFmtId="49" xfId="0" applyAlignment="1" applyBorder="1" applyFont="1" applyNumberFormat="1">
      <alignment horizontal="right"/>
    </xf>
    <xf borderId="1" fillId="3" fontId="4" numFmtId="0" xfId="0" applyBorder="1" applyFill="1" applyFont="1"/>
    <xf borderId="1" fillId="3" fontId="4" numFmtId="0" xfId="0" applyAlignment="1" applyBorder="1" applyFill="1" applyFont="1">
      <alignment horizontal="right"/>
    </xf>
    <xf borderId="1" fillId="3" fontId="4" numFmtId="49" xfId="0" applyAlignment="1" applyBorder="1" applyFill="1" applyFont="1" applyNumberFormat="1">
      <alignment horizontal="right"/>
    </xf>
    <xf borderId="1" fillId="0" fontId="6" numFmtId="0" xfId="0" applyAlignment="1" applyBorder="1" applyFont="1">
      <alignment horizontal="center" shrinkToFit="0" wrapText="0"/>
    </xf>
    <xf borderId="1" fillId="0" fontId="6" numFmtId="0" xfId="0" applyAlignment="1" applyBorder="1" applyFont="1">
      <alignment horizontal="center" shrinkToFit="0" vertical="top" wrapText="0"/>
    </xf>
    <xf borderId="1" fillId="0" fontId="3" numFmtId="0" xfId="0" applyAlignment="1" applyBorder="1" applyFont="1">
      <alignment shrinkToFit="0" wrapText="0"/>
    </xf>
    <xf borderId="1" fillId="0" fontId="3" numFmtId="0" xfId="0" applyAlignment="1" applyBorder="1" applyFont="1">
      <alignment horizontal="right" shrinkToFit="0" wrapText="0"/>
    </xf>
    <xf borderId="1" fillId="0" fontId="3" numFmtId="0" xfId="0" applyAlignment="1" applyBorder="1" applyFont="1">
      <alignment horizontal="right" shrinkToFit="0" vertical="bottom" wrapText="0"/>
    </xf>
    <xf borderId="1" fillId="0" fontId="3" numFmtId="0" xfId="0" applyAlignment="1" applyBorder="1" applyFont="1">
      <alignment shrinkToFit="0" vertical="bottom" wrapText="0"/>
    </xf>
    <xf borderId="1" fillId="2" fontId="4" numFmtId="0" xfId="0" applyBorder="1" applyFill="1" applyFont="1"/>
    <xf borderId="1" fillId="2" fontId="4" numFmtId="0" xfId="0" applyAlignment="1" applyBorder="1" applyFill="1" applyFont="1">
      <alignment horizontal="right"/>
    </xf>
    <xf borderId="1" fillId="4" fontId="4" numFmtId="0" xfId="0" applyBorder="1" applyFill="1" applyFont="1"/>
    <xf borderId="1" fillId="4" fontId="4" numFmtId="0" xfId="0" applyAlignment="1" applyBorder="1" applyFill="1" applyFont="1">
      <alignment horizontal="right"/>
    </xf>
    <xf borderId="2" fillId="4" fontId="4" numFmtId="0" xfId="0" applyAlignment="1" applyBorder="1" applyFill="1" applyFont="1">
      <alignment horizontal="right"/>
    </xf>
    <xf borderId="3" fillId="4" fontId="4" numFmtId="49" xfId="0" applyAlignment="1" applyBorder="1" applyFill="1" applyFont="1" applyNumberFormat="1">
      <alignment horizontal="right"/>
    </xf>
    <xf borderId="2" fillId="0" fontId="4" numFmtId="0" xfId="0" applyAlignment="1" applyBorder="1" applyFont="1">
      <alignment horizontal="right"/>
    </xf>
    <xf borderId="3" fillId="0" fontId="4" numFmtId="49" xfId="0" applyAlignment="1" applyBorder="1" applyFont="1" applyNumberFormat="1">
      <alignment horizontal="right"/>
    </xf>
    <xf borderId="1" fillId="0" fontId="3" numFmtId="0" xfId="0" applyAlignment="1" applyBorder="1" applyFont="1">
      <alignment shrinkToFit="0" vertical="bottom" wrapText="1"/>
    </xf>
    <xf borderId="1" fillId="5" fontId="4" numFmtId="0" xfId="0" applyBorder="1" applyFill="1" applyFont="1"/>
    <xf borderId="1" fillId="5" fontId="4" numFmtId="0" xfId="0" applyAlignment="1" applyBorder="1" applyFill="1" applyFont="1">
      <alignment horizontal="right"/>
    </xf>
    <xf borderId="2" fillId="5" fontId="4" numFmtId="0" xfId="0" applyAlignment="1" applyBorder="1" applyFill="1" applyFont="1">
      <alignment horizontal="right"/>
    </xf>
    <xf borderId="3" fillId="5" fontId="4" numFmtId="49" xfId="0" applyAlignment="1" applyBorder="1" applyFill="1" applyFont="1" applyNumberFormat="1">
      <alignment horizontal="right"/>
    </xf>
    <xf borderId="1" fillId="0" fontId="7" numFmtId="49" xfId="0" applyAlignment="1" applyBorder="1" applyFont="1" applyNumberFormat="1">
      <alignment horizontal="right"/>
    </xf>
    <xf borderId="1" fillId="6" fontId="4" numFmtId="0" xfId="0" applyBorder="1" applyFill="1" applyFont="1"/>
    <xf borderId="1" fillId="6" fontId="4" numFmtId="0" xfId="0" applyAlignment="1" applyBorder="1" applyFill="1" applyFont="1">
      <alignment horizontal="right"/>
    </xf>
    <xf borderId="4" fillId="6" fontId="4" numFmtId="49" xfId="0" applyAlignment="1" applyBorder="1" applyFill="1" applyFont="1" applyNumberFormat="1">
      <alignment horizontal="right"/>
    </xf>
    <xf borderId="0" fillId="0" fontId="4" numFmtId="49" xfId="0" applyAlignment="1" applyFont="1" applyNumberFormat="1">
      <alignment horizontal="right"/>
    </xf>
    <xf borderId="1" fillId="3" fontId="1" numFmtId="0" xfId="0" applyAlignment="1" applyBorder="1" applyFill="1" applyFont="1">
      <alignment horizontal="center"/>
    </xf>
    <xf borderId="0" fillId="0" fontId="3" numFmtId="0" xfId="0" applyAlignment="1" applyFont="1">
      <alignment horizontal="right" shrinkToFit="0" vertical="bottom" wrapText="0"/>
    </xf>
    <xf borderId="0" fillId="0" fontId="3" numFmtId="0" xfId="0" applyAlignment="1" applyFont="1">
      <alignment shrinkToFit="0" vertical="bottom" wrapText="0"/>
    </xf>
    <xf borderId="1" fillId="0" fontId="3" numFmtId="0" xfId="0" applyAlignment="1" applyBorder="1" applyFont="1">
      <alignment horizontal="right" readingOrder="0" shrinkToFit="0" wrapText="0"/>
    </xf>
    <xf borderId="0" fillId="0" fontId="4" numFmtId="167" xfId="0" applyAlignment="1" applyFont="1" applyNumberFormat="1">
      <alignment horizontal="center"/>
    </xf>
    <xf borderId="0" fillId="0" fontId="8" numFmtId="0" xfId="0" applyAlignment="1" applyFont="1">
      <alignment readingOrder="0"/>
    </xf>
    <xf borderId="5" fillId="0" fontId="3" numFmtId="0" xfId="0" applyAlignment="1" applyBorder="1" applyFont="1">
      <alignment horizontal="right" shrinkToFit="0" vertical="bottom" wrapText="0"/>
    </xf>
    <xf borderId="5" fillId="0" fontId="3" numFmtId="0" xfId="0" applyAlignment="1" applyBorder="1" applyFont="1">
      <alignment shrinkToFit="0" vertical="bottom" wrapText="0"/>
    </xf>
    <xf borderId="0" fillId="0" fontId="1" numFmtId="0" xfId="0" applyAlignment="1" applyFont="1">
      <alignment horizontal="center"/>
    </xf>
    <xf borderId="0" fillId="0" fontId="1" numFmtId="0" xfId="0" applyAlignment="1" applyFont="1">
      <alignment horizontal="right"/>
    </xf>
    <xf borderId="0" fillId="0" fontId="4" numFmtId="0" xfId="0" applyAlignment="1" applyFont="1">
      <alignment horizontal="right"/>
    </xf>
    <xf borderId="0" fillId="0" fontId="4" numFmtId="49" xfId="0" applyFont="1" applyNumberFormat="1"/>
    <xf borderId="1" fillId="7" fontId="1" numFmtId="0" xfId="0" applyAlignment="1" applyBorder="1" applyFill="1" applyFont="1">
      <alignment horizontal="right"/>
    </xf>
    <xf borderId="1" fillId="7" fontId="1" numFmtId="0" xfId="0" applyAlignment="1" applyBorder="1" applyFill="1" applyFont="1">
      <alignment horizontal="center"/>
    </xf>
    <xf borderId="1" fillId="7" fontId="4" numFmtId="0" xfId="0" applyAlignment="1" applyBorder="1" applyFill="1" applyFont="1">
      <alignment horizontal="right"/>
    </xf>
    <xf borderId="1" fillId="7" fontId="4" numFmtId="0" xfId="0" applyBorder="1" applyFill="1" applyFont="1"/>
    <xf borderId="1" fillId="7" fontId="4" numFmtId="166" xfId="0" applyAlignment="1" applyBorder="1" applyFill="1" applyFont="1" applyNumberFormat="1">
      <alignment horizontal="right"/>
    </xf>
    <xf borderId="0" fillId="0" fontId="4" numFmtId="0" xfId="0" applyAlignment="1" applyFont="1">
      <alignment horizontal="center"/>
    </xf>
    <xf borderId="6" fillId="4" fontId="4" numFmtId="0" xfId="0" applyBorder="1" applyFill="1" applyFont="1"/>
    <xf borderId="6" fillId="0" fontId="4" numFmtId="0" xfId="0" applyBorder="1" applyFont="1"/>
    <xf borderId="0" fillId="0" fontId="9" numFmtId="0" xfId="0" applyFont="1"/>
    <xf borderId="6" fillId="5" fontId="4" numFmtId="0" xfId="0" applyBorder="1"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slemankab.bps.go.id/id/publication/2025/09/26/1c0207d9c668cfb5a340d838/cangkringan-district-in-figures-2025.html?utm_source=chatgpt.com" TargetMode="External"/><Relationship Id="rId2" Type="http://schemas.openxmlformats.org/officeDocument/2006/relationships/hyperlink" Target="https://slemankab.bps.go.id/id/publication/2024/10/29/41932dae9e99b293342dfd35/complete-enumeration-results-of-the-2023-census-of-agriculture---edition-2--individual-agricultural-holdings-cangkringan-district.html?utm_source=chatgpt.com" TargetMode="External"/><Relationship Id="rId3" Type="http://schemas.openxmlformats.org/officeDocument/2006/relationships/hyperlink" Target="https://slemankab.bps.go.id/id/statistics-table/2/MjE5IzI%3D/jumlah-petani-pengguna-lahan-pertanian-dan-petani-gurem-menurut-kecamatan--orang-.html?utm_source=chatgpt.com" TargetMode="External"/><Relationship Id="rId4" Type="http://schemas.openxmlformats.org/officeDocument/2006/relationships/hyperlink" Target="https://slemankab.bps.go.id/id/publication/2024/09/26/af7cae87b4e78cdb6c0f0622/kecamatan-cangkringan-dalam-angka-2024.html?utm_source=chatgpt.com" TargetMode="External"/><Relationship Id="rId5" Type="http://schemas.openxmlformats.org/officeDocument/2006/relationships/hyperlink" Target="https://cangkringan.slemankab.go.id/monografil/?utm_source=chatgpt.com" TargetMode="External"/><Relationship Id="rId6" Type="http://schemas.openxmlformats.org/officeDocument/2006/relationships/hyperlink" Target="https://slemankab.bps.go.id/id/statistics-table/3/U0dKc1owczVSalJ5VFdOMWVETnlVRVJ6YlRJMFp6MDkjMw%3D%3D/produksi-tanaman-buah-buahan-dan-sayuran-tahunan-menurut-kecamatan-dan-jenis-tanaman-di-kabupaten-sleman--2020.html?utm_source=chatgpt.com" TargetMode="External"/><Relationship Id="rId7" Type="http://schemas.openxmlformats.org/officeDocument/2006/relationships/hyperlink" Target="https://slemankab.bps.go.id/id/statistics-table/1/Njc1IzE%3D/jumlah-rumah-tangga-usaha-pertanian-menurut-kecamatan-dan-kelompok-luas-lahan-selain-sawah-yang-dikuasai--rumah-tangga---2023.html?utm_source=chatgpt.com" TargetMode="External"/><Relationship Id="rId8"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cangkringan.slemankab.go.id/berita" TargetMode="External"/><Relationship Id="rId2" Type="http://schemas.openxmlformats.org/officeDocument/2006/relationships/hyperlink" Target="https://cangkringan.slemankab.go.id/desa-wukirsari" TargetMode="External"/><Relationship Id="rId3" Type="http://schemas.openxmlformats.org/officeDocument/2006/relationships/hyperlink" Target="https://cangkringan.slemankab.go.id/desa-glagaharjo" TargetMode="External"/><Relationship Id="rId4" Type="http://schemas.openxmlformats.org/officeDocument/2006/relationships/hyperlink" Target="https://cangkringan.slemankab.go.id/desa-kepuharjo" TargetMode="External"/><Relationship Id="rId5" Type="http://schemas.openxmlformats.org/officeDocument/2006/relationships/hyperlink" Target="https://cangkringan.slemankab.go.id/artikel" TargetMode="External"/><Relationship Id="rId6"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3" width="20.38"/>
    <col customWidth="1" min="4" max="4" width="20.5"/>
    <col customWidth="1" min="5" max="5" width="21.25"/>
    <col customWidth="1" min="6" max="6" width="19.0"/>
    <col customWidth="1" min="8" max="8" width="17.75"/>
    <col customWidth="1" min="9" max="10" width="23.0"/>
    <col customWidth="1" min="11" max="11" width="18.13"/>
    <col customWidth="1" min="12" max="12" width="14.38"/>
  </cols>
  <sheetData>
    <row r="1" ht="15.75" customHeight="1">
      <c r="A1" s="1" t="s">
        <v>0</v>
      </c>
      <c r="B1" s="1" t="s">
        <v>1</v>
      </c>
      <c r="C1" s="1" t="s">
        <v>2</v>
      </c>
      <c r="D1" s="1" t="s">
        <v>4</v>
      </c>
      <c r="E1" s="3" t="s">
        <v>5</v>
      </c>
      <c r="F1" s="3" t="s">
        <v>8</v>
      </c>
      <c r="G1" s="3" t="s">
        <v>10</v>
      </c>
      <c r="H1" s="3" t="s">
        <v>12</v>
      </c>
      <c r="I1" s="1" t="s">
        <v>13</v>
      </c>
      <c r="J1" s="1" t="s">
        <v>17</v>
      </c>
      <c r="K1" s="3" t="s">
        <v>19</v>
      </c>
      <c r="L1" s="3" t="s">
        <v>22</v>
      </c>
      <c r="M1" s="3" t="s">
        <v>24</v>
      </c>
      <c r="N1" s="3" t="s">
        <v>27</v>
      </c>
    </row>
    <row r="2" ht="15.75" customHeight="1">
      <c r="A2" s="5" t="s">
        <v>35</v>
      </c>
      <c r="B2" s="7" t="s">
        <v>40</v>
      </c>
      <c r="C2" s="5" t="s">
        <v>42</v>
      </c>
      <c r="D2" s="10" t="s">
        <v>45</v>
      </c>
      <c r="E2" s="12">
        <v>5129.0</v>
      </c>
      <c r="F2" s="12">
        <v>5129.0</v>
      </c>
      <c r="G2" s="7" t="s">
        <v>58</v>
      </c>
      <c r="H2" s="12">
        <v>6411.0</v>
      </c>
      <c r="I2" s="10" t="s">
        <v>62</v>
      </c>
      <c r="J2" s="10" t="s">
        <v>64</v>
      </c>
      <c r="K2" s="7" t="s">
        <v>66</v>
      </c>
      <c r="L2" s="7">
        <v>2020.0</v>
      </c>
      <c r="M2" s="7" t="s">
        <v>69</v>
      </c>
      <c r="N2" s="7" t="s">
        <v>72</v>
      </c>
    </row>
    <row r="3" ht="15.75" customHeight="1">
      <c r="A3" s="5" t="s">
        <v>74</v>
      </c>
      <c r="B3" s="7" t="s">
        <v>40</v>
      </c>
      <c r="C3" s="5" t="s">
        <v>42</v>
      </c>
      <c r="D3" s="10" t="s">
        <v>45</v>
      </c>
      <c r="E3" s="12">
        <v>5558.0</v>
      </c>
      <c r="F3" s="12">
        <v>5558.0</v>
      </c>
      <c r="G3" s="7" t="s">
        <v>58</v>
      </c>
      <c r="H3" s="12">
        <v>6948.0</v>
      </c>
      <c r="I3" s="10" t="s">
        <v>62</v>
      </c>
      <c r="J3" s="10" t="s">
        <v>64</v>
      </c>
      <c r="K3" s="7" t="s">
        <v>81</v>
      </c>
      <c r="L3" s="7">
        <v>2021.0</v>
      </c>
      <c r="M3" s="7" t="s">
        <v>83</v>
      </c>
      <c r="N3" s="7" t="s">
        <v>72</v>
      </c>
    </row>
    <row r="4" ht="15.75" customHeight="1">
      <c r="A4" s="5" t="s">
        <v>85</v>
      </c>
      <c r="B4" s="7" t="s">
        <v>40</v>
      </c>
      <c r="C4" s="5" t="s">
        <v>42</v>
      </c>
      <c r="D4" s="10" t="s">
        <v>45</v>
      </c>
      <c r="E4" s="12">
        <v>6454.0</v>
      </c>
      <c r="F4" s="12">
        <v>6454.0</v>
      </c>
      <c r="G4" s="7" t="s">
        <v>58</v>
      </c>
      <c r="H4" s="12">
        <v>8068.0</v>
      </c>
      <c r="I4" s="10" t="s">
        <v>62</v>
      </c>
      <c r="J4" s="10" t="s">
        <v>64</v>
      </c>
      <c r="K4" s="7" t="s">
        <v>94</v>
      </c>
      <c r="L4" s="7">
        <v>2022.0</v>
      </c>
      <c r="M4" s="7" t="s">
        <v>128</v>
      </c>
      <c r="N4" s="7" t="s">
        <v>72</v>
      </c>
    </row>
    <row r="5" ht="15.75" customHeight="1">
      <c r="A5" s="5" t="s">
        <v>137</v>
      </c>
      <c r="B5" s="7" t="s">
        <v>40</v>
      </c>
      <c r="C5" s="5" t="s">
        <v>42</v>
      </c>
      <c r="D5" s="10" t="s">
        <v>45</v>
      </c>
      <c r="E5" s="12">
        <v>7006.0</v>
      </c>
      <c r="F5" s="12">
        <v>7006.0</v>
      </c>
      <c r="G5" s="7" t="s">
        <v>58</v>
      </c>
      <c r="H5" s="12">
        <v>8758.0</v>
      </c>
      <c r="I5" s="10" t="s">
        <v>62</v>
      </c>
      <c r="J5" s="10" t="s">
        <v>64</v>
      </c>
      <c r="K5" s="7" t="s">
        <v>147</v>
      </c>
      <c r="L5" s="7">
        <v>2023.0</v>
      </c>
      <c r="M5" s="7" t="s">
        <v>149</v>
      </c>
      <c r="N5" s="7" t="s">
        <v>72</v>
      </c>
    </row>
    <row r="6" ht="15.75" customHeight="1">
      <c r="A6" s="5" t="s">
        <v>154</v>
      </c>
      <c r="B6" s="7" t="s">
        <v>40</v>
      </c>
      <c r="C6" s="5" t="s">
        <v>42</v>
      </c>
      <c r="D6" s="10" t="s">
        <v>45</v>
      </c>
      <c r="E6" s="12">
        <v>7859.0</v>
      </c>
      <c r="F6" s="12">
        <v>7859.0</v>
      </c>
      <c r="G6" s="7" t="s">
        <v>58</v>
      </c>
      <c r="H6" s="12">
        <v>9824.0</v>
      </c>
      <c r="I6" s="10" t="s">
        <v>62</v>
      </c>
      <c r="J6" s="10" t="s">
        <v>64</v>
      </c>
      <c r="K6" s="7" t="s">
        <v>171</v>
      </c>
      <c r="L6" s="7">
        <v>2024.0</v>
      </c>
      <c r="M6" s="7" t="s">
        <v>172</v>
      </c>
      <c r="N6" s="7" t="s">
        <v>72</v>
      </c>
    </row>
    <row r="7" ht="15.75" customHeight="1">
      <c r="A7" s="5" t="s">
        <v>173</v>
      </c>
      <c r="B7" s="7" t="s">
        <v>40</v>
      </c>
      <c r="C7" s="5" t="s">
        <v>42</v>
      </c>
      <c r="D7" s="10" t="s">
        <v>45</v>
      </c>
      <c r="E7" s="12">
        <v>10200.0</v>
      </c>
      <c r="F7" s="12">
        <v>10200.0</v>
      </c>
      <c r="G7" s="7" t="s">
        <v>58</v>
      </c>
      <c r="H7" s="12">
        <v>12750.0</v>
      </c>
      <c r="I7" s="10" t="s">
        <v>62</v>
      </c>
      <c r="J7" s="10" t="s">
        <v>64</v>
      </c>
      <c r="K7" s="7" t="s">
        <v>180</v>
      </c>
      <c r="L7" s="7">
        <v>2025.0</v>
      </c>
      <c r="M7" s="7" t="s">
        <v>183</v>
      </c>
      <c r="N7" s="7" t="s">
        <v>72</v>
      </c>
    </row>
    <row r="8" ht="15.75" customHeight="1">
      <c r="A8" s="5" t="s">
        <v>186</v>
      </c>
      <c r="B8" s="7" t="s">
        <v>82</v>
      </c>
      <c r="C8" s="5" t="s">
        <v>84</v>
      </c>
      <c r="D8" s="10" t="s">
        <v>86</v>
      </c>
      <c r="E8" s="12">
        <v>3000.0</v>
      </c>
      <c r="F8" s="12">
        <v>3000.0</v>
      </c>
      <c r="G8" s="7" t="s">
        <v>58</v>
      </c>
      <c r="H8" s="12">
        <v>3750.0</v>
      </c>
      <c r="I8" s="10" t="s">
        <v>62</v>
      </c>
      <c r="J8" s="10" t="s">
        <v>64</v>
      </c>
      <c r="K8" s="7" t="s">
        <v>201</v>
      </c>
      <c r="L8" s="7">
        <v>2020.0</v>
      </c>
      <c r="M8" s="7" t="s">
        <v>203</v>
      </c>
      <c r="N8" s="7" t="s">
        <v>72</v>
      </c>
    </row>
    <row r="9" ht="15.75" customHeight="1">
      <c r="A9" s="5" t="s">
        <v>204</v>
      </c>
      <c r="B9" s="7" t="s">
        <v>82</v>
      </c>
      <c r="C9" s="5" t="s">
        <v>84</v>
      </c>
      <c r="D9" s="10" t="s">
        <v>86</v>
      </c>
      <c r="E9" s="12">
        <v>3560.0</v>
      </c>
      <c r="F9" s="12">
        <v>3560.0</v>
      </c>
      <c r="G9" s="7" t="s">
        <v>58</v>
      </c>
      <c r="H9" s="12">
        <v>4450.0</v>
      </c>
      <c r="I9" s="10" t="s">
        <v>62</v>
      </c>
      <c r="J9" s="10" t="s">
        <v>64</v>
      </c>
      <c r="K9" s="7" t="s">
        <v>205</v>
      </c>
      <c r="L9" s="7">
        <v>2021.0</v>
      </c>
      <c r="M9" s="7" t="s">
        <v>206</v>
      </c>
      <c r="N9" s="7" t="s">
        <v>72</v>
      </c>
    </row>
    <row r="10" ht="15.75" customHeight="1">
      <c r="A10" s="5" t="s">
        <v>208</v>
      </c>
      <c r="B10" s="7" t="s">
        <v>82</v>
      </c>
      <c r="C10" s="5" t="s">
        <v>84</v>
      </c>
      <c r="D10" s="10" t="s">
        <v>86</v>
      </c>
      <c r="E10" s="12">
        <v>5200.0</v>
      </c>
      <c r="F10" s="12">
        <v>5200.0</v>
      </c>
      <c r="G10" s="7" t="s">
        <v>58</v>
      </c>
      <c r="H10" s="12">
        <v>6500.0</v>
      </c>
      <c r="I10" s="10" t="s">
        <v>62</v>
      </c>
      <c r="J10" s="10" t="s">
        <v>64</v>
      </c>
      <c r="K10" s="7" t="s">
        <v>212</v>
      </c>
      <c r="L10" s="7">
        <v>2022.0</v>
      </c>
      <c r="M10" s="7" t="s">
        <v>213</v>
      </c>
      <c r="N10" s="7" t="s">
        <v>72</v>
      </c>
    </row>
    <row r="11" ht="15.75" customHeight="1">
      <c r="A11" s="5" t="s">
        <v>214</v>
      </c>
      <c r="B11" s="7" t="s">
        <v>82</v>
      </c>
      <c r="C11" s="5" t="s">
        <v>84</v>
      </c>
      <c r="D11" s="10" t="s">
        <v>86</v>
      </c>
      <c r="E11" s="12">
        <v>6210.0</v>
      </c>
      <c r="F11" s="12">
        <v>6210.0</v>
      </c>
      <c r="G11" s="7" t="s">
        <v>58</v>
      </c>
      <c r="H11" s="12">
        <v>7763.0</v>
      </c>
      <c r="I11" s="10" t="s">
        <v>62</v>
      </c>
      <c r="J11" s="10" t="s">
        <v>64</v>
      </c>
      <c r="K11" s="7" t="s">
        <v>218</v>
      </c>
      <c r="L11" s="7">
        <v>2023.0</v>
      </c>
      <c r="M11" s="7" t="s">
        <v>220</v>
      </c>
      <c r="N11" s="7" t="s">
        <v>72</v>
      </c>
    </row>
    <row r="12" ht="15.75" customHeight="1">
      <c r="A12" s="5" t="s">
        <v>222</v>
      </c>
      <c r="B12" s="7" t="s">
        <v>82</v>
      </c>
      <c r="C12" s="5" t="s">
        <v>84</v>
      </c>
      <c r="D12" s="10" t="s">
        <v>86</v>
      </c>
      <c r="E12" s="12">
        <v>6100.0</v>
      </c>
      <c r="F12" s="12">
        <v>6100.0</v>
      </c>
      <c r="G12" s="7" t="s">
        <v>58</v>
      </c>
      <c r="H12" s="12">
        <v>7625.0</v>
      </c>
      <c r="I12" s="10" t="s">
        <v>62</v>
      </c>
      <c r="J12" s="10" t="s">
        <v>64</v>
      </c>
      <c r="K12" s="7" t="s">
        <v>223</v>
      </c>
      <c r="L12" s="7">
        <v>2024.0</v>
      </c>
      <c r="M12" s="7" t="s">
        <v>224</v>
      </c>
      <c r="N12" s="7" t="s">
        <v>72</v>
      </c>
    </row>
    <row r="13" ht="15.75" customHeight="1">
      <c r="A13" s="5" t="s">
        <v>227</v>
      </c>
      <c r="B13" s="7" t="s">
        <v>82</v>
      </c>
      <c r="C13" s="5" t="s">
        <v>84</v>
      </c>
      <c r="D13" s="10" t="s">
        <v>86</v>
      </c>
      <c r="E13" s="12">
        <v>9210.0</v>
      </c>
      <c r="F13" s="12">
        <v>9210.0</v>
      </c>
      <c r="G13" s="7" t="s">
        <v>58</v>
      </c>
      <c r="H13" s="12">
        <v>11513.0</v>
      </c>
      <c r="I13" s="10" t="s">
        <v>62</v>
      </c>
      <c r="J13" s="10" t="s">
        <v>64</v>
      </c>
      <c r="K13" s="7" t="s">
        <v>230</v>
      </c>
      <c r="L13" s="7">
        <v>2025.0</v>
      </c>
      <c r="M13" s="7" t="s">
        <v>231</v>
      </c>
      <c r="N13" s="7" t="s">
        <v>72</v>
      </c>
    </row>
    <row r="14" ht="15.75" customHeight="1">
      <c r="A14" s="5" t="s">
        <v>232</v>
      </c>
      <c r="B14" s="7" t="s">
        <v>38</v>
      </c>
      <c r="C14" s="5" t="s">
        <v>41</v>
      </c>
      <c r="D14" s="10" t="s">
        <v>44</v>
      </c>
      <c r="E14" s="12">
        <v>2450.0</v>
      </c>
      <c r="F14" s="12">
        <v>2450.0</v>
      </c>
      <c r="G14" s="7" t="s">
        <v>58</v>
      </c>
      <c r="H14" s="12">
        <v>3175.0</v>
      </c>
      <c r="I14" s="10" t="s">
        <v>236</v>
      </c>
      <c r="J14" s="10" t="s">
        <v>238</v>
      </c>
      <c r="K14" s="7" t="s">
        <v>239</v>
      </c>
      <c r="L14" s="7">
        <v>2020.0</v>
      </c>
      <c r="M14" s="7" t="s">
        <v>240</v>
      </c>
      <c r="N14" s="7" t="s">
        <v>72</v>
      </c>
    </row>
    <row r="15" ht="15.75" customHeight="1">
      <c r="A15" s="5" t="s">
        <v>241</v>
      </c>
      <c r="B15" s="7" t="s">
        <v>38</v>
      </c>
      <c r="C15" s="5" t="s">
        <v>41</v>
      </c>
      <c r="D15" s="10" t="s">
        <v>44</v>
      </c>
      <c r="E15" s="12">
        <v>3400.0</v>
      </c>
      <c r="F15" s="12">
        <v>3400.0</v>
      </c>
      <c r="G15" s="7" t="s">
        <v>58</v>
      </c>
      <c r="H15" s="12">
        <v>4250.0</v>
      </c>
      <c r="I15" s="10" t="s">
        <v>236</v>
      </c>
      <c r="J15" s="10" t="s">
        <v>238</v>
      </c>
      <c r="K15" s="7" t="s">
        <v>244</v>
      </c>
      <c r="L15" s="7">
        <v>2021.0</v>
      </c>
      <c r="M15" s="7" t="s">
        <v>245</v>
      </c>
      <c r="N15" s="7" t="s">
        <v>72</v>
      </c>
    </row>
    <row r="16" ht="15.75" customHeight="1">
      <c r="A16" s="5" t="s">
        <v>246</v>
      </c>
      <c r="B16" s="7" t="s">
        <v>38</v>
      </c>
      <c r="C16" s="5" t="s">
        <v>41</v>
      </c>
      <c r="D16" s="10" t="s">
        <v>44</v>
      </c>
      <c r="E16" s="12">
        <v>3300.0</v>
      </c>
      <c r="F16" s="12">
        <v>3300.0</v>
      </c>
      <c r="G16" s="7" t="s">
        <v>58</v>
      </c>
      <c r="H16" s="12">
        <v>4125.0</v>
      </c>
      <c r="I16" s="10" t="s">
        <v>236</v>
      </c>
      <c r="J16" s="10" t="s">
        <v>238</v>
      </c>
      <c r="K16" s="7" t="s">
        <v>247</v>
      </c>
      <c r="L16" s="7">
        <v>2022.0</v>
      </c>
      <c r="M16" s="7" t="s">
        <v>248</v>
      </c>
      <c r="N16" s="7" t="s">
        <v>72</v>
      </c>
    </row>
    <row r="17" ht="15.75" customHeight="1">
      <c r="A17" s="5" t="s">
        <v>249</v>
      </c>
      <c r="B17" s="7" t="s">
        <v>38</v>
      </c>
      <c r="C17" s="5" t="s">
        <v>41</v>
      </c>
      <c r="D17" s="10" t="s">
        <v>44</v>
      </c>
      <c r="E17" s="12">
        <v>3000.0</v>
      </c>
      <c r="F17" s="12">
        <v>3000.0</v>
      </c>
      <c r="G17" s="7" t="s">
        <v>58</v>
      </c>
      <c r="H17" s="12">
        <v>3750.0</v>
      </c>
      <c r="I17" s="10" t="s">
        <v>236</v>
      </c>
      <c r="J17" s="10" t="s">
        <v>238</v>
      </c>
      <c r="K17" s="7" t="s">
        <v>250</v>
      </c>
      <c r="L17" s="7">
        <v>2023.0</v>
      </c>
      <c r="M17" s="7" t="s">
        <v>203</v>
      </c>
      <c r="N17" s="7" t="s">
        <v>72</v>
      </c>
    </row>
    <row r="18" ht="15.75" customHeight="1">
      <c r="A18" s="5" t="s">
        <v>253</v>
      </c>
      <c r="B18" s="7" t="s">
        <v>38</v>
      </c>
      <c r="C18" s="5" t="s">
        <v>41</v>
      </c>
      <c r="D18" s="10" t="s">
        <v>44</v>
      </c>
      <c r="E18" s="12">
        <v>5200.0</v>
      </c>
      <c r="F18" s="12">
        <v>5200.0</v>
      </c>
      <c r="G18" s="7" t="s">
        <v>58</v>
      </c>
      <c r="H18" s="12">
        <v>6500.0</v>
      </c>
      <c r="I18" s="10" t="s">
        <v>236</v>
      </c>
      <c r="J18" s="10" t="s">
        <v>238</v>
      </c>
      <c r="K18" s="7" t="s">
        <v>254</v>
      </c>
      <c r="L18" s="7">
        <v>2024.0</v>
      </c>
      <c r="M18" s="7" t="s">
        <v>213</v>
      </c>
      <c r="N18" s="7" t="s">
        <v>72</v>
      </c>
    </row>
    <row r="19" ht="15.75" customHeight="1">
      <c r="A19" s="5" t="s">
        <v>257</v>
      </c>
      <c r="B19" s="7" t="s">
        <v>38</v>
      </c>
      <c r="C19" s="5" t="s">
        <v>41</v>
      </c>
      <c r="D19" s="10" t="s">
        <v>44</v>
      </c>
      <c r="E19" s="12">
        <v>6000.0</v>
      </c>
      <c r="F19" s="12">
        <v>6000.0</v>
      </c>
      <c r="G19" s="7" t="s">
        <v>58</v>
      </c>
      <c r="H19" s="12">
        <v>7500.0</v>
      </c>
      <c r="I19" s="10" t="s">
        <v>236</v>
      </c>
      <c r="J19" s="10" t="s">
        <v>238</v>
      </c>
      <c r="K19" s="7" t="s">
        <v>261</v>
      </c>
      <c r="L19" s="7">
        <v>2025.0</v>
      </c>
      <c r="M19" s="7" t="s">
        <v>262</v>
      </c>
      <c r="N19" s="7" t="s">
        <v>72</v>
      </c>
    </row>
    <row r="20" ht="15.75" customHeight="1">
      <c r="A20" s="5" t="s">
        <v>263</v>
      </c>
      <c r="B20" s="7" t="s">
        <v>175</v>
      </c>
      <c r="C20" s="5" t="s">
        <v>176</v>
      </c>
      <c r="D20" s="10" t="s">
        <v>129</v>
      </c>
      <c r="E20" s="12">
        <v>1106.0</v>
      </c>
      <c r="F20" s="12">
        <v>2765.0</v>
      </c>
      <c r="G20" s="7" t="s">
        <v>58</v>
      </c>
      <c r="H20" s="12">
        <v>1383.0</v>
      </c>
      <c r="I20" s="10" t="s">
        <v>266</v>
      </c>
      <c r="J20" s="10" t="s">
        <v>267</v>
      </c>
      <c r="K20" s="7" t="s">
        <v>268</v>
      </c>
      <c r="L20" s="7">
        <v>2020.0</v>
      </c>
      <c r="M20" s="7" t="s">
        <v>269</v>
      </c>
      <c r="N20" s="7" t="s">
        <v>72</v>
      </c>
    </row>
    <row r="21" ht="15.75" customHeight="1">
      <c r="A21" s="5" t="s">
        <v>270</v>
      </c>
      <c r="B21" s="7" t="s">
        <v>124</v>
      </c>
      <c r="C21" s="5" t="s">
        <v>125</v>
      </c>
      <c r="D21" s="10" t="s">
        <v>129</v>
      </c>
      <c r="E21" s="7">
        <v>968.0</v>
      </c>
      <c r="F21" s="12">
        <v>2765.0</v>
      </c>
      <c r="G21" s="7" t="s">
        <v>58</v>
      </c>
      <c r="H21" s="12">
        <v>1210.0</v>
      </c>
      <c r="I21" s="10" t="s">
        <v>273</v>
      </c>
      <c r="J21" s="10" t="s">
        <v>274</v>
      </c>
      <c r="K21" s="7" t="s">
        <v>275</v>
      </c>
      <c r="L21" s="7">
        <v>2020.0</v>
      </c>
      <c r="M21" s="7" t="s">
        <v>276</v>
      </c>
      <c r="N21" s="7" t="s">
        <v>72</v>
      </c>
    </row>
    <row r="22" ht="15.75" customHeight="1">
      <c r="A22" s="5" t="s">
        <v>277</v>
      </c>
      <c r="B22" s="7" t="s">
        <v>188</v>
      </c>
      <c r="C22" s="5" t="s">
        <v>189</v>
      </c>
      <c r="D22" s="10" t="s">
        <v>129</v>
      </c>
      <c r="E22" s="7">
        <v>691.0</v>
      </c>
      <c r="F22" s="12">
        <v>2765.0</v>
      </c>
      <c r="G22" s="7" t="s">
        <v>58</v>
      </c>
      <c r="H22" s="7">
        <v>864.0</v>
      </c>
      <c r="I22" s="10" t="s">
        <v>280</v>
      </c>
      <c r="J22" s="10" t="s">
        <v>281</v>
      </c>
      <c r="K22" s="7" t="s">
        <v>282</v>
      </c>
      <c r="L22" s="7">
        <v>2020.0</v>
      </c>
      <c r="M22" s="7" t="s">
        <v>283</v>
      </c>
      <c r="N22" s="7" t="s">
        <v>72</v>
      </c>
    </row>
    <row r="23" ht="15.75" customHeight="1">
      <c r="A23" s="5" t="s">
        <v>284</v>
      </c>
      <c r="B23" s="7" t="s">
        <v>175</v>
      </c>
      <c r="C23" s="5" t="s">
        <v>176</v>
      </c>
      <c r="D23" s="10" t="s">
        <v>129</v>
      </c>
      <c r="E23" s="12">
        <v>1218.0</v>
      </c>
      <c r="F23" s="12">
        <v>3044.0</v>
      </c>
      <c r="G23" s="7" t="s">
        <v>58</v>
      </c>
      <c r="H23" s="12">
        <v>1523.0</v>
      </c>
      <c r="I23" s="10" t="s">
        <v>266</v>
      </c>
      <c r="J23" s="10" t="s">
        <v>267</v>
      </c>
      <c r="K23" s="7" t="s">
        <v>287</v>
      </c>
      <c r="L23" s="7">
        <v>2021.0</v>
      </c>
      <c r="M23" s="7" t="s">
        <v>288</v>
      </c>
      <c r="N23" s="7" t="s">
        <v>72</v>
      </c>
    </row>
    <row r="24" ht="15.75" customHeight="1">
      <c r="A24" s="5" t="s">
        <v>289</v>
      </c>
      <c r="B24" s="7" t="s">
        <v>124</v>
      </c>
      <c r="C24" s="5" t="s">
        <v>125</v>
      </c>
      <c r="D24" s="10" t="s">
        <v>129</v>
      </c>
      <c r="E24" s="12">
        <v>1065.0</v>
      </c>
      <c r="F24" s="12">
        <v>3044.0</v>
      </c>
      <c r="G24" s="7" t="s">
        <v>58</v>
      </c>
      <c r="H24" s="12">
        <v>1331.0</v>
      </c>
      <c r="I24" s="10" t="s">
        <v>273</v>
      </c>
      <c r="J24" s="10" t="s">
        <v>274</v>
      </c>
      <c r="K24" s="7" t="s">
        <v>290</v>
      </c>
      <c r="L24" s="7">
        <v>2021.0</v>
      </c>
      <c r="M24" s="7" t="s">
        <v>291</v>
      </c>
      <c r="N24" s="7" t="s">
        <v>72</v>
      </c>
    </row>
    <row r="25" ht="15.75" customHeight="1">
      <c r="A25" s="5" t="s">
        <v>292</v>
      </c>
      <c r="B25" s="7" t="s">
        <v>188</v>
      </c>
      <c r="C25" s="5" t="s">
        <v>189</v>
      </c>
      <c r="D25" s="10" t="s">
        <v>129</v>
      </c>
      <c r="E25" s="7">
        <v>761.0</v>
      </c>
      <c r="F25" s="12">
        <v>3044.0</v>
      </c>
      <c r="G25" s="7" t="s">
        <v>58</v>
      </c>
      <c r="H25" s="7">
        <v>951.0</v>
      </c>
      <c r="I25" s="10" t="s">
        <v>280</v>
      </c>
      <c r="J25" s="10" t="s">
        <v>281</v>
      </c>
      <c r="K25" s="7" t="s">
        <v>295</v>
      </c>
      <c r="L25" s="7">
        <v>2021.0</v>
      </c>
      <c r="M25" s="7" t="s">
        <v>296</v>
      </c>
      <c r="N25" s="7" t="s">
        <v>72</v>
      </c>
    </row>
    <row r="26" ht="15.75" customHeight="1">
      <c r="A26" s="5" t="s">
        <v>298</v>
      </c>
      <c r="B26" s="7" t="s">
        <v>175</v>
      </c>
      <c r="C26" s="5" t="s">
        <v>176</v>
      </c>
      <c r="D26" s="10" t="s">
        <v>129</v>
      </c>
      <c r="E26" s="12">
        <v>1281.0</v>
      </c>
      <c r="F26" s="12">
        <v>3202.0</v>
      </c>
      <c r="G26" s="7" t="s">
        <v>58</v>
      </c>
      <c r="H26" s="12">
        <v>1601.0</v>
      </c>
      <c r="I26" s="10" t="s">
        <v>266</v>
      </c>
      <c r="J26" s="10" t="s">
        <v>267</v>
      </c>
      <c r="K26" s="7" t="s">
        <v>300</v>
      </c>
      <c r="L26" s="7">
        <v>2022.0</v>
      </c>
      <c r="M26" s="7" t="s">
        <v>301</v>
      </c>
      <c r="N26" s="7" t="s">
        <v>72</v>
      </c>
    </row>
    <row r="27" ht="15.75" customHeight="1">
      <c r="A27" s="5" t="s">
        <v>302</v>
      </c>
      <c r="B27" s="7" t="s">
        <v>124</v>
      </c>
      <c r="C27" s="5" t="s">
        <v>125</v>
      </c>
      <c r="D27" s="10" t="s">
        <v>129</v>
      </c>
      <c r="E27" s="12">
        <v>1121.0</v>
      </c>
      <c r="F27" s="12">
        <v>3202.0</v>
      </c>
      <c r="G27" s="7" t="s">
        <v>58</v>
      </c>
      <c r="H27" s="12">
        <v>1410.0</v>
      </c>
      <c r="I27" s="10" t="s">
        <v>273</v>
      </c>
      <c r="J27" s="10" t="s">
        <v>274</v>
      </c>
      <c r="K27" s="7" t="s">
        <v>304</v>
      </c>
      <c r="L27" s="7">
        <v>2022.0</v>
      </c>
      <c r="M27" s="7" t="s">
        <v>306</v>
      </c>
      <c r="N27" s="7" t="s">
        <v>72</v>
      </c>
    </row>
    <row r="28" ht="15.75" customHeight="1">
      <c r="A28" s="5" t="s">
        <v>307</v>
      </c>
      <c r="B28" s="7" t="s">
        <v>188</v>
      </c>
      <c r="C28" s="5" t="s">
        <v>189</v>
      </c>
      <c r="D28" s="10" t="s">
        <v>129</v>
      </c>
      <c r="E28" s="7">
        <v>800.0</v>
      </c>
      <c r="F28" s="12">
        <v>3202.0</v>
      </c>
      <c r="G28" s="7" t="s">
        <v>58</v>
      </c>
      <c r="H28" s="12">
        <v>1000.0</v>
      </c>
      <c r="I28" s="10" t="s">
        <v>280</v>
      </c>
      <c r="J28" s="10" t="s">
        <v>281</v>
      </c>
      <c r="K28" s="7" t="s">
        <v>308</v>
      </c>
      <c r="L28" s="7">
        <v>2022.0</v>
      </c>
      <c r="M28" s="7" t="s">
        <v>309</v>
      </c>
      <c r="N28" s="7" t="s">
        <v>72</v>
      </c>
    </row>
    <row r="29" ht="15.75" customHeight="1">
      <c r="A29" s="5" t="s">
        <v>311</v>
      </c>
      <c r="B29" s="7" t="s">
        <v>175</v>
      </c>
      <c r="C29" s="5" t="s">
        <v>176</v>
      </c>
      <c r="D29" s="10" t="s">
        <v>129</v>
      </c>
      <c r="E29" s="12">
        <v>1545.0</v>
      </c>
      <c r="F29" s="12">
        <v>3862.0</v>
      </c>
      <c r="G29" s="7" t="s">
        <v>58</v>
      </c>
      <c r="H29" s="12">
        <v>1931.0</v>
      </c>
      <c r="I29" s="10" t="s">
        <v>266</v>
      </c>
      <c r="J29" s="10" t="s">
        <v>267</v>
      </c>
      <c r="K29" s="7" t="s">
        <v>313</v>
      </c>
      <c r="L29" s="7">
        <v>2023.0</v>
      </c>
      <c r="M29" s="7" t="s">
        <v>314</v>
      </c>
      <c r="N29" s="7" t="s">
        <v>72</v>
      </c>
    </row>
    <row r="30" ht="15.75" customHeight="1">
      <c r="A30" s="5" t="s">
        <v>315</v>
      </c>
      <c r="B30" s="7" t="s">
        <v>124</v>
      </c>
      <c r="C30" s="5" t="s">
        <v>125</v>
      </c>
      <c r="D30" s="10" t="s">
        <v>129</v>
      </c>
      <c r="E30" s="12">
        <v>1352.0</v>
      </c>
      <c r="F30" s="12">
        <v>3862.0</v>
      </c>
      <c r="G30" s="7" t="s">
        <v>58</v>
      </c>
      <c r="H30" s="12">
        <v>1690.0</v>
      </c>
      <c r="I30" s="10" t="s">
        <v>273</v>
      </c>
      <c r="J30" s="10" t="s">
        <v>274</v>
      </c>
      <c r="K30" s="7" t="s">
        <v>318</v>
      </c>
      <c r="L30" s="7">
        <v>2023.0</v>
      </c>
      <c r="M30" s="7" t="s">
        <v>319</v>
      </c>
      <c r="N30" s="7" t="s">
        <v>72</v>
      </c>
    </row>
    <row r="31" ht="15.75" customHeight="1">
      <c r="A31" s="5" t="s">
        <v>320</v>
      </c>
      <c r="B31" s="7" t="s">
        <v>188</v>
      </c>
      <c r="C31" s="5" t="s">
        <v>189</v>
      </c>
      <c r="D31" s="10" t="s">
        <v>129</v>
      </c>
      <c r="E31" s="7">
        <v>965.0</v>
      </c>
      <c r="F31" s="12">
        <v>3862.0</v>
      </c>
      <c r="G31" s="7" t="s">
        <v>58</v>
      </c>
      <c r="H31" s="12">
        <v>1206.0</v>
      </c>
      <c r="I31" s="10" t="s">
        <v>280</v>
      </c>
      <c r="J31" s="10" t="s">
        <v>281</v>
      </c>
      <c r="K31" s="7" t="s">
        <v>321</v>
      </c>
      <c r="L31" s="7">
        <v>2023.0</v>
      </c>
      <c r="M31" s="7" t="s">
        <v>276</v>
      </c>
      <c r="N31" s="7" t="s">
        <v>72</v>
      </c>
    </row>
    <row r="32" ht="15.75" customHeight="1">
      <c r="A32" s="5" t="s">
        <v>323</v>
      </c>
      <c r="B32" s="7" t="s">
        <v>175</v>
      </c>
      <c r="C32" s="5" t="s">
        <v>176</v>
      </c>
      <c r="D32" s="10" t="s">
        <v>129</v>
      </c>
      <c r="E32" s="12">
        <v>1871.0</v>
      </c>
      <c r="F32" s="20">
        <v>4678.0</v>
      </c>
      <c r="G32" s="7" t="s">
        <v>58</v>
      </c>
      <c r="H32" s="12">
        <v>2339.0</v>
      </c>
      <c r="I32" s="10" t="s">
        <v>266</v>
      </c>
      <c r="J32" s="10" t="s">
        <v>267</v>
      </c>
      <c r="K32" s="7" t="s">
        <v>329</v>
      </c>
      <c r="L32" s="10">
        <v>2024.0</v>
      </c>
      <c r="M32" s="7" t="s">
        <v>330</v>
      </c>
      <c r="N32" s="7" t="s">
        <v>72</v>
      </c>
    </row>
    <row r="33" ht="15.75" customHeight="1">
      <c r="A33" s="5" t="s">
        <v>331</v>
      </c>
      <c r="B33" s="7" t="s">
        <v>124</v>
      </c>
      <c r="C33" s="5" t="s">
        <v>125</v>
      </c>
      <c r="D33" s="10" t="s">
        <v>129</v>
      </c>
      <c r="E33" s="12">
        <v>1637.0</v>
      </c>
      <c r="F33" s="20">
        <v>4678.0</v>
      </c>
      <c r="G33" s="7" t="s">
        <v>58</v>
      </c>
      <c r="H33" s="12">
        <v>2046.0</v>
      </c>
      <c r="I33" s="10" t="s">
        <v>273</v>
      </c>
      <c r="J33" s="10" t="s">
        <v>274</v>
      </c>
      <c r="K33" s="7" t="s">
        <v>332</v>
      </c>
      <c r="L33" s="10">
        <v>2024.0</v>
      </c>
      <c r="M33" s="7" t="s">
        <v>333</v>
      </c>
      <c r="N33" s="7" t="s">
        <v>72</v>
      </c>
    </row>
    <row r="34" ht="15.75" customHeight="1">
      <c r="A34" s="5" t="s">
        <v>334</v>
      </c>
      <c r="B34" s="7" t="s">
        <v>188</v>
      </c>
      <c r="C34" s="5" t="s">
        <v>189</v>
      </c>
      <c r="D34" s="10" t="s">
        <v>129</v>
      </c>
      <c r="E34" s="12">
        <v>1170.0</v>
      </c>
      <c r="F34" s="20">
        <v>4678.0</v>
      </c>
      <c r="G34" s="7" t="s">
        <v>58</v>
      </c>
      <c r="H34" s="12">
        <v>1463.0</v>
      </c>
      <c r="I34" s="10" t="s">
        <v>280</v>
      </c>
      <c r="J34" s="10" t="s">
        <v>281</v>
      </c>
      <c r="K34" s="7" t="s">
        <v>337</v>
      </c>
      <c r="L34" s="10">
        <v>2024.0</v>
      </c>
      <c r="M34" s="7" t="s">
        <v>338</v>
      </c>
      <c r="N34" s="7" t="s">
        <v>72</v>
      </c>
    </row>
    <row r="35" ht="15.75" customHeight="1">
      <c r="A35" s="5" t="s">
        <v>339</v>
      </c>
      <c r="B35" s="7" t="s">
        <v>175</v>
      </c>
      <c r="C35" s="5" t="s">
        <v>176</v>
      </c>
      <c r="D35" s="10" t="s">
        <v>129</v>
      </c>
      <c r="E35" s="12">
        <v>2234.0</v>
      </c>
      <c r="F35" s="20">
        <v>5584.0</v>
      </c>
      <c r="G35" s="7" t="s">
        <v>58</v>
      </c>
      <c r="H35" s="12">
        <v>2793.0</v>
      </c>
      <c r="I35" s="10" t="s">
        <v>266</v>
      </c>
      <c r="J35" s="10" t="s">
        <v>267</v>
      </c>
      <c r="K35" s="7" t="s">
        <v>342</v>
      </c>
      <c r="L35" s="10">
        <v>2025.0</v>
      </c>
      <c r="M35" s="7" t="s">
        <v>343</v>
      </c>
      <c r="N35" s="7" t="s">
        <v>72</v>
      </c>
    </row>
    <row r="36" ht="15.75" customHeight="1">
      <c r="A36" s="5" t="s">
        <v>344</v>
      </c>
      <c r="B36" s="7" t="s">
        <v>124</v>
      </c>
      <c r="C36" s="5" t="s">
        <v>125</v>
      </c>
      <c r="D36" s="10" t="s">
        <v>129</v>
      </c>
      <c r="E36" s="12">
        <v>1954.0</v>
      </c>
      <c r="F36" s="20">
        <v>5584.0</v>
      </c>
      <c r="G36" s="7" t="s">
        <v>58</v>
      </c>
      <c r="H36" s="12">
        <v>2443.0</v>
      </c>
      <c r="I36" s="10" t="s">
        <v>273</v>
      </c>
      <c r="J36" s="10" t="s">
        <v>274</v>
      </c>
      <c r="K36" s="7" t="s">
        <v>347</v>
      </c>
      <c r="L36" s="10">
        <v>2025.0</v>
      </c>
      <c r="M36" s="7" t="s">
        <v>348</v>
      </c>
      <c r="N36" s="7" t="s">
        <v>72</v>
      </c>
    </row>
    <row r="37" ht="15.75" customHeight="1">
      <c r="A37" s="5" t="s">
        <v>349</v>
      </c>
      <c r="B37" s="7" t="s">
        <v>188</v>
      </c>
      <c r="C37" s="5" t="s">
        <v>189</v>
      </c>
      <c r="D37" s="10" t="s">
        <v>129</v>
      </c>
      <c r="E37" s="12">
        <v>1396.0</v>
      </c>
      <c r="F37" s="20">
        <v>5584.0</v>
      </c>
      <c r="G37" s="7" t="s">
        <v>58</v>
      </c>
      <c r="H37" s="12">
        <v>1745.0</v>
      </c>
      <c r="I37" s="10" t="s">
        <v>280</v>
      </c>
      <c r="J37" s="10" t="s">
        <v>281</v>
      </c>
      <c r="K37" s="7" t="s">
        <v>350</v>
      </c>
      <c r="L37" s="10">
        <v>2025.0</v>
      </c>
      <c r="M37" s="7" t="s">
        <v>351</v>
      </c>
      <c r="N37" s="7" t="s">
        <v>72</v>
      </c>
    </row>
    <row r="38" ht="15.75" customHeight="1">
      <c r="A38" s="5" t="s">
        <v>352</v>
      </c>
      <c r="B38" s="7" t="s">
        <v>110</v>
      </c>
      <c r="C38" s="5" t="s">
        <v>112</v>
      </c>
      <c r="D38" s="10" t="s">
        <v>114</v>
      </c>
      <c r="E38" s="7">
        <v>248.0</v>
      </c>
      <c r="F38" s="10">
        <v>620.0</v>
      </c>
      <c r="G38" s="7" t="s">
        <v>355</v>
      </c>
      <c r="H38" s="7">
        <v>310.0</v>
      </c>
      <c r="I38" s="10" t="s">
        <v>356</v>
      </c>
      <c r="J38" s="10" t="s">
        <v>357</v>
      </c>
      <c r="K38" s="7" t="s">
        <v>358</v>
      </c>
      <c r="L38" s="7">
        <v>2020.0</v>
      </c>
      <c r="M38" s="7" t="s">
        <v>359</v>
      </c>
      <c r="N38" s="7" t="s">
        <v>72</v>
      </c>
    </row>
    <row r="39" ht="15.75" customHeight="1">
      <c r="A39" s="5" t="s">
        <v>360</v>
      </c>
      <c r="B39" s="7" t="s">
        <v>150</v>
      </c>
      <c r="C39" s="5" t="s">
        <v>151</v>
      </c>
      <c r="D39" s="10" t="s">
        <v>153</v>
      </c>
      <c r="E39" s="7">
        <v>186.0</v>
      </c>
      <c r="F39" s="10">
        <v>620.0</v>
      </c>
      <c r="G39" s="7" t="s">
        <v>355</v>
      </c>
      <c r="H39" s="7">
        <v>233.0</v>
      </c>
      <c r="I39" s="10" t="s">
        <v>362</v>
      </c>
      <c r="J39" s="10" t="s">
        <v>364</v>
      </c>
      <c r="K39" s="7" t="s">
        <v>365</v>
      </c>
      <c r="L39" s="7">
        <v>2020.0</v>
      </c>
      <c r="M39" s="7" t="s">
        <v>366</v>
      </c>
      <c r="N39" s="7" t="s">
        <v>72</v>
      </c>
    </row>
    <row r="40" ht="15.75" customHeight="1">
      <c r="A40" s="5" t="s">
        <v>367</v>
      </c>
      <c r="B40" s="7" t="s">
        <v>139</v>
      </c>
      <c r="C40" s="5" t="s">
        <v>140</v>
      </c>
      <c r="D40" s="10" t="s">
        <v>141</v>
      </c>
      <c r="E40" s="7">
        <v>186.0</v>
      </c>
      <c r="F40" s="10">
        <v>620.0</v>
      </c>
      <c r="G40" s="7" t="s">
        <v>355</v>
      </c>
      <c r="H40" s="7">
        <v>233.0</v>
      </c>
      <c r="I40" s="10" t="s">
        <v>368</v>
      </c>
      <c r="J40" s="10" t="s">
        <v>369</v>
      </c>
      <c r="K40" s="7" t="s">
        <v>365</v>
      </c>
      <c r="L40" s="7">
        <v>2020.0</v>
      </c>
      <c r="M40" s="7" t="s">
        <v>366</v>
      </c>
      <c r="N40" s="7" t="s">
        <v>72</v>
      </c>
    </row>
    <row r="41" ht="15.75" customHeight="1">
      <c r="A41" s="5" t="s">
        <v>370</v>
      </c>
      <c r="B41" s="7" t="s">
        <v>110</v>
      </c>
      <c r="C41" s="5" t="s">
        <v>112</v>
      </c>
      <c r="D41" s="10" t="s">
        <v>114</v>
      </c>
      <c r="E41" s="7">
        <v>293.0</v>
      </c>
      <c r="F41" s="7">
        <v>732.0</v>
      </c>
      <c r="G41" s="7" t="s">
        <v>355</v>
      </c>
      <c r="H41" s="7">
        <v>366.0</v>
      </c>
      <c r="I41" s="10" t="s">
        <v>356</v>
      </c>
      <c r="J41" s="10" t="s">
        <v>357</v>
      </c>
      <c r="K41" s="7" t="s">
        <v>373</v>
      </c>
      <c r="L41" s="7">
        <v>2021.0</v>
      </c>
      <c r="M41" s="7" t="s">
        <v>374</v>
      </c>
      <c r="N41" s="7" t="s">
        <v>72</v>
      </c>
    </row>
    <row r="42" ht="15.75" customHeight="1">
      <c r="A42" s="5" t="s">
        <v>375</v>
      </c>
      <c r="B42" s="7" t="s">
        <v>150</v>
      </c>
      <c r="C42" s="5" t="s">
        <v>151</v>
      </c>
      <c r="D42" s="10" t="s">
        <v>153</v>
      </c>
      <c r="E42" s="7">
        <v>220.0</v>
      </c>
      <c r="F42" s="7">
        <v>732.0</v>
      </c>
      <c r="G42" s="7" t="s">
        <v>355</v>
      </c>
      <c r="H42" s="7">
        <v>275.0</v>
      </c>
      <c r="I42" s="10" t="s">
        <v>362</v>
      </c>
      <c r="J42" s="10" t="s">
        <v>364</v>
      </c>
      <c r="K42" s="7" t="s">
        <v>377</v>
      </c>
      <c r="L42" s="7">
        <v>2021.0</v>
      </c>
      <c r="M42" s="7" t="s">
        <v>379</v>
      </c>
      <c r="N42" s="7" t="s">
        <v>72</v>
      </c>
    </row>
    <row r="43" ht="15.75" customHeight="1">
      <c r="A43" s="5" t="s">
        <v>380</v>
      </c>
      <c r="B43" s="7" t="s">
        <v>139</v>
      </c>
      <c r="C43" s="5" t="s">
        <v>140</v>
      </c>
      <c r="D43" s="10" t="s">
        <v>141</v>
      </c>
      <c r="E43" s="7">
        <v>219.0</v>
      </c>
      <c r="F43" s="7">
        <v>732.0</v>
      </c>
      <c r="G43" s="7" t="s">
        <v>355</v>
      </c>
      <c r="H43" s="7">
        <v>274.0</v>
      </c>
      <c r="I43" s="10" t="s">
        <v>368</v>
      </c>
      <c r="J43" s="10" t="s">
        <v>369</v>
      </c>
      <c r="K43" s="7" t="s">
        <v>381</v>
      </c>
      <c r="L43" s="7">
        <v>2021.0</v>
      </c>
      <c r="M43" s="7" t="s">
        <v>379</v>
      </c>
      <c r="N43" s="7" t="s">
        <v>72</v>
      </c>
    </row>
    <row r="44" ht="15.75" customHeight="1">
      <c r="A44" s="5" t="s">
        <v>382</v>
      </c>
      <c r="B44" s="7" t="s">
        <v>110</v>
      </c>
      <c r="C44" s="5" t="s">
        <v>112</v>
      </c>
      <c r="D44" s="10" t="s">
        <v>114</v>
      </c>
      <c r="E44" s="7">
        <v>302.0</v>
      </c>
      <c r="F44" s="7">
        <v>755.0</v>
      </c>
      <c r="G44" s="7" t="s">
        <v>355</v>
      </c>
      <c r="H44" s="7">
        <v>378.0</v>
      </c>
      <c r="I44" s="10" t="s">
        <v>356</v>
      </c>
      <c r="J44" s="10" t="s">
        <v>357</v>
      </c>
      <c r="K44" s="7" t="s">
        <v>384</v>
      </c>
      <c r="L44" s="7">
        <v>2022.0</v>
      </c>
      <c r="M44" s="7" t="s">
        <v>386</v>
      </c>
      <c r="N44" s="7" t="s">
        <v>72</v>
      </c>
    </row>
    <row r="45" ht="15.75" customHeight="1">
      <c r="A45" s="5" t="s">
        <v>387</v>
      </c>
      <c r="B45" s="7" t="s">
        <v>150</v>
      </c>
      <c r="C45" s="5" t="s">
        <v>151</v>
      </c>
      <c r="D45" s="10" t="s">
        <v>153</v>
      </c>
      <c r="E45" s="7">
        <v>227.0</v>
      </c>
      <c r="F45" s="7">
        <v>755.0</v>
      </c>
      <c r="G45" s="7" t="s">
        <v>355</v>
      </c>
      <c r="H45" s="7">
        <v>284.0</v>
      </c>
      <c r="I45" s="10" t="s">
        <v>362</v>
      </c>
      <c r="J45" s="10" t="s">
        <v>364</v>
      </c>
      <c r="K45" s="7" t="s">
        <v>388</v>
      </c>
      <c r="L45" s="7">
        <v>2022.0</v>
      </c>
      <c r="M45" s="7" t="s">
        <v>389</v>
      </c>
      <c r="N45" s="7" t="s">
        <v>72</v>
      </c>
    </row>
    <row r="46" ht="15.75" customHeight="1">
      <c r="A46" s="5" t="s">
        <v>390</v>
      </c>
      <c r="B46" s="7" t="s">
        <v>139</v>
      </c>
      <c r="C46" s="5" t="s">
        <v>140</v>
      </c>
      <c r="D46" s="10" t="s">
        <v>141</v>
      </c>
      <c r="E46" s="7">
        <v>226.0</v>
      </c>
      <c r="F46" s="7">
        <v>755.0</v>
      </c>
      <c r="G46" s="7" t="s">
        <v>355</v>
      </c>
      <c r="H46" s="7">
        <v>283.0</v>
      </c>
      <c r="I46" s="10" t="s">
        <v>368</v>
      </c>
      <c r="J46" s="10" t="s">
        <v>369</v>
      </c>
      <c r="K46" s="7" t="s">
        <v>393</v>
      </c>
      <c r="L46" s="7">
        <v>2022.0</v>
      </c>
      <c r="M46" s="7" t="s">
        <v>389</v>
      </c>
      <c r="N46" s="7" t="s">
        <v>72</v>
      </c>
    </row>
    <row r="47" ht="15.75" customHeight="1">
      <c r="A47" s="5" t="s">
        <v>394</v>
      </c>
      <c r="B47" s="7" t="s">
        <v>110</v>
      </c>
      <c r="C47" s="5" t="s">
        <v>112</v>
      </c>
      <c r="D47" s="10" t="s">
        <v>114</v>
      </c>
      <c r="E47" s="7">
        <v>376.0</v>
      </c>
      <c r="F47" s="7">
        <v>940.0</v>
      </c>
      <c r="G47" s="7" t="s">
        <v>355</v>
      </c>
      <c r="H47" s="7">
        <v>470.0</v>
      </c>
      <c r="I47" s="10" t="s">
        <v>356</v>
      </c>
      <c r="J47" s="10" t="s">
        <v>357</v>
      </c>
      <c r="K47" s="7" t="s">
        <v>395</v>
      </c>
      <c r="L47" s="7">
        <v>2023.0</v>
      </c>
      <c r="M47" s="7" t="s">
        <v>396</v>
      </c>
      <c r="N47" s="7" t="s">
        <v>72</v>
      </c>
    </row>
    <row r="48" ht="15.75" customHeight="1">
      <c r="A48" s="5" t="s">
        <v>397</v>
      </c>
      <c r="B48" s="7" t="s">
        <v>150</v>
      </c>
      <c r="C48" s="5" t="s">
        <v>151</v>
      </c>
      <c r="D48" s="10" t="s">
        <v>153</v>
      </c>
      <c r="E48" s="7">
        <v>282.0</v>
      </c>
      <c r="F48" s="7">
        <v>940.0</v>
      </c>
      <c r="G48" s="7" t="s">
        <v>355</v>
      </c>
      <c r="H48" s="7">
        <v>353.0</v>
      </c>
      <c r="I48" s="10" t="s">
        <v>362</v>
      </c>
      <c r="J48" s="10" t="s">
        <v>364</v>
      </c>
      <c r="K48" s="7" t="s">
        <v>398</v>
      </c>
      <c r="L48" s="7">
        <v>2023.0</v>
      </c>
      <c r="M48" s="7" t="s">
        <v>399</v>
      </c>
      <c r="N48" s="7" t="s">
        <v>72</v>
      </c>
    </row>
    <row r="49" ht="15.75" customHeight="1">
      <c r="A49" s="5" t="s">
        <v>402</v>
      </c>
      <c r="B49" s="7" t="s">
        <v>139</v>
      </c>
      <c r="C49" s="5" t="s">
        <v>140</v>
      </c>
      <c r="D49" s="10" t="s">
        <v>141</v>
      </c>
      <c r="E49" s="7">
        <v>282.0</v>
      </c>
      <c r="F49" s="7">
        <v>940.0</v>
      </c>
      <c r="G49" s="7" t="s">
        <v>355</v>
      </c>
      <c r="H49" s="7">
        <v>353.0</v>
      </c>
      <c r="I49" s="10" t="s">
        <v>368</v>
      </c>
      <c r="J49" s="10" t="s">
        <v>369</v>
      </c>
      <c r="K49" s="7" t="s">
        <v>398</v>
      </c>
      <c r="L49" s="7">
        <v>2023.0</v>
      </c>
      <c r="M49" s="7" t="s">
        <v>399</v>
      </c>
      <c r="N49" s="7" t="s">
        <v>72</v>
      </c>
    </row>
    <row r="50" ht="15.75" customHeight="1">
      <c r="A50" s="5" t="s">
        <v>403</v>
      </c>
      <c r="B50" s="7" t="s">
        <v>110</v>
      </c>
      <c r="C50" s="5" t="s">
        <v>112</v>
      </c>
      <c r="D50" s="10" t="s">
        <v>114</v>
      </c>
      <c r="E50" s="7">
        <v>510.0</v>
      </c>
      <c r="F50" s="12">
        <v>1275.0</v>
      </c>
      <c r="G50" s="7" t="s">
        <v>355</v>
      </c>
      <c r="H50" s="7">
        <v>638.0</v>
      </c>
      <c r="I50" s="10" t="s">
        <v>356</v>
      </c>
      <c r="J50" s="10" t="s">
        <v>357</v>
      </c>
      <c r="K50" s="7" t="s">
        <v>404</v>
      </c>
      <c r="L50" s="7">
        <v>2024.0</v>
      </c>
      <c r="M50" s="7" t="s">
        <v>405</v>
      </c>
      <c r="N50" s="7" t="s">
        <v>72</v>
      </c>
    </row>
    <row r="51" ht="15.75" customHeight="1">
      <c r="A51" s="5" t="s">
        <v>406</v>
      </c>
      <c r="B51" s="7" t="s">
        <v>150</v>
      </c>
      <c r="C51" s="5" t="s">
        <v>151</v>
      </c>
      <c r="D51" s="10" t="s">
        <v>153</v>
      </c>
      <c r="E51" s="7">
        <v>383.0</v>
      </c>
      <c r="F51" s="12">
        <v>1275.0</v>
      </c>
      <c r="G51" s="7" t="s">
        <v>355</v>
      </c>
      <c r="H51" s="7">
        <v>479.0</v>
      </c>
      <c r="I51" s="10" t="s">
        <v>362</v>
      </c>
      <c r="J51" s="10" t="s">
        <v>364</v>
      </c>
      <c r="K51" s="7" t="s">
        <v>409</v>
      </c>
      <c r="L51" s="7">
        <v>2024.0</v>
      </c>
      <c r="M51" s="7" t="s">
        <v>396</v>
      </c>
      <c r="N51" s="7" t="s">
        <v>72</v>
      </c>
    </row>
    <row r="52" ht="15.75" customHeight="1">
      <c r="A52" s="5" t="s">
        <v>410</v>
      </c>
      <c r="B52" s="7" t="s">
        <v>139</v>
      </c>
      <c r="C52" s="5" t="s">
        <v>140</v>
      </c>
      <c r="D52" s="10" t="s">
        <v>141</v>
      </c>
      <c r="E52" s="7">
        <v>382.0</v>
      </c>
      <c r="F52" s="12">
        <v>1275.0</v>
      </c>
      <c r="G52" s="7" t="s">
        <v>355</v>
      </c>
      <c r="H52" s="7">
        <v>478.0</v>
      </c>
      <c r="I52" s="10" t="s">
        <v>368</v>
      </c>
      <c r="J52" s="10" t="s">
        <v>369</v>
      </c>
      <c r="K52" s="7" t="s">
        <v>411</v>
      </c>
      <c r="L52" s="7">
        <v>2024.0</v>
      </c>
      <c r="M52" s="7" t="s">
        <v>396</v>
      </c>
      <c r="N52" s="7" t="s">
        <v>72</v>
      </c>
    </row>
    <row r="53" ht="15.75" customHeight="1">
      <c r="A53" s="5" t="s">
        <v>412</v>
      </c>
      <c r="B53" s="7" t="s">
        <v>110</v>
      </c>
      <c r="C53" s="5" t="s">
        <v>112</v>
      </c>
      <c r="D53" s="10" t="s">
        <v>114</v>
      </c>
      <c r="E53" s="7">
        <v>568.0</v>
      </c>
      <c r="F53" s="12">
        <v>1420.0</v>
      </c>
      <c r="G53" s="7" t="s">
        <v>355</v>
      </c>
      <c r="H53" s="7">
        <v>710.0</v>
      </c>
      <c r="I53" s="10" t="s">
        <v>356</v>
      </c>
      <c r="J53" s="10" t="s">
        <v>357</v>
      </c>
      <c r="K53" s="7" t="s">
        <v>415</v>
      </c>
      <c r="L53" s="7">
        <v>2025.0</v>
      </c>
      <c r="M53" s="7" t="s">
        <v>416</v>
      </c>
      <c r="N53" s="7" t="s">
        <v>72</v>
      </c>
    </row>
    <row r="54" ht="15.75" customHeight="1">
      <c r="A54" s="5" t="s">
        <v>417</v>
      </c>
      <c r="B54" s="7" t="s">
        <v>150</v>
      </c>
      <c r="C54" s="5" t="s">
        <v>151</v>
      </c>
      <c r="D54" s="10" t="s">
        <v>153</v>
      </c>
      <c r="E54" s="7">
        <v>426.0</v>
      </c>
      <c r="F54" s="12">
        <v>1420.0</v>
      </c>
      <c r="G54" s="7" t="s">
        <v>355</v>
      </c>
      <c r="H54" s="7">
        <v>533.0</v>
      </c>
      <c r="I54" s="10" t="s">
        <v>362</v>
      </c>
      <c r="J54" s="10" t="s">
        <v>364</v>
      </c>
      <c r="K54" s="7" t="s">
        <v>418</v>
      </c>
      <c r="L54" s="7">
        <v>2025.0</v>
      </c>
      <c r="M54" s="7" t="s">
        <v>419</v>
      </c>
      <c r="N54" s="7" t="s">
        <v>72</v>
      </c>
    </row>
    <row r="55" ht="15.75" customHeight="1">
      <c r="A55" s="5" t="s">
        <v>420</v>
      </c>
      <c r="B55" s="7" t="s">
        <v>139</v>
      </c>
      <c r="C55" s="5" t="s">
        <v>140</v>
      </c>
      <c r="D55" s="10" t="s">
        <v>141</v>
      </c>
      <c r="E55" s="7">
        <v>426.0</v>
      </c>
      <c r="F55" s="12">
        <v>1420.0</v>
      </c>
      <c r="G55" s="7" t="s">
        <v>355</v>
      </c>
      <c r="H55" s="7">
        <v>533.0</v>
      </c>
      <c r="I55" s="10" t="s">
        <v>368</v>
      </c>
      <c r="J55" s="10" t="s">
        <v>369</v>
      </c>
      <c r="K55" s="7" t="s">
        <v>418</v>
      </c>
      <c r="L55" s="7">
        <v>2025.0</v>
      </c>
      <c r="M55" s="7" t="s">
        <v>419</v>
      </c>
      <c r="N55" s="7" t="s">
        <v>72</v>
      </c>
    </row>
    <row r="56" ht="15.75" customHeight="1">
      <c r="A56" s="5" t="s">
        <v>423</v>
      </c>
      <c r="B56" s="7" t="s">
        <v>97</v>
      </c>
      <c r="C56" s="5" t="s">
        <v>99</v>
      </c>
      <c r="D56" s="7" t="s">
        <v>100</v>
      </c>
      <c r="E56" s="12">
        <v>1305.0</v>
      </c>
      <c r="F56" s="12">
        <v>1305.0</v>
      </c>
      <c r="G56" s="7" t="s">
        <v>424</v>
      </c>
      <c r="H56" s="12">
        <v>1631.0</v>
      </c>
      <c r="I56" s="10" t="s">
        <v>425</v>
      </c>
      <c r="J56" s="10" t="s">
        <v>426</v>
      </c>
      <c r="K56" s="7" t="s">
        <v>427</v>
      </c>
      <c r="L56" s="7">
        <v>2020.0</v>
      </c>
      <c r="M56" s="7" t="s">
        <v>428</v>
      </c>
      <c r="N56" s="7" t="s">
        <v>72</v>
      </c>
    </row>
    <row r="57" ht="15.75" customHeight="1">
      <c r="A57" s="5" t="s">
        <v>431</v>
      </c>
      <c r="B57" s="7" t="s">
        <v>97</v>
      </c>
      <c r="C57" s="5" t="s">
        <v>99</v>
      </c>
      <c r="D57" s="7" t="s">
        <v>100</v>
      </c>
      <c r="E57" s="12">
        <v>1383.0</v>
      </c>
      <c r="F57" s="12">
        <v>1383.0</v>
      </c>
      <c r="G57" s="7" t="s">
        <v>424</v>
      </c>
      <c r="H57" s="12">
        <v>1729.0</v>
      </c>
      <c r="I57" s="10" t="s">
        <v>425</v>
      </c>
      <c r="J57" s="10" t="s">
        <v>426</v>
      </c>
      <c r="K57" s="7" t="s">
        <v>432</v>
      </c>
      <c r="L57" s="7">
        <v>2021.0</v>
      </c>
      <c r="M57" s="7" t="s">
        <v>433</v>
      </c>
      <c r="N57" s="7" t="s">
        <v>72</v>
      </c>
    </row>
    <row r="58" ht="15.75" customHeight="1">
      <c r="A58" s="5" t="s">
        <v>434</v>
      </c>
      <c r="B58" s="7" t="s">
        <v>97</v>
      </c>
      <c r="C58" s="5" t="s">
        <v>99</v>
      </c>
      <c r="D58" s="7" t="s">
        <v>100</v>
      </c>
      <c r="E58" s="12">
        <v>1590.0</v>
      </c>
      <c r="F58" s="12">
        <v>1590.0</v>
      </c>
      <c r="G58" s="7" t="s">
        <v>424</v>
      </c>
      <c r="H58" s="12">
        <v>1988.0</v>
      </c>
      <c r="I58" s="10" t="s">
        <v>425</v>
      </c>
      <c r="J58" s="10" t="s">
        <v>426</v>
      </c>
      <c r="K58" s="7" t="s">
        <v>437</v>
      </c>
      <c r="L58" s="7">
        <v>2022.0</v>
      </c>
      <c r="M58" s="7" t="s">
        <v>438</v>
      </c>
      <c r="N58" s="7" t="s">
        <v>72</v>
      </c>
    </row>
    <row r="59" ht="15.75" customHeight="1">
      <c r="A59" s="5" t="s">
        <v>439</v>
      </c>
      <c r="B59" s="7" t="s">
        <v>97</v>
      </c>
      <c r="C59" s="5" t="s">
        <v>99</v>
      </c>
      <c r="D59" s="7" t="s">
        <v>100</v>
      </c>
      <c r="E59" s="12">
        <v>1377.0</v>
      </c>
      <c r="F59" s="12">
        <v>1377.0</v>
      </c>
      <c r="G59" s="7" t="s">
        <v>424</v>
      </c>
      <c r="H59" s="12">
        <v>1721.0</v>
      </c>
      <c r="I59" s="10" t="s">
        <v>425</v>
      </c>
      <c r="J59" s="10" t="s">
        <v>426</v>
      </c>
      <c r="K59" s="7" t="s">
        <v>440</v>
      </c>
      <c r="L59" s="7">
        <v>2023.0</v>
      </c>
      <c r="M59" s="7" t="s">
        <v>433</v>
      </c>
      <c r="N59" s="7" t="s">
        <v>72</v>
      </c>
    </row>
    <row r="60" ht="15.75" customHeight="1">
      <c r="A60" s="5" t="s">
        <v>442</v>
      </c>
      <c r="B60" s="7" t="s">
        <v>97</v>
      </c>
      <c r="C60" s="5" t="s">
        <v>99</v>
      </c>
      <c r="D60" s="7" t="s">
        <v>100</v>
      </c>
      <c r="E60" s="12">
        <v>1420.0</v>
      </c>
      <c r="F60" s="12">
        <v>1420.0</v>
      </c>
      <c r="G60" s="7" t="s">
        <v>424</v>
      </c>
      <c r="H60" s="12">
        <v>1755.0</v>
      </c>
      <c r="I60" s="10" t="s">
        <v>425</v>
      </c>
      <c r="J60" s="10" t="s">
        <v>426</v>
      </c>
      <c r="K60" s="7" t="s">
        <v>444</v>
      </c>
      <c r="L60" s="7">
        <v>2024.0</v>
      </c>
      <c r="M60" s="7" t="s">
        <v>445</v>
      </c>
      <c r="N60" s="7" t="s">
        <v>72</v>
      </c>
    </row>
    <row r="61" ht="15.75" customHeight="1">
      <c r="A61" s="5" t="s">
        <v>446</v>
      </c>
      <c r="B61" s="7" t="s">
        <v>97</v>
      </c>
      <c r="C61" s="5" t="s">
        <v>99</v>
      </c>
      <c r="D61" s="7" t="s">
        <v>100</v>
      </c>
      <c r="E61" s="12">
        <v>3200.0</v>
      </c>
      <c r="F61" s="12">
        <v>3200.0</v>
      </c>
      <c r="G61" s="7" t="s">
        <v>424</v>
      </c>
      <c r="H61" s="12">
        <v>4000.0</v>
      </c>
      <c r="I61" s="10" t="s">
        <v>425</v>
      </c>
      <c r="J61" s="10" t="s">
        <v>426</v>
      </c>
      <c r="K61" s="7" t="s">
        <v>448</v>
      </c>
      <c r="L61" s="7">
        <v>2025.0</v>
      </c>
      <c r="M61" s="7" t="s">
        <v>450</v>
      </c>
      <c r="N61" s="7" t="s">
        <v>72</v>
      </c>
    </row>
    <row r="62" ht="15.75" customHeight="1">
      <c r="A62" s="5" t="s">
        <v>451</v>
      </c>
      <c r="B62" s="7" t="s">
        <v>163</v>
      </c>
      <c r="C62" s="5" t="s">
        <v>165</v>
      </c>
      <c r="D62" s="10" t="s">
        <v>166</v>
      </c>
      <c r="E62" s="7">
        <v>600.0</v>
      </c>
      <c r="F62" s="7">
        <v>600.0</v>
      </c>
      <c r="G62" s="7" t="s">
        <v>58</v>
      </c>
      <c r="H62" s="7">
        <v>750.0</v>
      </c>
      <c r="I62" s="10" t="s">
        <v>452</v>
      </c>
      <c r="J62" s="10" t="s">
        <v>453</v>
      </c>
      <c r="K62" s="7" t="s">
        <v>454</v>
      </c>
      <c r="L62" s="7">
        <v>2020.0</v>
      </c>
      <c r="M62" s="7" t="s">
        <v>456</v>
      </c>
      <c r="N62" s="7" t="s">
        <v>72</v>
      </c>
    </row>
    <row r="63" ht="15.75" customHeight="1">
      <c r="A63" s="5" t="s">
        <v>458</v>
      </c>
      <c r="B63" s="7" t="s">
        <v>163</v>
      </c>
      <c r="C63" s="5" t="s">
        <v>165</v>
      </c>
      <c r="D63" s="10" t="s">
        <v>166</v>
      </c>
      <c r="E63" s="7">
        <v>650.0</v>
      </c>
      <c r="F63" s="7">
        <v>650.0</v>
      </c>
      <c r="G63" s="7" t="s">
        <v>58</v>
      </c>
      <c r="H63" s="7">
        <v>813.0</v>
      </c>
      <c r="I63" s="10" t="s">
        <v>452</v>
      </c>
      <c r="J63" s="10" t="s">
        <v>453</v>
      </c>
      <c r="K63" s="7" t="s">
        <v>459</v>
      </c>
      <c r="L63" s="7">
        <v>2021.0</v>
      </c>
      <c r="M63" s="7" t="s">
        <v>460</v>
      </c>
      <c r="N63" s="7" t="s">
        <v>72</v>
      </c>
    </row>
    <row r="64" ht="15.75" customHeight="1">
      <c r="A64" s="5" t="s">
        <v>462</v>
      </c>
      <c r="B64" s="7" t="s">
        <v>163</v>
      </c>
      <c r="C64" s="5" t="s">
        <v>165</v>
      </c>
      <c r="D64" s="10" t="s">
        <v>166</v>
      </c>
      <c r="E64" s="7">
        <v>700.0</v>
      </c>
      <c r="F64" s="7">
        <v>700.0</v>
      </c>
      <c r="G64" s="7" t="s">
        <v>58</v>
      </c>
      <c r="H64" s="7">
        <v>875.0</v>
      </c>
      <c r="I64" s="10" t="s">
        <v>452</v>
      </c>
      <c r="J64" s="10" t="s">
        <v>453</v>
      </c>
      <c r="K64" s="7" t="s">
        <v>464</v>
      </c>
      <c r="L64" s="7">
        <v>2022.0</v>
      </c>
      <c r="M64" s="7" t="s">
        <v>465</v>
      </c>
      <c r="N64" s="7" t="s">
        <v>72</v>
      </c>
    </row>
    <row r="65" ht="15.75" customHeight="1">
      <c r="A65" s="5" t="s">
        <v>466</v>
      </c>
      <c r="B65" s="7" t="s">
        <v>163</v>
      </c>
      <c r="C65" s="5" t="s">
        <v>165</v>
      </c>
      <c r="D65" s="10" t="s">
        <v>166</v>
      </c>
      <c r="E65" s="7">
        <v>800.0</v>
      </c>
      <c r="F65" s="7">
        <v>800.0</v>
      </c>
      <c r="G65" s="7" t="s">
        <v>58</v>
      </c>
      <c r="H65" s="12">
        <v>1000.0</v>
      </c>
      <c r="I65" s="10" t="s">
        <v>452</v>
      </c>
      <c r="J65" s="10" t="s">
        <v>453</v>
      </c>
      <c r="K65" s="7" t="s">
        <v>469</v>
      </c>
      <c r="L65" s="7">
        <v>2023.0</v>
      </c>
      <c r="M65" s="7" t="s">
        <v>309</v>
      </c>
      <c r="N65" s="7" t="s">
        <v>72</v>
      </c>
    </row>
    <row r="66" ht="15.75" customHeight="1">
      <c r="A66" s="5" t="s">
        <v>470</v>
      </c>
      <c r="B66" s="7" t="s">
        <v>163</v>
      </c>
      <c r="C66" s="5" t="s">
        <v>165</v>
      </c>
      <c r="D66" s="10" t="s">
        <v>166</v>
      </c>
      <c r="E66" s="7">
        <v>900.0</v>
      </c>
      <c r="F66" s="7">
        <v>900.0</v>
      </c>
      <c r="G66" s="7" t="s">
        <v>58</v>
      </c>
      <c r="H66" s="12">
        <v>1125.0</v>
      </c>
      <c r="I66" s="10" t="s">
        <v>452</v>
      </c>
      <c r="J66" s="10" t="s">
        <v>453</v>
      </c>
      <c r="K66" s="7" t="s">
        <v>471</v>
      </c>
      <c r="L66" s="7">
        <v>2024.0</v>
      </c>
      <c r="M66" s="7" t="s">
        <v>472</v>
      </c>
      <c r="N66" s="7" t="s">
        <v>72</v>
      </c>
    </row>
    <row r="67" ht="15.75" customHeight="1">
      <c r="A67" s="5" t="s">
        <v>473</v>
      </c>
      <c r="B67" s="7" t="s">
        <v>163</v>
      </c>
      <c r="C67" s="5" t="s">
        <v>165</v>
      </c>
      <c r="D67" s="10" t="s">
        <v>166</v>
      </c>
      <c r="E67" s="12">
        <v>1000.0</v>
      </c>
      <c r="F67" s="12">
        <v>1000.0</v>
      </c>
      <c r="G67" s="7" t="s">
        <v>58</v>
      </c>
      <c r="H67" s="12">
        <v>1250.0</v>
      </c>
      <c r="I67" s="10" t="s">
        <v>452</v>
      </c>
      <c r="J67" s="10" t="s">
        <v>453</v>
      </c>
      <c r="K67" s="7" t="s">
        <v>474</v>
      </c>
      <c r="L67" s="7">
        <v>2025.0</v>
      </c>
      <c r="M67" s="7" t="s">
        <v>475</v>
      </c>
      <c r="N67" s="7" t="s">
        <v>72</v>
      </c>
    </row>
    <row r="68" ht="15.75" customHeight="1">
      <c r="A68" s="21"/>
      <c r="B68" s="21"/>
      <c r="C68" s="21"/>
      <c r="D68" s="21"/>
      <c r="I68" s="21"/>
      <c r="J68" s="21"/>
    </row>
    <row r="69" ht="15.75" customHeight="1">
      <c r="A69" s="21"/>
      <c r="B69" s="21"/>
      <c r="C69" s="21"/>
      <c r="D69" s="21"/>
      <c r="I69" s="21"/>
      <c r="J69" s="21"/>
    </row>
    <row r="70" ht="15.75" customHeight="1">
      <c r="A70" s="21"/>
      <c r="B70" s="21"/>
      <c r="C70" s="21"/>
      <c r="D70" s="21"/>
      <c r="I70" s="21"/>
      <c r="J70" s="21"/>
    </row>
    <row r="71" ht="15.75" customHeight="1">
      <c r="A71" s="21"/>
      <c r="B71" s="21"/>
      <c r="C71" s="21"/>
      <c r="D71" s="21"/>
      <c r="I71" s="21"/>
      <c r="J71" s="21"/>
    </row>
    <row r="72" ht="15.75" customHeight="1">
      <c r="A72" s="21"/>
      <c r="B72" s="21"/>
      <c r="C72" s="21"/>
      <c r="D72" s="21"/>
      <c r="I72" s="21"/>
      <c r="J72" s="21"/>
    </row>
    <row r="73" ht="15.75" customHeight="1">
      <c r="A73" s="21"/>
      <c r="B73" s="21"/>
      <c r="C73" s="21"/>
      <c r="D73" s="21"/>
      <c r="I73" s="21"/>
      <c r="J73" s="21"/>
    </row>
    <row r="74" ht="15.75" customHeight="1">
      <c r="A74" s="21"/>
      <c r="B74" s="21"/>
      <c r="C74" s="21"/>
      <c r="D74" s="21"/>
      <c r="I74" s="21"/>
      <c r="J74" s="21"/>
    </row>
    <row r="75" ht="15.75" customHeight="1">
      <c r="A75" s="21"/>
      <c r="B75" s="21"/>
      <c r="C75" s="21"/>
      <c r="D75" s="21"/>
      <c r="I75" s="21"/>
      <c r="J75" s="21"/>
    </row>
    <row r="76" ht="15.75" customHeight="1">
      <c r="A76" s="21"/>
      <c r="B76" s="21"/>
      <c r="C76" s="21"/>
      <c r="D76" s="21"/>
      <c r="I76" s="21"/>
      <c r="J76" s="21"/>
    </row>
    <row r="77" ht="15.75" customHeight="1">
      <c r="A77" s="21"/>
      <c r="B77" s="21"/>
      <c r="C77" s="21"/>
      <c r="D77" s="21"/>
      <c r="I77" s="21"/>
      <c r="J77" s="21"/>
    </row>
    <row r="78" ht="15.75" customHeight="1">
      <c r="A78" s="21"/>
      <c r="B78" s="21"/>
      <c r="C78" s="21"/>
      <c r="D78" s="21"/>
      <c r="I78" s="21"/>
      <c r="J78" s="21"/>
    </row>
    <row r="79" ht="15.75" customHeight="1">
      <c r="A79" s="21"/>
      <c r="B79" s="21"/>
      <c r="C79" s="21"/>
      <c r="D79" s="21"/>
      <c r="I79" s="21"/>
      <c r="J79" s="21"/>
    </row>
    <row r="80" ht="15.75" customHeight="1">
      <c r="A80" s="21"/>
      <c r="B80" s="21"/>
      <c r="C80" s="21"/>
      <c r="D80" s="21"/>
      <c r="I80" s="21"/>
      <c r="J80" s="21"/>
    </row>
    <row r="81" ht="15.75" customHeight="1">
      <c r="A81" s="21"/>
      <c r="B81" s="21"/>
      <c r="C81" s="21"/>
      <c r="D81" s="21"/>
      <c r="I81" s="21"/>
      <c r="J81" s="21"/>
    </row>
    <row r="82" ht="15.75" customHeight="1">
      <c r="A82" s="21"/>
      <c r="B82" s="21"/>
      <c r="C82" s="21"/>
      <c r="D82" s="21"/>
      <c r="I82" s="21"/>
      <c r="J82" s="21"/>
    </row>
    <row r="83" ht="15.75" customHeight="1">
      <c r="A83" s="21"/>
      <c r="B83" s="21"/>
      <c r="C83" s="21"/>
      <c r="D83" s="21"/>
      <c r="I83" s="21"/>
      <c r="J83" s="21"/>
    </row>
    <row r="84" ht="15.75" customHeight="1">
      <c r="A84" s="21"/>
      <c r="B84" s="21"/>
      <c r="C84" s="21"/>
      <c r="D84" s="21"/>
      <c r="I84" s="21"/>
      <c r="J84" s="21"/>
    </row>
    <row r="85" ht="15.75" customHeight="1">
      <c r="A85" s="21"/>
      <c r="B85" s="21"/>
      <c r="C85" s="21"/>
      <c r="D85" s="21"/>
      <c r="I85" s="21"/>
      <c r="J85" s="21"/>
    </row>
    <row r="86" ht="15.75" customHeight="1">
      <c r="A86" s="21"/>
      <c r="B86" s="21"/>
      <c r="C86" s="21"/>
      <c r="D86" s="21"/>
      <c r="I86" s="21"/>
      <c r="J86" s="21"/>
    </row>
    <row r="87" ht="15.75" customHeight="1">
      <c r="A87" s="21"/>
      <c r="B87" s="21"/>
      <c r="C87" s="21"/>
      <c r="D87" s="21"/>
      <c r="I87" s="21"/>
      <c r="J87" s="21"/>
    </row>
    <row r="88" ht="15.75" customHeight="1">
      <c r="A88" s="21"/>
      <c r="B88" s="21"/>
      <c r="C88" s="21"/>
      <c r="D88" s="21"/>
      <c r="I88" s="21"/>
      <c r="J88" s="21"/>
    </row>
    <row r="89" ht="15.75" customHeight="1">
      <c r="A89" s="21"/>
      <c r="B89" s="21"/>
      <c r="C89" s="21"/>
      <c r="D89" s="21"/>
      <c r="I89" s="21"/>
      <c r="J89" s="21"/>
    </row>
    <row r="90" ht="15.75" customHeight="1">
      <c r="A90" s="21"/>
      <c r="B90" s="21"/>
      <c r="C90" s="21"/>
      <c r="D90" s="21"/>
      <c r="I90" s="21"/>
      <c r="J90" s="21"/>
    </row>
    <row r="91" ht="15.75" customHeight="1">
      <c r="A91" s="21"/>
      <c r="B91" s="21"/>
      <c r="C91" s="21"/>
      <c r="D91" s="21"/>
      <c r="I91" s="21"/>
      <c r="J91" s="21"/>
    </row>
    <row r="92" ht="15.75" customHeight="1">
      <c r="A92" s="21"/>
      <c r="B92" s="21"/>
      <c r="C92" s="21"/>
      <c r="D92" s="21"/>
      <c r="I92" s="21"/>
      <c r="J92" s="21"/>
    </row>
    <row r="93" ht="15.75" customHeight="1">
      <c r="A93" s="21"/>
      <c r="B93" s="21"/>
      <c r="C93" s="21"/>
      <c r="D93" s="21"/>
      <c r="I93" s="21"/>
      <c r="J93" s="21"/>
    </row>
    <row r="94" ht="15.75" customHeight="1">
      <c r="A94" s="21"/>
      <c r="B94" s="21"/>
      <c r="C94" s="21"/>
      <c r="D94" s="21"/>
      <c r="I94" s="21"/>
      <c r="J94" s="21"/>
    </row>
    <row r="95" ht="15.75" customHeight="1">
      <c r="A95" s="21"/>
      <c r="B95" s="21"/>
      <c r="C95" s="21"/>
      <c r="D95" s="21"/>
      <c r="I95" s="21"/>
      <c r="J95" s="21"/>
    </row>
    <row r="96" ht="15.75" customHeight="1">
      <c r="A96" s="21"/>
      <c r="B96" s="21"/>
      <c r="C96" s="21"/>
      <c r="D96" s="21"/>
      <c r="I96" s="21"/>
      <c r="J96" s="21"/>
    </row>
    <row r="97" ht="15.75" customHeight="1">
      <c r="A97" s="21"/>
      <c r="B97" s="21"/>
      <c r="C97" s="21"/>
      <c r="D97" s="21"/>
      <c r="I97" s="21"/>
      <c r="J97" s="21"/>
    </row>
    <row r="98" ht="15.75" customHeight="1">
      <c r="A98" s="21"/>
      <c r="B98" s="21"/>
      <c r="C98" s="21"/>
      <c r="D98" s="21"/>
      <c r="I98" s="21"/>
      <c r="J98" s="21"/>
    </row>
    <row r="99" ht="15.75" customHeight="1">
      <c r="A99" s="21"/>
      <c r="B99" s="21"/>
      <c r="C99" s="21"/>
      <c r="D99" s="21"/>
      <c r="I99" s="21"/>
      <c r="J99" s="21"/>
    </row>
    <row r="100" ht="15.75" customHeight="1">
      <c r="A100" s="21"/>
      <c r="B100" s="21"/>
      <c r="C100" s="21"/>
      <c r="D100" s="21"/>
      <c r="I100" s="21"/>
      <c r="J100" s="21"/>
    </row>
    <row r="101" ht="15.75" customHeight="1">
      <c r="A101" s="21"/>
      <c r="B101" s="21"/>
      <c r="C101" s="21"/>
      <c r="D101" s="21"/>
      <c r="I101" s="21"/>
      <c r="J101" s="21"/>
    </row>
    <row r="102" ht="15.75" customHeight="1">
      <c r="A102" s="21"/>
      <c r="B102" s="21"/>
      <c r="C102" s="21"/>
      <c r="D102" s="21"/>
      <c r="I102" s="21"/>
      <c r="J102" s="21"/>
    </row>
    <row r="103" ht="15.75" customHeight="1">
      <c r="A103" s="21"/>
      <c r="B103" s="21"/>
      <c r="C103" s="21"/>
      <c r="D103" s="21"/>
      <c r="I103" s="21"/>
      <c r="J103" s="21"/>
    </row>
    <row r="104" ht="15.75" customHeight="1">
      <c r="A104" s="21"/>
      <c r="B104" s="21"/>
      <c r="C104" s="21"/>
      <c r="D104" s="21"/>
      <c r="I104" s="21"/>
      <c r="J104" s="21"/>
    </row>
    <row r="105" ht="15.75" customHeight="1">
      <c r="A105" s="21"/>
      <c r="B105" s="21"/>
      <c r="C105" s="21"/>
      <c r="D105" s="21"/>
      <c r="I105" s="21"/>
      <c r="J105" s="21"/>
    </row>
    <row r="106" ht="15.75" customHeight="1">
      <c r="A106" s="21"/>
      <c r="B106" s="21"/>
      <c r="C106" s="21"/>
      <c r="D106" s="21"/>
      <c r="I106" s="21"/>
      <c r="J106" s="21"/>
    </row>
    <row r="107" ht="15.75" customHeight="1">
      <c r="A107" s="21"/>
      <c r="B107" s="21"/>
      <c r="C107" s="21"/>
      <c r="D107" s="21"/>
      <c r="I107" s="21"/>
      <c r="J107" s="21"/>
    </row>
    <row r="108" ht="15.75" customHeight="1">
      <c r="A108" s="21"/>
      <c r="B108" s="21"/>
      <c r="C108" s="21"/>
      <c r="D108" s="21"/>
      <c r="I108" s="21"/>
      <c r="J108" s="21"/>
    </row>
    <row r="109" ht="15.75" customHeight="1">
      <c r="A109" s="21"/>
      <c r="B109" s="21"/>
      <c r="C109" s="21"/>
      <c r="D109" s="21"/>
      <c r="I109" s="21"/>
      <c r="J109" s="21"/>
    </row>
    <row r="110" ht="15.75" customHeight="1">
      <c r="A110" s="21"/>
      <c r="B110" s="21"/>
      <c r="C110" s="21"/>
      <c r="D110" s="21"/>
      <c r="I110" s="21"/>
      <c r="J110" s="21"/>
    </row>
    <row r="111" ht="15.75" customHeight="1">
      <c r="A111" s="21"/>
      <c r="B111" s="21"/>
      <c r="C111" s="21"/>
      <c r="D111" s="21"/>
      <c r="I111" s="21"/>
      <c r="J111" s="21"/>
    </row>
    <row r="112" ht="15.75" customHeight="1">
      <c r="A112" s="21"/>
      <c r="B112" s="21"/>
      <c r="C112" s="21"/>
      <c r="D112" s="21"/>
      <c r="I112" s="21"/>
      <c r="J112" s="21"/>
    </row>
    <row r="113" ht="15.75" customHeight="1">
      <c r="A113" s="21"/>
      <c r="B113" s="21"/>
      <c r="C113" s="21"/>
      <c r="D113" s="21"/>
      <c r="I113" s="21"/>
      <c r="J113" s="21"/>
    </row>
    <row r="114" ht="15.75" customHeight="1">
      <c r="A114" s="21"/>
      <c r="B114" s="21"/>
      <c r="C114" s="21"/>
      <c r="D114" s="21"/>
      <c r="I114" s="21"/>
      <c r="J114" s="21"/>
    </row>
    <row r="115" ht="15.75" customHeight="1">
      <c r="A115" s="21"/>
      <c r="B115" s="21"/>
      <c r="C115" s="21"/>
      <c r="D115" s="21"/>
      <c r="I115" s="21"/>
      <c r="J115" s="21"/>
    </row>
    <row r="116" ht="15.75" customHeight="1">
      <c r="A116" s="21"/>
      <c r="B116" s="21"/>
      <c r="C116" s="21"/>
      <c r="D116" s="21"/>
      <c r="I116" s="21"/>
      <c r="J116" s="21"/>
    </row>
    <row r="117" ht="15.75" customHeight="1">
      <c r="A117" s="21"/>
      <c r="B117" s="21"/>
      <c r="C117" s="21"/>
      <c r="D117" s="21"/>
      <c r="I117" s="21"/>
      <c r="J117" s="21"/>
    </row>
    <row r="118" ht="15.75" customHeight="1">
      <c r="A118" s="21"/>
      <c r="B118" s="21"/>
      <c r="C118" s="21"/>
      <c r="D118" s="21"/>
      <c r="I118" s="21"/>
      <c r="J118" s="21"/>
    </row>
    <row r="119" ht="15.75" customHeight="1">
      <c r="A119" s="21"/>
      <c r="B119" s="21"/>
      <c r="C119" s="21"/>
      <c r="D119" s="21"/>
      <c r="I119" s="21"/>
      <c r="J119" s="21"/>
    </row>
    <row r="120" ht="15.75" customHeight="1">
      <c r="A120" s="21"/>
      <c r="B120" s="21"/>
      <c r="C120" s="21"/>
      <c r="D120" s="21"/>
      <c r="I120" s="21"/>
      <c r="J120" s="21"/>
    </row>
    <row r="121" ht="15.75" customHeight="1">
      <c r="A121" s="21"/>
      <c r="B121" s="21"/>
      <c r="C121" s="21"/>
      <c r="D121" s="21"/>
      <c r="I121" s="21"/>
      <c r="J121" s="21"/>
    </row>
    <row r="122" ht="15.75" customHeight="1">
      <c r="A122" s="21"/>
      <c r="B122" s="21"/>
      <c r="C122" s="21"/>
      <c r="D122" s="21"/>
      <c r="I122" s="21"/>
      <c r="J122" s="21"/>
    </row>
    <row r="123" ht="15.75" customHeight="1">
      <c r="A123" s="21"/>
      <c r="B123" s="21"/>
      <c r="C123" s="21"/>
      <c r="D123" s="21"/>
      <c r="I123" s="21"/>
      <c r="J123" s="21"/>
    </row>
    <row r="124" ht="15.75" customHeight="1">
      <c r="A124" s="21"/>
      <c r="B124" s="21"/>
      <c r="C124" s="21"/>
      <c r="D124" s="21"/>
      <c r="I124" s="21"/>
      <c r="J124" s="21"/>
    </row>
    <row r="125" ht="15.75" customHeight="1">
      <c r="A125" s="21"/>
      <c r="B125" s="21"/>
      <c r="C125" s="21"/>
      <c r="D125" s="21"/>
      <c r="I125" s="21"/>
      <c r="J125" s="21"/>
    </row>
    <row r="126" ht="15.75" customHeight="1">
      <c r="A126" s="21"/>
      <c r="B126" s="21"/>
      <c r="C126" s="21"/>
      <c r="D126" s="21"/>
      <c r="I126" s="21"/>
      <c r="J126" s="21"/>
    </row>
    <row r="127" ht="15.75" customHeight="1">
      <c r="A127" s="21"/>
      <c r="B127" s="21"/>
      <c r="C127" s="21"/>
      <c r="D127" s="21"/>
      <c r="I127" s="21"/>
      <c r="J127" s="21"/>
    </row>
    <row r="128" ht="15.75" customHeight="1">
      <c r="A128" s="21"/>
      <c r="B128" s="21"/>
      <c r="C128" s="21"/>
      <c r="D128" s="21"/>
      <c r="I128" s="21"/>
      <c r="J128" s="21"/>
    </row>
    <row r="129" ht="15.75" customHeight="1">
      <c r="A129" s="21"/>
      <c r="B129" s="21"/>
      <c r="C129" s="21"/>
      <c r="D129" s="21"/>
      <c r="I129" s="21"/>
      <c r="J129" s="21"/>
    </row>
    <row r="130" ht="15.75" customHeight="1">
      <c r="A130" s="21"/>
      <c r="B130" s="21"/>
      <c r="C130" s="21"/>
      <c r="D130" s="21"/>
      <c r="I130" s="21"/>
      <c r="J130" s="21"/>
    </row>
    <row r="131" ht="15.75" customHeight="1">
      <c r="A131" s="21"/>
      <c r="B131" s="21"/>
      <c r="C131" s="21"/>
      <c r="D131" s="21"/>
      <c r="I131" s="21"/>
      <c r="J131" s="21"/>
    </row>
    <row r="132" ht="15.75" customHeight="1">
      <c r="A132" s="21"/>
      <c r="B132" s="21"/>
      <c r="C132" s="21"/>
      <c r="D132" s="21"/>
      <c r="I132" s="21"/>
      <c r="J132" s="21"/>
    </row>
    <row r="133" ht="15.75" customHeight="1">
      <c r="A133" s="21"/>
      <c r="B133" s="21"/>
      <c r="C133" s="21"/>
      <c r="D133" s="21"/>
      <c r="I133" s="21"/>
      <c r="J133" s="21"/>
    </row>
    <row r="134" ht="15.75" customHeight="1">
      <c r="A134" s="21"/>
      <c r="B134" s="21"/>
      <c r="C134" s="21"/>
      <c r="D134" s="21"/>
      <c r="I134" s="21"/>
      <c r="J134" s="21"/>
    </row>
    <row r="135" ht="15.75" customHeight="1">
      <c r="A135" s="21"/>
      <c r="B135" s="21"/>
      <c r="C135" s="21"/>
      <c r="D135" s="21"/>
      <c r="I135" s="21"/>
      <c r="J135" s="21"/>
    </row>
    <row r="136" ht="15.75" customHeight="1">
      <c r="A136" s="21"/>
      <c r="B136" s="21"/>
      <c r="C136" s="21"/>
      <c r="D136" s="21"/>
      <c r="I136" s="21"/>
      <c r="J136" s="21"/>
    </row>
    <row r="137" ht="15.75" customHeight="1">
      <c r="A137" s="21"/>
      <c r="B137" s="21"/>
      <c r="C137" s="21"/>
      <c r="D137" s="21"/>
      <c r="I137" s="21"/>
      <c r="J137" s="21"/>
    </row>
    <row r="138" ht="15.75" customHeight="1">
      <c r="A138" s="21"/>
      <c r="B138" s="21"/>
      <c r="C138" s="21"/>
      <c r="D138" s="21"/>
      <c r="I138" s="21"/>
      <c r="J138" s="21"/>
    </row>
    <row r="139" ht="15.75" customHeight="1">
      <c r="A139" s="21"/>
      <c r="B139" s="21"/>
      <c r="C139" s="21"/>
      <c r="D139" s="21"/>
      <c r="I139" s="21"/>
      <c r="J139" s="21"/>
    </row>
    <row r="140" ht="15.75" customHeight="1">
      <c r="A140" s="21"/>
      <c r="B140" s="21"/>
      <c r="C140" s="21"/>
      <c r="D140" s="21"/>
      <c r="I140" s="21"/>
      <c r="J140" s="21"/>
    </row>
    <row r="141" ht="15.75" customHeight="1">
      <c r="A141" s="21"/>
      <c r="B141" s="21"/>
      <c r="C141" s="21"/>
      <c r="D141" s="21"/>
      <c r="I141" s="21"/>
      <c r="J141" s="21"/>
    </row>
    <row r="142" ht="15.75" customHeight="1">
      <c r="A142" s="21"/>
      <c r="B142" s="21"/>
      <c r="C142" s="21"/>
      <c r="D142" s="21"/>
      <c r="I142" s="21"/>
      <c r="J142" s="21"/>
    </row>
    <row r="143" ht="15.75" customHeight="1">
      <c r="A143" s="21"/>
      <c r="B143" s="21"/>
      <c r="C143" s="21"/>
      <c r="D143" s="21"/>
      <c r="I143" s="21"/>
      <c r="J143" s="21"/>
    </row>
    <row r="144" ht="15.75" customHeight="1">
      <c r="A144" s="21"/>
      <c r="B144" s="21"/>
      <c r="C144" s="21"/>
      <c r="D144" s="21"/>
      <c r="I144" s="21"/>
      <c r="J144" s="21"/>
    </row>
    <row r="145" ht="15.75" customHeight="1">
      <c r="A145" s="21"/>
      <c r="B145" s="21"/>
      <c r="C145" s="21"/>
      <c r="D145" s="21"/>
      <c r="I145" s="21"/>
      <c r="J145" s="21"/>
    </row>
    <row r="146" ht="15.75" customHeight="1">
      <c r="A146" s="21"/>
      <c r="B146" s="21"/>
      <c r="C146" s="21"/>
      <c r="D146" s="21"/>
      <c r="I146" s="21"/>
      <c r="J146" s="21"/>
    </row>
    <row r="147" ht="15.75" customHeight="1">
      <c r="A147" s="21"/>
      <c r="B147" s="21"/>
      <c r="C147" s="21"/>
      <c r="D147" s="21"/>
      <c r="I147" s="21"/>
      <c r="J147" s="21"/>
    </row>
    <row r="148" ht="15.75" customHeight="1">
      <c r="A148" s="21"/>
      <c r="B148" s="21"/>
      <c r="C148" s="21"/>
      <c r="D148" s="21"/>
      <c r="I148" s="21"/>
      <c r="J148" s="21"/>
    </row>
    <row r="149" ht="15.75" customHeight="1">
      <c r="A149" s="21"/>
      <c r="B149" s="21"/>
      <c r="C149" s="21"/>
      <c r="D149" s="21"/>
      <c r="I149" s="21"/>
      <c r="J149" s="21"/>
    </row>
    <row r="150" ht="15.75" customHeight="1">
      <c r="A150" s="21"/>
      <c r="B150" s="21"/>
      <c r="C150" s="21"/>
      <c r="D150" s="21"/>
      <c r="I150" s="21"/>
      <c r="J150" s="21"/>
    </row>
    <row r="151" ht="15.75" customHeight="1">
      <c r="A151" s="21"/>
      <c r="B151" s="21"/>
      <c r="C151" s="21"/>
      <c r="D151" s="21"/>
      <c r="I151" s="21"/>
      <c r="J151" s="21"/>
    </row>
    <row r="152" ht="15.75" customHeight="1">
      <c r="A152" s="21"/>
      <c r="B152" s="21"/>
      <c r="C152" s="21"/>
      <c r="D152" s="21"/>
      <c r="I152" s="21"/>
      <c r="J152" s="21"/>
    </row>
    <row r="153" ht="15.75" customHeight="1">
      <c r="A153" s="21"/>
      <c r="B153" s="21"/>
      <c r="C153" s="21"/>
      <c r="D153" s="21"/>
      <c r="I153" s="21"/>
      <c r="J153" s="21"/>
    </row>
    <row r="154" ht="15.75" customHeight="1">
      <c r="A154" s="21"/>
      <c r="B154" s="21"/>
      <c r="C154" s="21"/>
      <c r="D154" s="21"/>
      <c r="I154" s="21"/>
      <c r="J154" s="21"/>
    </row>
    <row r="155" ht="15.75" customHeight="1">
      <c r="A155" s="21"/>
      <c r="B155" s="21"/>
      <c r="C155" s="21"/>
      <c r="D155" s="21"/>
      <c r="I155" s="21"/>
      <c r="J155" s="21"/>
    </row>
    <row r="156" ht="15.75" customHeight="1">
      <c r="A156" s="21"/>
      <c r="B156" s="21"/>
      <c r="C156" s="21"/>
      <c r="D156" s="21"/>
      <c r="I156" s="21"/>
      <c r="J156" s="21"/>
    </row>
    <row r="157" ht="15.75" customHeight="1">
      <c r="A157" s="21"/>
      <c r="B157" s="21"/>
      <c r="C157" s="21"/>
      <c r="D157" s="21"/>
      <c r="I157" s="21"/>
      <c r="J157" s="21"/>
    </row>
    <row r="158" ht="15.75" customHeight="1">
      <c r="A158" s="21"/>
      <c r="B158" s="21"/>
      <c r="C158" s="21"/>
      <c r="D158" s="21"/>
      <c r="I158" s="21"/>
      <c r="J158" s="21"/>
    </row>
    <row r="159" ht="15.75" customHeight="1">
      <c r="A159" s="21"/>
      <c r="B159" s="21"/>
      <c r="C159" s="21"/>
      <c r="D159" s="21"/>
      <c r="I159" s="21"/>
      <c r="J159" s="21"/>
    </row>
    <row r="160" ht="15.75" customHeight="1">
      <c r="A160" s="21"/>
      <c r="B160" s="21"/>
      <c r="C160" s="21"/>
      <c r="D160" s="21"/>
      <c r="I160" s="21"/>
      <c r="J160" s="21"/>
    </row>
    <row r="161" ht="15.75" customHeight="1">
      <c r="A161" s="21"/>
      <c r="B161" s="21"/>
      <c r="C161" s="21"/>
      <c r="D161" s="21"/>
      <c r="I161" s="21"/>
      <c r="J161" s="21"/>
    </row>
    <row r="162" ht="15.75" customHeight="1">
      <c r="A162" s="21"/>
      <c r="B162" s="21"/>
      <c r="C162" s="21"/>
      <c r="D162" s="21"/>
      <c r="I162" s="21"/>
      <c r="J162" s="21"/>
    </row>
    <row r="163" ht="15.75" customHeight="1">
      <c r="A163" s="21"/>
      <c r="B163" s="21"/>
      <c r="C163" s="21"/>
      <c r="D163" s="21"/>
      <c r="I163" s="21"/>
      <c r="J163" s="21"/>
    </row>
    <row r="164" ht="15.75" customHeight="1">
      <c r="A164" s="21"/>
      <c r="B164" s="21"/>
      <c r="C164" s="21"/>
      <c r="D164" s="21"/>
      <c r="I164" s="21"/>
      <c r="J164" s="21"/>
    </row>
    <row r="165" ht="15.75" customHeight="1">
      <c r="A165" s="21"/>
      <c r="B165" s="21"/>
      <c r="C165" s="21"/>
      <c r="D165" s="21"/>
      <c r="I165" s="21"/>
      <c r="J165" s="21"/>
    </row>
    <row r="166" ht="15.75" customHeight="1">
      <c r="A166" s="21"/>
      <c r="B166" s="21"/>
      <c r="C166" s="21"/>
      <c r="D166" s="21"/>
      <c r="I166" s="21"/>
      <c r="J166" s="21"/>
    </row>
    <row r="167" ht="15.75" customHeight="1">
      <c r="A167" s="21"/>
      <c r="B167" s="21"/>
      <c r="C167" s="21"/>
      <c r="D167" s="21"/>
      <c r="I167" s="21"/>
      <c r="J167" s="21"/>
    </row>
    <row r="168" ht="15.75" customHeight="1">
      <c r="A168" s="21"/>
      <c r="B168" s="21"/>
      <c r="C168" s="21"/>
      <c r="D168" s="21"/>
      <c r="I168" s="21"/>
      <c r="J168" s="21"/>
    </row>
    <row r="169" ht="15.75" customHeight="1">
      <c r="A169" s="21"/>
      <c r="B169" s="21"/>
      <c r="C169" s="21"/>
      <c r="D169" s="21"/>
      <c r="I169" s="21"/>
      <c r="J169" s="21"/>
    </row>
    <row r="170" ht="15.75" customHeight="1">
      <c r="A170" s="21"/>
      <c r="B170" s="21"/>
      <c r="C170" s="21"/>
      <c r="D170" s="21"/>
      <c r="I170" s="21"/>
      <c r="J170" s="21"/>
    </row>
    <row r="171" ht="15.75" customHeight="1">
      <c r="A171" s="21"/>
      <c r="B171" s="21"/>
      <c r="C171" s="21"/>
      <c r="D171" s="21"/>
      <c r="I171" s="21"/>
      <c r="J171" s="21"/>
    </row>
    <row r="172" ht="15.75" customHeight="1">
      <c r="A172" s="21"/>
      <c r="B172" s="21"/>
      <c r="C172" s="21"/>
      <c r="D172" s="21"/>
      <c r="I172" s="21"/>
      <c r="J172" s="21"/>
    </row>
    <row r="173" ht="15.75" customHeight="1">
      <c r="A173" s="21"/>
      <c r="B173" s="21"/>
      <c r="C173" s="21"/>
      <c r="D173" s="21"/>
      <c r="I173" s="21"/>
      <c r="J173" s="21"/>
    </row>
    <row r="174" ht="15.75" customHeight="1">
      <c r="A174" s="21"/>
      <c r="B174" s="21"/>
      <c r="C174" s="21"/>
      <c r="D174" s="21"/>
      <c r="I174" s="21"/>
      <c r="J174" s="21"/>
    </row>
    <row r="175" ht="15.75" customHeight="1">
      <c r="A175" s="21"/>
      <c r="B175" s="21"/>
      <c r="C175" s="21"/>
      <c r="D175" s="21"/>
      <c r="I175" s="21"/>
      <c r="J175" s="21"/>
    </row>
    <row r="176" ht="15.75" customHeight="1">
      <c r="A176" s="21"/>
      <c r="B176" s="21"/>
      <c r="C176" s="21"/>
      <c r="D176" s="21"/>
      <c r="I176" s="21"/>
      <c r="J176" s="21"/>
    </row>
    <row r="177" ht="15.75" customHeight="1">
      <c r="A177" s="21"/>
      <c r="B177" s="21"/>
      <c r="C177" s="21"/>
      <c r="D177" s="21"/>
      <c r="I177" s="21"/>
      <c r="J177" s="21"/>
    </row>
    <row r="178" ht="15.75" customHeight="1">
      <c r="A178" s="21"/>
      <c r="B178" s="21"/>
      <c r="C178" s="21"/>
      <c r="D178" s="21"/>
      <c r="I178" s="21"/>
      <c r="J178" s="21"/>
    </row>
    <row r="179" ht="15.75" customHeight="1">
      <c r="A179" s="21"/>
      <c r="B179" s="21"/>
      <c r="C179" s="21"/>
      <c r="D179" s="21"/>
      <c r="I179" s="21"/>
      <c r="J179" s="21"/>
    </row>
    <row r="180" ht="15.75" customHeight="1">
      <c r="A180" s="21"/>
      <c r="B180" s="21"/>
      <c r="C180" s="21"/>
      <c r="D180" s="21"/>
      <c r="I180" s="21"/>
      <c r="J180" s="21"/>
    </row>
    <row r="181" ht="15.75" customHeight="1">
      <c r="A181" s="21"/>
      <c r="B181" s="21"/>
      <c r="C181" s="21"/>
      <c r="D181" s="21"/>
      <c r="I181" s="21"/>
      <c r="J181" s="21"/>
    </row>
    <row r="182" ht="15.75" customHeight="1">
      <c r="A182" s="21"/>
      <c r="B182" s="21"/>
      <c r="C182" s="21"/>
      <c r="D182" s="21"/>
      <c r="I182" s="21"/>
      <c r="J182" s="21"/>
    </row>
    <row r="183" ht="15.75" customHeight="1">
      <c r="A183" s="21"/>
      <c r="B183" s="21"/>
      <c r="C183" s="21"/>
      <c r="D183" s="21"/>
      <c r="I183" s="21"/>
      <c r="J183" s="21"/>
    </row>
    <row r="184" ht="15.75" customHeight="1">
      <c r="A184" s="21"/>
      <c r="B184" s="21"/>
      <c r="C184" s="21"/>
      <c r="D184" s="21"/>
      <c r="I184" s="21"/>
      <c r="J184" s="21"/>
    </row>
    <row r="185" ht="15.75" customHeight="1">
      <c r="A185" s="21"/>
      <c r="B185" s="21"/>
      <c r="C185" s="21"/>
      <c r="D185" s="21"/>
      <c r="I185" s="21"/>
      <c r="J185" s="21"/>
    </row>
    <row r="186" ht="15.75" customHeight="1">
      <c r="A186" s="21"/>
      <c r="B186" s="21"/>
      <c r="C186" s="21"/>
      <c r="D186" s="21"/>
      <c r="I186" s="21"/>
      <c r="J186" s="21"/>
    </row>
    <row r="187" ht="15.75" customHeight="1">
      <c r="A187" s="21"/>
      <c r="B187" s="21"/>
      <c r="C187" s="21"/>
      <c r="D187" s="21"/>
      <c r="I187" s="21"/>
      <c r="J187" s="21"/>
    </row>
    <row r="188" ht="15.75" customHeight="1">
      <c r="A188" s="21"/>
      <c r="B188" s="21"/>
      <c r="C188" s="21"/>
      <c r="D188" s="21"/>
      <c r="I188" s="21"/>
      <c r="J188" s="21"/>
    </row>
    <row r="189" ht="15.75" customHeight="1">
      <c r="A189" s="21"/>
      <c r="B189" s="21"/>
      <c r="C189" s="21"/>
      <c r="D189" s="21"/>
      <c r="I189" s="21"/>
      <c r="J189" s="21"/>
    </row>
    <row r="190" ht="15.75" customHeight="1">
      <c r="A190" s="21"/>
      <c r="B190" s="21"/>
      <c r="C190" s="21"/>
      <c r="D190" s="21"/>
      <c r="I190" s="21"/>
      <c r="J190" s="21"/>
    </row>
    <row r="191" ht="15.75" customHeight="1">
      <c r="A191" s="21"/>
      <c r="B191" s="21"/>
      <c r="C191" s="21"/>
      <c r="D191" s="21"/>
      <c r="I191" s="21"/>
      <c r="J191" s="21"/>
    </row>
    <row r="192" ht="15.75" customHeight="1">
      <c r="A192" s="21"/>
      <c r="B192" s="21"/>
      <c r="C192" s="21"/>
      <c r="D192" s="21"/>
      <c r="I192" s="21"/>
      <c r="J192" s="21"/>
    </row>
    <row r="193" ht="15.75" customHeight="1">
      <c r="A193" s="21"/>
      <c r="B193" s="21"/>
      <c r="C193" s="21"/>
      <c r="D193" s="21"/>
      <c r="I193" s="21"/>
      <c r="J193" s="21"/>
    </row>
    <row r="194" ht="15.75" customHeight="1">
      <c r="A194" s="21"/>
      <c r="B194" s="21"/>
      <c r="C194" s="21"/>
      <c r="D194" s="21"/>
      <c r="I194" s="21"/>
      <c r="J194" s="21"/>
    </row>
    <row r="195" ht="15.75" customHeight="1">
      <c r="A195" s="21"/>
      <c r="B195" s="21"/>
      <c r="C195" s="21"/>
      <c r="D195" s="21"/>
      <c r="I195" s="21"/>
      <c r="J195" s="21"/>
    </row>
    <row r="196" ht="15.75" customHeight="1">
      <c r="A196" s="21"/>
      <c r="B196" s="21"/>
      <c r="C196" s="21"/>
      <c r="D196" s="21"/>
      <c r="I196" s="21"/>
      <c r="J196" s="21"/>
    </row>
    <row r="197" ht="15.75" customHeight="1">
      <c r="A197" s="21"/>
      <c r="B197" s="21"/>
      <c r="C197" s="21"/>
      <c r="D197" s="21"/>
      <c r="I197" s="21"/>
      <c r="J197" s="21"/>
    </row>
    <row r="198" ht="15.75" customHeight="1">
      <c r="A198" s="21"/>
      <c r="B198" s="21"/>
      <c r="C198" s="21"/>
      <c r="D198" s="21"/>
      <c r="I198" s="21"/>
      <c r="J198" s="21"/>
    </row>
    <row r="199" ht="15.75" customHeight="1">
      <c r="A199" s="21"/>
      <c r="B199" s="21"/>
      <c r="C199" s="21"/>
      <c r="D199" s="21"/>
      <c r="I199" s="21"/>
      <c r="J199" s="21"/>
    </row>
    <row r="200" ht="15.75" customHeight="1">
      <c r="A200" s="21"/>
      <c r="B200" s="21"/>
      <c r="C200" s="21"/>
      <c r="D200" s="21"/>
      <c r="I200" s="21"/>
      <c r="J200" s="21"/>
    </row>
    <row r="201" ht="15.75" customHeight="1">
      <c r="A201" s="21"/>
      <c r="B201" s="21"/>
      <c r="C201" s="21"/>
      <c r="D201" s="21"/>
      <c r="I201" s="21"/>
      <c r="J201" s="21"/>
    </row>
    <row r="202" ht="15.75" customHeight="1">
      <c r="A202" s="21"/>
      <c r="B202" s="21"/>
      <c r="C202" s="21"/>
      <c r="D202" s="21"/>
      <c r="I202" s="21"/>
      <c r="J202" s="21"/>
    </row>
    <row r="203" ht="15.75" customHeight="1">
      <c r="A203" s="21"/>
      <c r="B203" s="21"/>
      <c r="C203" s="21"/>
      <c r="D203" s="21"/>
      <c r="I203" s="21"/>
      <c r="J203" s="21"/>
    </row>
    <row r="204" ht="15.75" customHeight="1">
      <c r="A204" s="21"/>
      <c r="B204" s="21"/>
      <c r="C204" s="21"/>
      <c r="D204" s="21"/>
      <c r="I204" s="21"/>
      <c r="J204" s="21"/>
    </row>
    <row r="205" ht="15.75" customHeight="1">
      <c r="A205" s="21"/>
      <c r="B205" s="21"/>
      <c r="C205" s="21"/>
      <c r="D205" s="21"/>
      <c r="I205" s="21"/>
      <c r="J205" s="21"/>
    </row>
    <row r="206" ht="15.75" customHeight="1">
      <c r="A206" s="21"/>
      <c r="B206" s="21"/>
      <c r="C206" s="21"/>
      <c r="D206" s="21"/>
      <c r="I206" s="21"/>
      <c r="J206" s="21"/>
    </row>
    <row r="207" ht="15.75" customHeight="1">
      <c r="A207" s="21"/>
      <c r="B207" s="21"/>
      <c r="C207" s="21"/>
      <c r="D207" s="21"/>
      <c r="I207" s="21"/>
      <c r="J207" s="21"/>
    </row>
    <row r="208" ht="15.75" customHeight="1">
      <c r="A208" s="21"/>
      <c r="B208" s="21"/>
      <c r="C208" s="21"/>
      <c r="D208" s="21"/>
      <c r="I208" s="21"/>
      <c r="J208" s="21"/>
    </row>
    <row r="209" ht="15.75" customHeight="1">
      <c r="A209" s="21"/>
      <c r="B209" s="21"/>
      <c r="C209" s="21"/>
      <c r="D209" s="21"/>
      <c r="I209" s="21"/>
      <c r="J209" s="21"/>
    </row>
    <row r="210" ht="15.75" customHeight="1">
      <c r="A210" s="21"/>
      <c r="B210" s="21"/>
      <c r="C210" s="21"/>
      <c r="D210" s="21"/>
      <c r="I210" s="21"/>
      <c r="J210" s="21"/>
    </row>
    <row r="211" ht="15.75" customHeight="1">
      <c r="A211" s="21"/>
      <c r="B211" s="21"/>
      <c r="C211" s="21"/>
      <c r="D211" s="21"/>
      <c r="I211" s="21"/>
      <c r="J211" s="21"/>
    </row>
    <row r="212" ht="15.75" customHeight="1">
      <c r="A212" s="21"/>
      <c r="B212" s="21"/>
      <c r="C212" s="21"/>
      <c r="D212" s="21"/>
      <c r="I212" s="21"/>
      <c r="J212" s="21"/>
    </row>
    <row r="213" ht="15.75" customHeight="1">
      <c r="A213" s="21"/>
      <c r="B213" s="21"/>
      <c r="C213" s="21"/>
      <c r="D213" s="21"/>
      <c r="I213" s="21"/>
      <c r="J213" s="21"/>
    </row>
    <row r="214" ht="15.75" customHeight="1">
      <c r="A214" s="21"/>
      <c r="B214" s="21"/>
      <c r="C214" s="21"/>
      <c r="D214" s="21"/>
      <c r="I214" s="21"/>
      <c r="J214" s="21"/>
    </row>
    <row r="215" ht="15.75" customHeight="1">
      <c r="A215" s="21"/>
      <c r="B215" s="21"/>
      <c r="C215" s="21"/>
      <c r="D215" s="21"/>
      <c r="I215" s="21"/>
      <c r="J215" s="21"/>
    </row>
    <row r="216" ht="15.75" customHeight="1">
      <c r="A216" s="21"/>
      <c r="B216" s="21"/>
      <c r="C216" s="21"/>
      <c r="D216" s="21"/>
      <c r="I216" s="21"/>
      <c r="J216" s="21"/>
    </row>
    <row r="217" ht="15.75" customHeight="1">
      <c r="A217" s="21"/>
      <c r="B217" s="21"/>
      <c r="C217" s="21"/>
      <c r="D217" s="21"/>
      <c r="I217" s="21"/>
      <c r="J217" s="21"/>
    </row>
    <row r="218" ht="15.75" customHeight="1">
      <c r="A218" s="21"/>
      <c r="B218" s="21"/>
      <c r="C218" s="21"/>
      <c r="D218" s="21"/>
      <c r="I218" s="21"/>
      <c r="J218" s="21"/>
    </row>
    <row r="219" ht="15.75" customHeight="1">
      <c r="A219" s="21"/>
      <c r="B219" s="21"/>
      <c r="C219" s="21"/>
      <c r="D219" s="21"/>
      <c r="I219" s="21"/>
      <c r="J219" s="21"/>
    </row>
    <row r="220" ht="15.75" customHeight="1">
      <c r="A220" s="21"/>
      <c r="B220" s="21"/>
      <c r="C220" s="21"/>
      <c r="D220" s="21"/>
      <c r="I220" s="21"/>
      <c r="J220" s="21"/>
    </row>
    <row r="221" ht="15.75" customHeight="1">
      <c r="A221" s="21"/>
      <c r="B221" s="21"/>
      <c r="C221" s="21"/>
      <c r="D221" s="21"/>
      <c r="I221" s="21"/>
      <c r="J221" s="21"/>
    </row>
    <row r="222" ht="15.75" customHeight="1">
      <c r="A222" s="21"/>
      <c r="B222" s="21"/>
      <c r="C222" s="21"/>
      <c r="D222" s="21"/>
      <c r="I222" s="21"/>
      <c r="J222" s="21"/>
    </row>
    <row r="223" ht="15.75" customHeight="1">
      <c r="A223" s="21"/>
      <c r="B223" s="21"/>
      <c r="C223" s="21"/>
      <c r="D223" s="21"/>
      <c r="I223" s="21"/>
      <c r="J223" s="21"/>
    </row>
    <row r="224" ht="15.75" customHeight="1">
      <c r="A224" s="21"/>
      <c r="B224" s="21"/>
      <c r="C224" s="21"/>
      <c r="D224" s="21"/>
      <c r="I224" s="21"/>
      <c r="J224" s="21"/>
    </row>
    <row r="225" ht="15.75" customHeight="1">
      <c r="A225" s="21"/>
      <c r="B225" s="21"/>
      <c r="C225" s="21"/>
      <c r="D225" s="21"/>
      <c r="I225" s="21"/>
      <c r="J225" s="21"/>
    </row>
    <row r="226" ht="15.75" customHeight="1">
      <c r="A226" s="21"/>
      <c r="B226" s="21"/>
      <c r="C226" s="21"/>
      <c r="D226" s="21"/>
      <c r="I226" s="21"/>
      <c r="J226" s="21"/>
    </row>
    <row r="227" ht="15.75" customHeight="1">
      <c r="A227" s="21"/>
      <c r="B227" s="21"/>
      <c r="C227" s="21"/>
      <c r="D227" s="21"/>
      <c r="I227" s="21"/>
      <c r="J227" s="21"/>
    </row>
    <row r="228" ht="15.75" customHeight="1">
      <c r="A228" s="21"/>
      <c r="B228" s="21"/>
      <c r="C228" s="21"/>
      <c r="D228" s="21"/>
      <c r="I228" s="21"/>
      <c r="J228" s="21"/>
    </row>
    <row r="229" ht="15.75" customHeight="1">
      <c r="A229" s="21"/>
      <c r="B229" s="21"/>
      <c r="C229" s="21"/>
      <c r="D229" s="21"/>
      <c r="I229" s="21"/>
      <c r="J229" s="21"/>
    </row>
    <row r="230" ht="15.75" customHeight="1">
      <c r="A230" s="21"/>
      <c r="B230" s="21"/>
      <c r="C230" s="21"/>
      <c r="D230" s="21"/>
      <c r="I230" s="21"/>
      <c r="J230" s="21"/>
    </row>
    <row r="231" ht="15.75" customHeight="1">
      <c r="A231" s="21"/>
      <c r="B231" s="21"/>
      <c r="C231" s="21"/>
      <c r="D231" s="21"/>
      <c r="I231" s="21"/>
      <c r="J231" s="21"/>
    </row>
    <row r="232" ht="15.75" customHeight="1">
      <c r="A232" s="21"/>
      <c r="B232" s="21"/>
      <c r="C232" s="21"/>
      <c r="D232" s="21"/>
      <c r="I232" s="21"/>
      <c r="J232" s="21"/>
    </row>
    <row r="233" ht="15.75" customHeight="1">
      <c r="A233" s="21"/>
      <c r="B233" s="21"/>
      <c r="C233" s="21"/>
      <c r="D233" s="21"/>
      <c r="I233" s="21"/>
      <c r="J233" s="21"/>
    </row>
    <row r="234" ht="15.75" customHeight="1">
      <c r="A234" s="21"/>
      <c r="B234" s="21"/>
      <c r="C234" s="21"/>
      <c r="D234" s="21"/>
      <c r="I234" s="21"/>
      <c r="J234" s="21"/>
    </row>
    <row r="235" ht="15.75" customHeight="1">
      <c r="A235" s="21"/>
      <c r="B235" s="21"/>
      <c r="C235" s="21"/>
      <c r="D235" s="21"/>
      <c r="I235" s="21"/>
      <c r="J235" s="21"/>
    </row>
    <row r="236" ht="15.75" customHeight="1">
      <c r="A236" s="21"/>
      <c r="B236" s="21"/>
      <c r="C236" s="21"/>
      <c r="D236" s="21"/>
      <c r="I236" s="21"/>
      <c r="J236" s="21"/>
    </row>
    <row r="237" ht="15.75" customHeight="1">
      <c r="A237" s="21"/>
      <c r="B237" s="21"/>
      <c r="C237" s="21"/>
      <c r="D237" s="21"/>
      <c r="I237" s="21"/>
      <c r="J237" s="21"/>
    </row>
    <row r="238" ht="15.75" customHeight="1">
      <c r="A238" s="21"/>
      <c r="B238" s="21"/>
      <c r="C238" s="21"/>
      <c r="D238" s="21"/>
      <c r="I238" s="21"/>
      <c r="J238" s="21"/>
    </row>
    <row r="239" ht="15.75" customHeight="1">
      <c r="A239" s="21"/>
      <c r="B239" s="21"/>
      <c r="C239" s="21"/>
      <c r="D239" s="21"/>
      <c r="I239" s="21"/>
      <c r="J239" s="21"/>
    </row>
    <row r="240" ht="15.75" customHeight="1">
      <c r="A240" s="21"/>
      <c r="B240" s="21"/>
      <c r="C240" s="21"/>
      <c r="D240" s="21"/>
      <c r="I240" s="21"/>
      <c r="J240" s="21"/>
    </row>
    <row r="241" ht="15.75" customHeight="1">
      <c r="A241" s="21"/>
      <c r="B241" s="21"/>
      <c r="C241" s="21"/>
      <c r="D241" s="21"/>
      <c r="I241" s="21"/>
      <c r="J241" s="21"/>
    </row>
    <row r="242" ht="15.75" customHeight="1">
      <c r="A242" s="21"/>
      <c r="B242" s="21"/>
      <c r="C242" s="21"/>
      <c r="D242" s="21"/>
      <c r="I242" s="21"/>
      <c r="J242" s="21"/>
    </row>
    <row r="243" ht="15.75" customHeight="1">
      <c r="A243" s="21"/>
      <c r="B243" s="21"/>
      <c r="C243" s="21"/>
      <c r="D243" s="21"/>
      <c r="I243" s="21"/>
      <c r="J243" s="21"/>
    </row>
    <row r="244" ht="15.75" customHeight="1">
      <c r="A244" s="21"/>
      <c r="B244" s="21"/>
      <c r="C244" s="21"/>
      <c r="D244" s="21"/>
      <c r="I244" s="21"/>
      <c r="J244" s="21"/>
    </row>
    <row r="245" ht="15.75" customHeight="1">
      <c r="A245" s="21"/>
      <c r="B245" s="21"/>
      <c r="C245" s="21"/>
      <c r="D245" s="21"/>
      <c r="I245" s="21"/>
      <c r="J245" s="21"/>
    </row>
    <row r="246" ht="15.75" customHeight="1">
      <c r="A246" s="21"/>
      <c r="B246" s="21"/>
      <c r="C246" s="21"/>
      <c r="D246" s="21"/>
      <c r="I246" s="21"/>
      <c r="J246" s="21"/>
    </row>
    <row r="247" ht="15.75" customHeight="1">
      <c r="A247" s="21"/>
      <c r="B247" s="21"/>
      <c r="C247" s="21"/>
      <c r="D247" s="21"/>
      <c r="I247" s="21"/>
      <c r="J247" s="21"/>
    </row>
    <row r="248" ht="15.75" customHeight="1">
      <c r="A248" s="21"/>
      <c r="B248" s="21"/>
      <c r="C248" s="21"/>
      <c r="D248" s="21"/>
      <c r="I248" s="21"/>
      <c r="J248" s="21"/>
    </row>
    <row r="249" ht="15.75" customHeight="1">
      <c r="A249" s="21"/>
      <c r="B249" s="21"/>
      <c r="C249" s="21"/>
      <c r="D249" s="21"/>
      <c r="I249" s="21"/>
      <c r="J249" s="21"/>
    </row>
    <row r="250" ht="15.75" customHeight="1">
      <c r="A250" s="21"/>
      <c r="B250" s="21"/>
      <c r="C250" s="21"/>
      <c r="D250" s="21"/>
      <c r="I250" s="21"/>
      <c r="J250" s="21"/>
    </row>
    <row r="251" ht="15.75" customHeight="1">
      <c r="A251" s="21"/>
      <c r="B251" s="21"/>
      <c r="C251" s="21"/>
      <c r="D251" s="21"/>
      <c r="I251" s="21"/>
      <c r="J251" s="21"/>
    </row>
    <row r="252" ht="15.75" customHeight="1">
      <c r="A252" s="21"/>
      <c r="B252" s="21"/>
      <c r="C252" s="21"/>
      <c r="D252" s="21"/>
      <c r="I252" s="21"/>
      <c r="J252" s="21"/>
    </row>
    <row r="253" ht="15.75" customHeight="1">
      <c r="A253" s="21"/>
      <c r="B253" s="21"/>
      <c r="C253" s="21"/>
      <c r="D253" s="21"/>
      <c r="I253" s="21"/>
      <c r="J253" s="21"/>
    </row>
    <row r="254" ht="15.75" customHeight="1">
      <c r="A254" s="21"/>
      <c r="B254" s="21"/>
      <c r="C254" s="21"/>
      <c r="D254" s="21"/>
      <c r="I254" s="21"/>
      <c r="J254" s="21"/>
    </row>
    <row r="255" ht="15.75" customHeight="1">
      <c r="A255" s="21"/>
      <c r="B255" s="21"/>
      <c r="C255" s="21"/>
      <c r="D255" s="21"/>
      <c r="I255" s="21"/>
      <c r="J255" s="21"/>
    </row>
    <row r="256" ht="15.75" customHeight="1">
      <c r="A256" s="21"/>
      <c r="B256" s="21"/>
      <c r="C256" s="21"/>
      <c r="D256" s="21"/>
      <c r="I256" s="21"/>
      <c r="J256" s="21"/>
    </row>
    <row r="257" ht="15.75" customHeight="1">
      <c r="A257" s="21"/>
      <c r="B257" s="21"/>
      <c r="C257" s="21"/>
      <c r="D257" s="21"/>
      <c r="I257" s="21"/>
      <c r="J257" s="21"/>
    </row>
    <row r="258" ht="15.75" customHeight="1">
      <c r="A258" s="21"/>
      <c r="B258" s="21"/>
      <c r="C258" s="21"/>
      <c r="D258" s="21"/>
      <c r="I258" s="21"/>
      <c r="J258" s="21"/>
    </row>
    <row r="259" ht="15.75" customHeight="1">
      <c r="A259" s="21"/>
      <c r="B259" s="21"/>
      <c r="C259" s="21"/>
      <c r="D259" s="21"/>
      <c r="I259" s="21"/>
      <c r="J259" s="21"/>
    </row>
    <row r="260" ht="15.75" customHeight="1">
      <c r="A260" s="21"/>
      <c r="B260" s="21"/>
      <c r="C260" s="21"/>
      <c r="D260" s="21"/>
      <c r="I260" s="21"/>
      <c r="J260" s="21"/>
    </row>
    <row r="261" ht="15.75" customHeight="1">
      <c r="A261" s="21"/>
      <c r="B261" s="21"/>
      <c r="C261" s="21"/>
      <c r="D261" s="21"/>
      <c r="I261" s="21"/>
      <c r="J261" s="21"/>
    </row>
    <row r="262" ht="15.75" customHeight="1">
      <c r="A262" s="21"/>
      <c r="B262" s="21"/>
      <c r="C262" s="21"/>
      <c r="D262" s="21"/>
      <c r="I262" s="21"/>
      <c r="J262" s="21"/>
    </row>
    <row r="263" ht="15.75" customHeight="1">
      <c r="A263" s="21"/>
      <c r="B263" s="21"/>
      <c r="C263" s="21"/>
      <c r="D263" s="21"/>
      <c r="I263" s="21"/>
      <c r="J263" s="21"/>
    </row>
    <row r="264" ht="15.75" customHeight="1">
      <c r="A264" s="21"/>
      <c r="B264" s="21"/>
      <c r="C264" s="21"/>
      <c r="D264" s="21"/>
      <c r="I264" s="21"/>
      <c r="J264" s="21"/>
    </row>
    <row r="265" ht="15.75" customHeight="1">
      <c r="A265" s="21"/>
      <c r="B265" s="21"/>
      <c r="C265" s="21"/>
      <c r="D265" s="21"/>
      <c r="I265" s="21"/>
      <c r="J265" s="21"/>
    </row>
    <row r="266" ht="15.75" customHeight="1">
      <c r="A266" s="21"/>
      <c r="B266" s="21"/>
      <c r="C266" s="21"/>
      <c r="D266" s="21"/>
      <c r="I266" s="21"/>
      <c r="J266" s="21"/>
    </row>
    <row r="267" ht="15.75" customHeight="1">
      <c r="A267" s="21"/>
      <c r="B267" s="21"/>
      <c r="C267" s="21"/>
      <c r="D267" s="21"/>
      <c r="I267" s="21"/>
      <c r="J267" s="21"/>
    </row>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63"/>
    <col customWidth="1" min="2" max="2" width="22.75"/>
    <col customWidth="1" min="3" max="3" width="21.38"/>
    <col customWidth="1" min="4" max="4" width="13.63"/>
    <col customWidth="1" min="5" max="5" width="12.25"/>
    <col customWidth="1" min="6" max="6" width="14.63"/>
    <col customWidth="1" min="7" max="7" width="17.25"/>
    <col customWidth="1" min="8" max="8" width="6.88"/>
    <col customWidth="1" min="9" max="9" width="13.75"/>
    <col customWidth="1" min="10" max="10" width="19.88"/>
    <col customWidth="1" min="11" max="11" width="22.0"/>
    <col customWidth="1" min="12" max="12" width="24.5"/>
    <col customWidth="1" min="14" max="15" width="15.5"/>
  </cols>
  <sheetData>
    <row r="1" ht="15.75" customHeight="1">
      <c r="A1" s="2" t="s">
        <v>3</v>
      </c>
      <c r="B1" s="2" t="s">
        <v>6</v>
      </c>
      <c r="C1" s="2" t="s">
        <v>7</v>
      </c>
      <c r="D1" s="2" t="s">
        <v>9</v>
      </c>
      <c r="E1" s="2" t="s">
        <v>11</v>
      </c>
      <c r="F1" s="2" t="s">
        <v>14</v>
      </c>
      <c r="G1" s="2" t="s">
        <v>16</v>
      </c>
      <c r="H1" s="2" t="s">
        <v>20</v>
      </c>
      <c r="I1" s="2" t="s">
        <v>25</v>
      </c>
      <c r="J1" s="2" t="s">
        <v>28</v>
      </c>
      <c r="K1" s="2" t="s">
        <v>31</v>
      </c>
      <c r="L1" s="2" t="s">
        <v>33</v>
      </c>
      <c r="M1" s="2" t="s">
        <v>36</v>
      </c>
      <c r="N1" s="2" t="s">
        <v>37</v>
      </c>
      <c r="O1" s="2" t="s">
        <v>39</v>
      </c>
      <c r="P1" s="2" t="s">
        <v>27</v>
      </c>
    </row>
    <row r="2" ht="15.75" customHeight="1">
      <c r="A2" s="9" t="s">
        <v>43</v>
      </c>
      <c r="B2" s="9" t="s">
        <v>48</v>
      </c>
      <c r="C2" s="9" t="s">
        <v>49</v>
      </c>
      <c r="D2" s="9" t="s">
        <v>50</v>
      </c>
      <c r="E2" s="9" t="s">
        <v>51</v>
      </c>
      <c r="F2" s="13">
        <v>45658.0</v>
      </c>
      <c r="G2" s="9">
        <v>150.0</v>
      </c>
      <c r="H2" s="9" t="s">
        <v>60</v>
      </c>
      <c r="I2" s="9" t="s">
        <v>61</v>
      </c>
      <c r="J2" s="9">
        <v>1.0</v>
      </c>
      <c r="K2" s="9" t="s">
        <v>65</v>
      </c>
      <c r="L2" s="9" t="s">
        <v>67</v>
      </c>
      <c r="M2" s="9" t="s">
        <v>68</v>
      </c>
      <c r="N2" s="9" t="s">
        <v>70</v>
      </c>
      <c r="O2" s="9">
        <v>1.0</v>
      </c>
      <c r="P2" s="9" t="s">
        <v>71</v>
      </c>
    </row>
    <row r="3" ht="15.75" customHeight="1">
      <c r="A3" s="9" t="s">
        <v>73</v>
      </c>
      <c r="B3" s="9" t="s">
        <v>75</v>
      </c>
      <c r="C3" s="9" t="s">
        <v>76</v>
      </c>
      <c r="D3" s="9" t="s">
        <v>77</v>
      </c>
      <c r="E3" s="9" t="s">
        <v>78</v>
      </c>
      <c r="F3" s="13">
        <v>45689.0</v>
      </c>
      <c r="G3" s="9">
        <v>287.0</v>
      </c>
      <c r="H3" s="9" t="s">
        <v>60</v>
      </c>
      <c r="I3" s="9" t="s">
        <v>80</v>
      </c>
      <c r="J3" s="14">
        <v>46204.0</v>
      </c>
      <c r="K3" s="9" t="s">
        <v>88</v>
      </c>
      <c r="L3" s="9" t="s">
        <v>89</v>
      </c>
      <c r="M3" s="9" t="s">
        <v>91</v>
      </c>
      <c r="N3" s="9" t="s">
        <v>92</v>
      </c>
      <c r="O3" s="9">
        <v>4.0</v>
      </c>
      <c r="P3" s="9" t="s">
        <v>71</v>
      </c>
    </row>
    <row r="4" ht="15.75" customHeight="1">
      <c r="A4" s="9" t="s">
        <v>93</v>
      </c>
      <c r="B4" s="9" t="s">
        <v>96</v>
      </c>
      <c r="C4" s="9" t="s">
        <v>98</v>
      </c>
      <c r="D4" s="9" t="s">
        <v>103</v>
      </c>
      <c r="E4" s="9" t="s">
        <v>104</v>
      </c>
      <c r="F4" s="13">
        <v>45717.0</v>
      </c>
      <c r="G4" s="9">
        <v>424.0</v>
      </c>
      <c r="H4" s="9" t="s">
        <v>60</v>
      </c>
      <c r="I4" s="9" t="s">
        <v>106</v>
      </c>
      <c r="J4" s="14">
        <v>46144.0</v>
      </c>
      <c r="K4" s="9" t="s">
        <v>108</v>
      </c>
      <c r="L4" s="9" t="s">
        <v>109</v>
      </c>
      <c r="M4" s="9" t="s">
        <v>111</v>
      </c>
      <c r="N4" s="9" t="s">
        <v>113</v>
      </c>
      <c r="O4" s="9">
        <v>7.0</v>
      </c>
      <c r="P4" s="9" t="s">
        <v>71</v>
      </c>
    </row>
    <row r="5" ht="15.75" customHeight="1">
      <c r="A5" s="9" t="s">
        <v>116</v>
      </c>
      <c r="B5" s="9" t="s">
        <v>119</v>
      </c>
      <c r="C5" s="9" t="s">
        <v>120</v>
      </c>
      <c r="D5" s="9" t="s">
        <v>121</v>
      </c>
      <c r="E5" s="9" t="s">
        <v>123</v>
      </c>
      <c r="F5" s="13">
        <v>45748.0</v>
      </c>
      <c r="G5" s="9">
        <v>561.0</v>
      </c>
      <c r="H5" s="9" t="s">
        <v>60</v>
      </c>
      <c r="I5" s="9" t="s">
        <v>126</v>
      </c>
      <c r="J5" s="14">
        <v>46056.0</v>
      </c>
      <c r="K5" s="9" t="s">
        <v>65</v>
      </c>
      <c r="L5" s="9" t="s">
        <v>127</v>
      </c>
      <c r="M5" s="9" t="s">
        <v>106</v>
      </c>
      <c r="N5" s="9" t="s">
        <v>70</v>
      </c>
      <c r="O5" s="9">
        <v>10.0</v>
      </c>
      <c r="P5" s="9" t="s">
        <v>71</v>
      </c>
    </row>
    <row r="6" ht="15.75" customHeight="1">
      <c r="A6" s="9" t="s">
        <v>132</v>
      </c>
      <c r="B6" s="9" t="s">
        <v>133</v>
      </c>
      <c r="C6" s="9" t="s">
        <v>134</v>
      </c>
      <c r="D6" s="9" t="s">
        <v>135</v>
      </c>
      <c r="E6" s="9" t="s">
        <v>136</v>
      </c>
      <c r="F6" s="13">
        <v>45778.0</v>
      </c>
      <c r="G6" s="9">
        <v>698.0</v>
      </c>
      <c r="H6" s="9" t="s">
        <v>60</v>
      </c>
      <c r="I6" s="9" t="s">
        <v>61</v>
      </c>
      <c r="J6" s="14">
        <v>46268.0</v>
      </c>
      <c r="K6" s="9" t="s">
        <v>88</v>
      </c>
      <c r="L6" s="9" t="s">
        <v>67</v>
      </c>
      <c r="M6" s="9" t="s">
        <v>68</v>
      </c>
      <c r="N6" s="9" t="s">
        <v>92</v>
      </c>
      <c r="O6" s="9">
        <v>3.0</v>
      </c>
      <c r="P6" s="9" t="s">
        <v>71</v>
      </c>
    </row>
    <row r="7" ht="15.75" customHeight="1">
      <c r="A7" s="9" t="s">
        <v>142</v>
      </c>
      <c r="B7" s="9" t="s">
        <v>134</v>
      </c>
      <c r="C7" s="9" t="s">
        <v>134</v>
      </c>
      <c r="D7" s="9" t="s">
        <v>145</v>
      </c>
      <c r="E7" s="9" t="s">
        <v>146</v>
      </c>
      <c r="F7" s="13">
        <v>45809.0</v>
      </c>
      <c r="G7" s="9">
        <v>835.0</v>
      </c>
      <c r="H7" s="9" t="s">
        <v>60</v>
      </c>
      <c r="I7" s="9" t="s">
        <v>80</v>
      </c>
      <c r="J7" s="14">
        <v>46207.0</v>
      </c>
      <c r="K7" s="9" t="s">
        <v>108</v>
      </c>
      <c r="L7" s="9" t="s">
        <v>89</v>
      </c>
      <c r="M7" s="9" t="s">
        <v>91</v>
      </c>
      <c r="N7" s="9" t="s">
        <v>113</v>
      </c>
      <c r="O7" s="9">
        <v>6.0</v>
      </c>
      <c r="P7" s="9" t="s">
        <v>71</v>
      </c>
    </row>
    <row r="8" ht="15.75" customHeight="1">
      <c r="A8" s="9" t="s">
        <v>152</v>
      </c>
      <c r="B8" s="9" t="s">
        <v>156</v>
      </c>
      <c r="C8" s="9" t="s">
        <v>157</v>
      </c>
      <c r="D8" s="9" t="s">
        <v>159</v>
      </c>
      <c r="E8" s="9" t="s">
        <v>160</v>
      </c>
      <c r="F8" s="13">
        <v>45839.0</v>
      </c>
      <c r="G8" s="9">
        <v>972.0</v>
      </c>
      <c r="H8" s="9" t="s">
        <v>60</v>
      </c>
      <c r="I8" s="9" t="s">
        <v>106</v>
      </c>
      <c r="J8" s="14">
        <v>46117.0</v>
      </c>
      <c r="K8" s="9" t="s">
        <v>65</v>
      </c>
      <c r="L8" s="9" t="s">
        <v>109</v>
      </c>
      <c r="M8" s="9" t="s">
        <v>111</v>
      </c>
      <c r="N8" s="9" t="s">
        <v>70</v>
      </c>
      <c r="O8" s="9">
        <v>9.0</v>
      </c>
      <c r="P8" s="9" t="s">
        <v>71</v>
      </c>
    </row>
    <row r="9" ht="15.75" customHeight="1">
      <c r="A9" s="9" t="s">
        <v>162</v>
      </c>
      <c r="B9" s="9" t="s">
        <v>164</v>
      </c>
      <c r="C9" s="9" t="s">
        <v>134</v>
      </c>
      <c r="D9" s="9" t="s">
        <v>167</v>
      </c>
      <c r="E9" s="9" t="s">
        <v>169</v>
      </c>
      <c r="F9" s="13">
        <v>45870.0</v>
      </c>
      <c r="G9" s="9">
        <v>1109.0</v>
      </c>
      <c r="H9" s="9" t="s">
        <v>60</v>
      </c>
      <c r="I9" s="9" t="s">
        <v>126</v>
      </c>
      <c r="J9" s="14">
        <v>46028.0</v>
      </c>
      <c r="K9" s="9" t="s">
        <v>88</v>
      </c>
      <c r="L9" s="9" t="s">
        <v>127</v>
      </c>
      <c r="M9" s="9" t="s">
        <v>106</v>
      </c>
      <c r="N9" s="9" t="s">
        <v>92</v>
      </c>
      <c r="O9" s="9">
        <v>2.0</v>
      </c>
      <c r="P9" s="9" t="s">
        <v>71</v>
      </c>
    </row>
    <row r="10" ht="15.75" customHeight="1">
      <c r="A10" s="9" t="s">
        <v>177</v>
      </c>
      <c r="B10" s="9" t="s">
        <v>178</v>
      </c>
      <c r="C10" s="9" t="s">
        <v>182</v>
      </c>
      <c r="D10" s="9" t="s">
        <v>184</v>
      </c>
      <c r="E10" s="9" t="s">
        <v>185</v>
      </c>
      <c r="F10" s="13">
        <v>45901.0</v>
      </c>
      <c r="G10" s="9">
        <v>1246.0</v>
      </c>
      <c r="H10" s="9" t="s">
        <v>60</v>
      </c>
      <c r="I10" s="9" t="s">
        <v>61</v>
      </c>
      <c r="J10" s="14">
        <v>46240.0</v>
      </c>
      <c r="K10" s="9" t="s">
        <v>108</v>
      </c>
      <c r="L10" s="9" t="s">
        <v>67</v>
      </c>
      <c r="M10" s="9" t="s">
        <v>68</v>
      </c>
      <c r="N10" s="9" t="s">
        <v>113</v>
      </c>
      <c r="O10" s="9">
        <v>5.0</v>
      </c>
      <c r="P10" s="9" t="s">
        <v>71</v>
      </c>
    </row>
    <row r="11" ht="15.75" customHeight="1">
      <c r="A11" s="9" t="s">
        <v>191</v>
      </c>
      <c r="B11" s="9" t="s">
        <v>193</v>
      </c>
      <c r="C11" s="9" t="s">
        <v>194</v>
      </c>
      <c r="D11" s="9" t="s">
        <v>195</v>
      </c>
      <c r="E11" s="9" t="s">
        <v>196</v>
      </c>
      <c r="F11" s="13">
        <v>45931.0</v>
      </c>
      <c r="G11" s="9">
        <v>1383.0</v>
      </c>
      <c r="H11" s="9" t="s">
        <v>60</v>
      </c>
      <c r="I11" s="9" t="s">
        <v>80</v>
      </c>
      <c r="J11" s="14">
        <v>46180.0</v>
      </c>
      <c r="K11" s="9" t="s">
        <v>65</v>
      </c>
      <c r="L11" s="9" t="s">
        <v>89</v>
      </c>
      <c r="M11" s="9" t="s">
        <v>91</v>
      </c>
      <c r="N11" s="9" t="s">
        <v>70</v>
      </c>
      <c r="O11" s="9">
        <v>8.0</v>
      </c>
      <c r="P11" s="9" t="s">
        <v>71</v>
      </c>
    </row>
    <row r="12" ht="15.75" customHeight="1">
      <c r="A12" s="9" t="s">
        <v>198</v>
      </c>
      <c r="B12" s="9" t="s">
        <v>199</v>
      </c>
      <c r="C12" s="9" t="s">
        <v>182</v>
      </c>
      <c r="D12" s="9" t="s">
        <v>200</v>
      </c>
      <c r="E12" s="9" t="s">
        <v>202</v>
      </c>
      <c r="F12" s="13">
        <v>45962.0</v>
      </c>
      <c r="G12" s="9">
        <v>169.0</v>
      </c>
      <c r="H12" s="9" t="s">
        <v>60</v>
      </c>
      <c r="I12" s="9" t="s">
        <v>106</v>
      </c>
      <c r="J12" s="14">
        <v>46089.0</v>
      </c>
      <c r="K12" s="9" t="s">
        <v>88</v>
      </c>
      <c r="L12" s="9" t="s">
        <v>109</v>
      </c>
      <c r="M12" s="9" t="s">
        <v>111</v>
      </c>
      <c r="N12" s="9" t="s">
        <v>92</v>
      </c>
      <c r="O12" s="9">
        <v>1.0</v>
      </c>
      <c r="P12" s="9" t="s">
        <v>71</v>
      </c>
    </row>
    <row r="13" ht="15.75" customHeight="1">
      <c r="A13" s="9" t="s">
        <v>207</v>
      </c>
      <c r="B13" s="9" t="s">
        <v>209</v>
      </c>
      <c r="C13" s="9" t="s">
        <v>182</v>
      </c>
      <c r="D13" s="9" t="s">
        <v>210</v>
      </c>
      <c r="E13" s="9" t="s">
        <v>211</v>
      </c>
      <c r="F13" s="13">
        <v>45992.0</v>
      </c>
      <c r="G13" s="9">
        <v>306.0</v>
      </c>
      <c r="H13" s="9" t="s">
        <v>60</v>
      </c>
      <c r="I13" s="9" t="s">
        <v>126</v>
      </c>
      <c r="J13" s="9">
        <v>9.0</v>
      </c>
      <c r="K13" s="9" t="s">
        <v>108</v>
      </c>
      <c r="L13" s="9" t="s">
        <v>127</v>
      </c>
      <c r="M13" s="9" t="s">
        <v>106</v>
      </c>
      <c r="N13" s="9" t="s">
        <v>113</v>
      </c>
      <c r="O13" s="9">
        <v>4.0</v>
      </c>
      <c r="P13" s="9" t="s">
        <v>71</v>
      </c>
    </row>
    <row r="14" ht="15.75" customHeight="1">
      <c r="A14" s="9" t="s">
        <v>215</v>
      </c>
      <c r="B14" s="9" t="s">
        <v>216</v>
      </c>
      <c r="C14" s="9" t="s">
        <v>217</v>
      </c>
      <c r="D14" s="9" t="s">
        <v>219</v>
      </c>
      <c r="E14" s="9" t="s">
        <v>221</v>
      </c>
      <c r="F14" s="13">
        <v>45658.0</v>
      </c>
      <c r="G14" s="9">
        <v>443.0</v>
      </c>
      <c r="H14" s="9" t="s">
        <v>60</v>
      </c>
      <c r="I14" s="9" t="s">
        <v>61</v>
      </c>
      <c r="J14" s="14">
        <v>46243.0</v>
      </c>
      <c r="K14" s="9" t="s">
        <v>65</v>
      </c>
      <c r="L14" s="9" t="s">
        <v>67</v>
      </c>
      <c r="M14" s="9" t="s">
        <v>68</v>
      </c>
      <c r="N14" s="9" t="s">
        <v>70</v>
      </c>
      <c r="O14" s="9">
        <v>7.0</v>
      </c>
      <c r="P14" s="9" t="s">
        <v>71</v>
      </c>
    </row>
    <row r="15" ht="15.75" customHeight="1">
      <c r="A15" s="9" t="s">
        <v>225</v>
      </c>
      <c r="B15" s="9" t="s">
        <v>226</v>
      </c>
      <c r="C15" s="9" t="s">
        <v>76</v>
      </c>
      <c r="D15" s="9" t="s">
        <v>228</v>
      </c>
      <c r="E15" s="9" t="s">
        <v>229</v>
      </c>
      <c r="F15" s="13">
        <v>45689.0</v>
      </c>
      <c r="G15" s="9">
        <v>580.0</v>
      </c>
      <c r="H15" s="9" t="s">
        <v>60</v>
      </c>
      <c r="I15" s="9" t="s">
        <v>80</v>
      </c>
      <c r="J15" s="14">
        <v>46152.0</v>
      </c>
      <c r="K15" s="9" t="s">
        <v>88</v>
      </c>
      <c r="L15" s="9" t="s">
        <v>89</v>
      </c>
      <c r="M15" s="9" t="s">
        <v>91</v>
      </c>
      <c r="N15" s="9" t="s">
        <v>92</v>
      </c>
      <c r="O15" s="9">
        <v>10.0</v>
      </c>
      <c r="P15" s="9" t="s">
        <v>71</v>
      </c>
    </row>
    <row r="16" ht="15.75" customHeight="1">
      <c r="A16" s="9" t="s">
        <v>233</v>
      </c>
      <c r="B16" s="9" t="s">
        <v>234</v>
      </c>
      <c r="C16" s="9" t="s">
        <v>194</v>
      </c>
      <c r="D16" s="9" t="s">
        <v>235</v>
      </c>
      <c r="E16" s="9" t="s">
        <v>237</v>
      </c>
      <c r="F16" s="13">
        <v>45717.0</v>
      </c>
      <c r="G16" s="9">
        <v>717.0</v>
      </c>
      <c r="H16" s="9" t="s">
        <v>60</v>
      </c>
      <c r="I16" s="9" t="s">
        <v>106</v>
      </c>
      <c r="J16" s="14">
        <v>46204.0</v>
      </c>
      <c r="K16" s="9" t="s">
        <v>108</v>
      </c>
      <c r="L16" s="9" t="s">
        <v>109</v>
      </c>
      <c r="M16" s="9" t="s">
        <v>111</v>
      </c>
      <c r="N16" s="9" t="s">
        <v>113</v>
      </c>
      <c r="O16" s="9">
        <v>3.0</v>
      </c>
      <c r="P16" s="9" t="s">
        <v>71</v>
      </c>
    </row>
    <row r="17" ht="15.75" customHeight="1">
      <c r="A17" s="9" t="s">
        <v>242</v>
      </c>
      <c r="B17" s="9" t="s">
        <v>243</v>
      </c>
      <c r="C17" s="9" t="s">
        <v>182</v>
      </c>
      <c r="D17" s="9" t="s">
        <v>251</v>
      </c>
      <c r="E17" s="9" t="s">
        <v>252</v>
      </c>
      <c r="F17" s="13">
        <v>45748.0</v>
      </c>
      <c r="G17" s="9">
        <v>854.0</v>
      </c>
      <c r="H17" s="9" t="s">
        <v>60</v>
      </c>
      <c r="I17" s="9" t="s">
        <v>126</v>
      </c>
      <c r="J17" s="14">
        <v>46114.0</v>
      </c>
      <c r="K17" s="9" t="s">
        <v>65</v>
      </c>
      <c r="L17" s="9" t="s">
        <v>127</v>
      </c>
      <c r="M17" s="9" t="s">
        <v>106</v>
      </c>
      <c r="N17" s="9" t="s">
        <v>70</v>
      </c>
      <c r="O17" s="9">
        <v>6.0</v>
      </c>
      <c r="P17" s="9" t="s">
        <v>71</v>
      </c>
    </row>
    <row r="18" ht="15.75" customHeight="1">
      <c r="A18" s="9" t="s">
        <v>255</v>
      </c>
      <c r="B18" s="9" t="s">
        <v>256</v>
      </c>
      <c r="C18" s="9" t="s">
        <v>258</v>
      </c>
      <c r="D18" s="9" t="s">
        <v>259</v>
      </c>
      <c r="E18" s="9" t="s">
        <v>260</v>
      </c>
      <c r="F18" s="13">
        <v>45778.0</v>
      </c>
      <c r="G18" s="9">
        <v>991.0</v>
      </c>
      <c r="H18" s="9" t="s">
        <v>60</v>
      </c>
      <c r="I18" s="9" t="s">
        <v>61</v>
      </c>
      <c r="J18" s="14">
        <v>46056.0</v>
      </c>
      <c r="K18" s="9" t="s">
        <v>88</v>
      </c>
      <c r="L18" s="9" t="s">
        <v>67</v>
      </c>
      <c r="M18" s="9" t="s">
        <v>68</v>
      </c>
      <c r="N18" s="9" t="s">
        <v>92</v>
      </c>
      <c r="O18" s="9">
        <v>9.0</v>
      </c>
      <c r="P18" s="9" t="s">
        <v>71</v>
      </c>
    </row>
    <row r="19" ht="15.75" customHeight="1">
      <c r="A19" s="9" t="s">
        <v>43</v>
      </c>
      <c r="B19" s="9" t="s">
        <v>48</v>
      </c>
      <c r="C19" s="9" t="s">
        <v>49</v>
      </c>
      <c r="D19" s="9" t="s">
        <v>264</v>
      </c>
      <c r="E19" s="9" t="s">
        <v>265</v>
      </c>
      <c r="F19" s="13">
        <v>45809.0</v>
      </c>
      <c r="G19" s="9">
        <v>1128.0</v>
      </c>
      <c r="H19" s="9" t="s">
        <v>60</v>
      </c>
      <c r="I19" s="9" t="s">
        <v>80</v>
      </c>
      <c r="J19" s="14">
        <v>46268.0</v>
      </c>
      <c r="K19" s="9" t="s">
        <v>108</v>
      </c>
      <c r="L19" s="9" t="s">
        <v>89</v>
      </c>
      <c r="M19" s="9" t="s">
        <v>91</v>
      </c>
      <c r="N19" s="9" t="s">
        <v>113</v>
      </c>
      <c r="O19" s="9">
        <v>2.0</v>
      </c>
      <c r="P19" s="9" t="s">
        <v>71</v>
      </c>
    </row>
    <row r="20" ht="15.75" customHeight="1">
      <c r="A20" s="9" t="s">
        <v>73</v>
      </c>
      <c r="B20" s="9" t="s">
        <v>75</v>
      </c>
      <c r="C20" s="9" t="s">
        <v>76</v>
      </c>
      <c r="D20" s="9" t="s">
        <v>271</v>
      </c>
      <c r="E20" s="9" t="s">
        <v>272</v>
      </c>
      <c r="F20" s="13">
        <v>45839.0</v>
      </c>
      <c r="G20" s="9">
        <v>1265.0</v>
      </c>
      <c r="H20" s="9" t="s">
        <v>60</v>
      </c>
      <c r="I20" s="9" t="s">
        <v>106</v>
      </c>
      <c r="J20" s="14">
        <v>46177.0</v>
      </c>
      <c r="K20" s="9" t="s">
        <v>65</v>
      </c>
      <c r="L20" s="9" t="s">
        <v>109</v>
      </c>
      <c r="M20" s="9" t="s">
        <v>111</v>
      </c>
      <c r="N20" s="9" t="s">
        <v>70</v>
      </c>
      <c r="O20" s="9">
        <v>5.0</v>
      </c>
      <c r="P20" s="9" t="s">
        <v>71</v>
      </c>
    </row>
    <row r="21" ht="15.75" customHeight="1">
      <c r="A21" s="9" t="s">
        <v>93</v>
      </c>
      <c r="B21" s="9" t="s">
        <v>96</v>
      </c>
      <c r="C21" s="9" t="s">
        <v>98</v>
      </c>
      <c r="D21" s="9" t="s">
        <v>278</v>
      </c>
      <c r="E21" s="9" t="s">
        <v>279</v>
      </c>
      <c r="F21" s="13">
        <v>45870.0</v>
      </c>
      <c r="G21" s="9">
        <v>1402.0</v>
      </c>
      <c r="H21" s="9" t="s">
        <v>60</v>
      </c>
      <c r="I21" s="9" t="s">
        <v>126</v>
      </c>
      <c r="J21" s="14">
        <v>46117.0</v>
      </c>
      <c r="K21" s="9" t="s">
        <v>88</v>
      </c>
      <c r="L21" s="9" t="s">
        <v>127</v>
      </c>
      <c r="M21" s="9" t="s">
        <v>106</v>
      </c>
      <c r="N21" s="9" t="s">
        <v>92</v>
      </c>
      <c r="O21" s="9">
        <v>8.0</v>
      </c>
      <c r="P21" s="9" t="s">
        <v>71</v>
      </c>
    </row>
    <row r="22" ht="15.75" customHeight="1">
      <c r="A22" s="9" t="s">
        <v>116</v>
      </c>
      <c r="B22" s="9" t="s">
        <v>119</v>
      </c>
      <c r="C22" s="9" t="s">
        <v>120</v>
      </c>
      <c r="D22" s="9" t="s">
        <v>285</v>
      </c>
      <c r="E22" s="9" t="s">
        <v>286</v>
      </c>
      <c r="F22" s="13">
        <v>45901.0</v>
      </c>
      <c r="G22" s="9">
        <v>188.0</v>
      </c>
      <c r="H22" s="9" t="s">
        <v>60</v>
      </c>
      <c r="I22" s="9" t="s">
        <v>61</v>
      </c>
      <c r="J22" s="14">
        <v>46028.0</v>
      </c>
      <c r="K22" s="9" t="s">
        <v>108</v>
      </c>
      <c r="L22" s="9" t="s">
        <v>67</v>
      </c>
      <c r="M22" s="9" t="s">
        <v>68</v>
      </c>
      <c r="N22" s="9" t="s">
        <v>113</v>
      </c>
      <c r="O22" s="9">
        <v>1.0</v>
      </c>
      <c r="P22" s="9" t="s">
        <v>71</v>
      </c>
    </row>
    <row r="23" ht="15.75" customHeight="1">
      <c r="A23" s="9" t="s">
        <v>132</v>
      </c>
      <c r="B23" s="9" t="s">
        <v>133</v>
      </c>
      <c r="C23" s="9" t="s">
        <v>134</v>
      </c>
      <c r="D23" s="9" t="s">
        <v>293</v>
      </c>
      <c r="E23" s="9" t="s">
        <v>294</v>
      </c>
      <c r="F23" s="13">
        <v>45931.0</v>
      </c>
      <c r="G23" s="9">
        <v>325.0</v>
      </c>
      <c r="H23" s="9" t="s">
        <v>60</v>
      </c>
      <c r="I23" s="9" t="s">
        <v>80</v>
      </c>
      <c r="J23" s="14">
        <v>46240.0</v>
      </c>
      <c r="K23" s="9" t="s">
        <v>65</v>
      </c>
      <c r="L23" s="9" t="s">
        <v>89</v>
      </c>
      <c r="M23" s="9" t="s">
        <v>91</v>
      </c>
      <c r="N23" s="9" t="s">
        <v>70</v>
      </c>
      <c r="O23" s="9">
        <v>4.0</v>
      </c>
      <c r="P23" s="9" t="s">
        <v>71</v>
      </c>
    </row>
    <row r="24" ht="15.75" customHeight="1">
      <c r="A24" s="9" t="s">
        <v>142</v>
      </c>
      <c r="B24" s="9" t="s">
        <v>134</v>
      </c>
      <c r="C24" s="9" t="s">
        <v>134</v>
      </c>
      <c r="D24" s="9" t="s">
        <v>297</v>
      </c>
      <c r="E24" s="9" t="s">
        <v>299</v>
      </c>
      <c r="F24" s="13">
        <v>45962.0</v>
      </c>
      <c r="G24" s="9">
        <v>462.0</v>
      </c>
      <c r="H24" s="9" t="s">
        <v>60</v>
      </c>
      <c r="I24" s="9" t="s">
        <v>106</v>
      </c>
      <c r="J24" s="14">
        <v>46180.0</v>
      </c>
      <c r="K24" s="9" t="s">
        <v>88</v>
      </c>
      <c r="L24" s="9" t="s">
        <v>109</v>
      </c>
      <c r="M24" s="9" t="s">
        <v>111</v>
      </c>
      <c r="N24" s="9" t="s">
        <v>92</v>
      </c>
      <c r="O24" s="9">
        <v>7.0</v>
      </c>
      <c r="P24" s="9" t="s">
        <v>71</v>
      </c>
    </row>
    <row r="25" ht="15.75" customHeight="1">
      <c r="A25" s="9" t="s">
        <v>152</v>
      </c>
      <c r="B25" s="9" t="s">
        <v>156</v>
      </c>
      <c r="C25" s="9" t="s">
        <v>157</v>
      </c>
      <c r="D25" s="9" t="s">
        <v>303</v>
      </c>
      <c r="E25" s="9" t="s">
        <v>305</v>
      </c>
      <c r="F25" s="13">
        <v>45992.0</v>
      </c>
      <c r="G25" s="9">
        <v>599.0</v>
      </c>
      <c r="H25" s="9" t="s">
        <v>60</v>
      </c>
      <c r="I25" s="9" t="s">
        <v>126</v>
      </c>
      <c r="J25" s="14">
        <v>46089.0</v>
      </c>
      <c r="K25" s="9" t="s">
        <v>108</v>
      </c>
      <c r="L25" s="9" t="s">
        <v>127</v>
      </c>
      <c r="M25" s="9" t="s">
        <v>106</v>
      </c>
      <c r="N25" s="9" t="s">
        <v>113</v>
      </c>
      <c r="O25" s="9">
        <v>10.0</v>
      </c>
      <c r="P25" s="9" t="s">
        <v>71</v>
      </c>
    </row>
    <row r="26" ht="15.75" customHeight="1">
      <c r="A26" s="9" t="s">
        <v>162</v>
      </c>
      <c r="B26" s="9" t="s">
        <v>164</v>
      </c>
      <c r="C26" s="9" t="s">
        <v>134</v>
      </c>
      <c r="D26" s="9" t="s">
        <v>310</v>
      </c>
      <c r="E26" s="9" t="s">
        <v>312</v>
      </c>
      <c r="F26" s="13">
        <v>45658.0</v>
      </c>
      <c r="G26" s="9">
        <v>736.0</v>
      </c>
      <c r="H26" s="9" t="s">
        <v>60</v>
      </c>
      <c r="I26" s="9" t="s">
        <v>61</v>
      </c>
      <c r="J26" s="9">
        <v>9.0</v>
      </c>
      <c r="K26" s="9" t="s">
        <v>65</v>
      </c>
      <c r="L26" s="9" t="s">
        <v>67</v>
      </c>
      <c r="M26" s="9" t="s">
        <v>68</v>
      </c>
      <c r="N26" s="9" t="s">
        <v>70</v>
      </c>
      <c r="O26" s="9">
        <v>3.0</v>
      </c>
      <c r="P26" s="9" t="s">
        <v>71</v>
      </c>
    </row>
    <row r="27" ht="15.75" customHeight="1">
      <c r="A27" s="9" t="s">
        <v>177</v>
      </c>
      <c r="B27" s="9" t="s">
        <v>178</v>
      </c>
      <c r="C27" s="9" t="s">
        <v>182</v>
      </c>
      <c r="D27" s="9" t="s">
        <v>316</v>
      </c>
      <c r="E27" s="9" t="s">
        <v>317</v>
      </c>
      <c r="F27" s="13">
        <v>45689.0</v>
      </c>
      <c r="G27" s="9">
        <v>873.0</v>
      </c>
      <c r="H27" s="9" t="s">
        <v>60</v>
      </c>
      <c r="I27" s="9" t="s">
        <v>80</v>
      </c>
      <c r="J27" s="14">
        <v>46243.0</v>
      </c>
      <c r="K27" s="9" t="s">
        <v>88</v>
      </c>
      <c r="L27" s="9" t="s">
        <v>89</v>
      </c>
      <c r="M27" s="9" t="s">
        <v>91</v>
      </c>
      <c r="N27" s="9" t="s">
        <v>92</v>
      </c>
      <c r="O27" s="9">
        <v>6.0</v>
      </c>
      <c r="P27" s="9" t="s">
        <v>71</v>
      </c>
    </row>
    <row r="28" ht="15.75" customHeight="1">
      <c r="A28" s="9" t="s">
        <v>191</v>
      </c>
      <c r="B28" s="9" t="s">
        <v>193</v>
      </c>
      <c r="C28" s="9" t="s">
        <v>194</v>
      </c>
      <c r="D28" s="9" t="s">
        <v>322</v>
      </c>
      <c r="E28" s="9" t="s">
        <v>324</v>
      </c>
      <c r="F28" s="13">
        <v>45717.0</v>
      </c>
      <c r="G28" s="9">
        <v>1010.0</v>
      </c>
      <c r="H28" s="9" t="s">
        <v>60</v>
      </c>
      <c r="I28" s="9" t="s">
        <v>106</v>
      </c>
      <c r="J28" s="14">
        <v>46152.0</v>
      </c>
      <c r="K28" s="9" t="s">
        <v>108</v>
      </c>
      <c r="L28" s="9" t="s">
        <v>109</v>
      </c>
      <c r="M28" s="9" t="s">
        <v>111</v>
      </c>
      <c r="N28" s="9" t="s">
        <v>113</v>
      </c>
      <c r="O28" s="9">
        <v>9.0</v>
      </c>
      <c r="P28" s="9" t="s">
        <v>71</v>
      </c>
    </row>
    <row r="29" ht="15.75" customHeight="1">
      <c r="A29" s="9" t="s">
        <v>198</v>
      </c>
      <c r="B29" s="9" t="s">
        <v>199</v>
      </c>
      <c r="C29" s="9" t="s">
        <v>182</v>
      </c>
      <c r="D29" s="9" t="s">
        <v>325</v>
      </c>
      <c r="E29" s="9" t="s">
        <v>326</v>
      </c>
      <c r="F29" s="13">
        <v>45748.0</v>
      </c>
      <c r="G29" s="9">
        <v>1147.0</v>
      </c>
      <c r="H29" s="9" t="s">
        <v>60</v>
      </c>
      <c r="I29" s="9" t="s">
        <v>126</v>
      </c>
      <c r="J29" s="14">
        <v>46204.0</v>
      </c>
      <c r="K29" s="9" t="s">
        <v>65</v>
      </c>
      <c r="L29" s="9" t="s">
        <v>127</v>
      </c>
      <c r="M29" s="9" t="s">
        <v>106</v>
      </c>
      <c r="N29" s="9" t="s">
        <v>70</v>
      </c>
      <c r="O29" s="9">
        <v>2.0</v>
      </c>
      <c r="P29" s="9" t="s">
        <v>71</v>
      </c>
    </row>
    <row r="30" ht="15.75" customHeight="1">
      <c r="A30" s="9" t="s">
        <v>207</v>
      </c>
      <c r="B30" s="9" t="s">
        <v>209</v>
      </c>
      <c r="C30" s="9" t="s">
        <v>182</v>
      </c>
      <c r="D30" s="9" t="s">
        <v>327</v>
      </c>
      <c r="E30" s="9" t="s">
        <v>328</v>
      </c>
      <c r="F30" s="13">
        <v>45778.0</v>
      </c>
      <c r="G30" s="9">
        <v>1284.0</v>
      </c>
      <c r="H30" s="9" t="s">
        <v>60</v>
      </c>
      <c r="I30" s="9" t="s">
        <v>61</v>
      </c>
      <c r="J30" s="14">
        <v>46114.0</v>
      </c>
      <c r="K30" s="9" t="s">
        <v>88</v>
      </c>
      <c r="L30" s="9" t="s">
        <v>67</v>
      </c>
      <c r="M30" s="9" t="s">
        <v>68</v>
      </c>
      <c r="N30" s="9" t="s">
        <v>92</v>
      </c>
      <c r="O30" s="9">
        <v>5.0</v>
      </c>
      <c r="P30" s="9" t="s">
        <v>71</v>
      </c>
    </row>
    <row r="31" ht="15.75" customHeight="1">
      <c r="A31" s="9" t="s">
        <v>215</v>
      </c>
      <c r="B31" s="9" t="s">
        <v>216</v>
      </c>
      <c r="C31" s="9" t="s">
        <v>217</v>
      </c>
      <c r="D31" s="9" t="s">
        <v>335</v>
      </c>
      <c r="E31" s="9" t="s">
        <v>336</v>
      </c>
      <c r="F31" s="13">
        <v>45809.0</v>
      </c>
      <c r="G31" s="9">
        <v>1421.0</v>
      </c>
      <c r="H31" s="9" t="s">
        <v>60</v>
      </c>
      <c r="I31" s="9" t="s">
        <v>80</v>
      </c>
      <c r="J31" s="14">
        <v>46056.0</v>
      </c>
      <c r="K31" s="9" t="s">
        <v>108</v>
      </c>
      <c r="L31" s="9" t="s">
        <v>89</v>
      </c>
      <c r="M31" s="9" t="s">
        <v>91</v>
      </c>
      <c r="N31" s="9" t="s">
        <v>113</v>
      </c>
      <c r="O31" s="9">
        <v>8.0</v>
      </c>
      <c r="P31" s="9" t="s">
        <v>71</v>
      </c>
    </row>
    <row r="32" ht="15.75" customHeight="1">
      <c r="A32" s="9" t="s">
        <v>225</v>
      </c>
      <c r="B32" s="9" t="s">
        <v>226</v>
      </c>
      <c r="C32" s="9" t="s">
        <v>76</v>
      </c>
      <c r="D32" s="9" t="s">
        <v>340</v>
      </c>
      <c r="E32" s="9" t="s">
        <v>341</v>
      </c>
      <c r="F32" s="13">
        <v>45839.0</v>
      </c>
      <c r="G32" s="9">
        <v>207.0</v>
      </c>
      <c r="H32" s="9" t="s">
        <v>60</v>
      </c>
      <c r="I32" s="9" t="s">
        <v>106</v>
      </c>
      <c r="J32" s="14">
        <v>46268.0</v>
      </c>
      <c r="K32" s="9" t="s">
        <v>65</v>
      </c>
      <c r="L32" s="9" t="s">
        <v>109</v>
      </c>
      <c r="M32" s="9" t="s">
        <v>111</v>
      </c>
      <c r="N32" s="9" t="s">
        <v>70</v>
      </c>
      <c r="O32" s="9">
        <v>1.0</v>
      </c>
      <c r="P32" s="9" t="s">
        <v>71</v>
      </c>
    </row>
    <row r="33" ht="15.75" customHeight="1">
      <c r="A33" s="9" t="s">
        <v>233</v>
      </c>
      <c r="B33" s="9" t="s">
        <v>234</v>
      </c>
      <c r="C33" s="9" t="s">
        <v>194</v>
      </c>
      <c r="D33" s="9" t="s">
        <v>345</v>
      </c>
      <c r="E33" s="9" t="s">
        <v>346</v>
      </c>
      <c r="F33" s="13">
        <v>45870.0</v>
      </c>
      <c r="G33" s="9">
        <v>344.0</v>
      </c>
      <c r="H33" s="9" t="s">
        <v>60</v>
      </c>
      <c r="I33" s="9" t="s">
        <v>126</v>
      </c>
      <c r="J33" s="14">
        <v>46177.0</v>
      </c>
      <c r="K33" s="9" t="s">
        <v>88</v>
      </c>
      <c r="L33" s="9" t="s">
        <v>127</v>
      </c>
      <c r="M33" s="9" t="s">
        <v>106</v>
      </c>
      <c r="N33" s="9" t="s">
        <v>92</v>
      </c>
      <c r="O33" s="9">
        <v>4.0</v>
      </c>
      <c r="P33" s="9" t="s">
        <v>71</v>
      </c>
    </row>
    <row r="34" ht="15.75" customHeight="1">
      <c r="A34" s="9" t="s">
        <v>242</v>
      </c>
      <c r="B34" s="9" t="s">
        <v>243</v>
      </c>
      <c r="C34" s="9" t="s">
        <v>182</v>
      </c>
      <c r="D34" s="9" t="s">
        <v>353</v>
      </c>
      <c r="E34" s="9" t="s">
        <v>354</v>
      </c>
      <c r="F34" s="13">
        <v>45901.0</v>
      </c>
      <c r="G34" s="9">
        <v>481.0</v>
      </c>
      <c r="H34" s="9" t="s">
        <v>60</v>
      </c>
      <c r="I34" s="9" t="s">
        <v>61</v>
      </c>
      <c r="J34" s="14">
        <v>46117.0</v>
      </c>
      <c r="K34" s="9" t="s">
        <v>108</v>
      </c>
      <c r="L34" s="9" t="s">
        <v>67</v>
      </c>
      <c r="M34" s="9" t="s">
        <v>68</v>
      </c>
      <c r="N34" s="9" t="s">
        <v>113</v>
      </c>
      <c r="O34" s="9">
        <v>7.0</v>
      </c>
      <c r="P34" s="9" t="s">
        <v>71</v>
      </c>
    </row>
    <row r="35" ht="15.75" customHeight="1">
      <c r="A35" s="9" t="s">
        <v>255</v>
      </c>
      <c r="B35" s="9" t="s">
        <v>256</v>
      </c>
      <c r="C35" s="9" t="s">
        <v>258</v>
      </c>
      <c r="D35" s="9" t="s">
        <v>361</v>
      </c>
      <c r="E35" s="9" t="s">
        <v>363</v>
      </c>
      <c r="F35" s="13">
        <v>45931.0</v>
      </c>
      <c r="G35" s="9">
        <v>618.0</v>
      </c>
      <c r="H35" s="9" t="s">
        <v>60</v>
      </c>
      <c r="I35" s="9" t="s">
        <v>80</v>
      </c>
      <c r="J35" s="14">
        <v>46028.0</v>
      </c>
      <c r="K35" s="9" t="s">
        <v>65</v>
      </c>
      <c r="L35" s="9" t="s">
        <v>89</v>
      </c>
      <c r="M35" s="9" t="s">
        <v>91</v>
      </c>
      <c r="N35" s="9" t="s">
        <v>70</v>
      </c>
      <c r="O35" s="9">
        <v>10.0</v>
      </c>
      <c r="P35" s="9" t="s">
        <v>71</v>
      </c>
    </row>
    <row r="36" ht="15.75" customHeight="1">
      <c r="A36" s="9" t="s">
        <v>43</v>
      </c>
      <c r="B36" s="9" t="s">
        <v>48</v>
      </c>
      <c r="C36" s="9" t="s">
        <v>49</v>
      </c>
      <c r="D36" s="9" t="s">
        <v>371</v>
      </c>
      <c r="E36" s="9" t="s">
        <v>372</v>
      </c>
      <c r="F36" s="13">
        <v>45962.0</v>
      </c>
      <c r="G36" s="9">
        <v>755.0</v>
      </c>
      <c r="H36" s="9" t="s">
        <v>60</v>
      </c>
      <c r="I36" s="9" t="s">
        <v>106</v>
      </c>
      <c r="J36" s="14">
        <v>46240.0</v>
      </c>
      <c r="K36" s="9" t="s">
        <v>88</v>
      </c>
      <c r="L36" s="9" t="s">
        <v>109</v>
      </c>
      <c r="M36" s="9" t="s">
        <v>111</v>
      </c>
      <c r="N36" s="9" t="s">
        <v>92</v>
      </c>
      <c r="O36" s="9">
        <v>3.0</v>
      </c>
      <c r="P36" s="9" t="s">
        <v>71</v>
      </c>
    </row>
    <row r="37" ht="15.75" customHeight="1">
      <c r="A37" s="9" t="s">
        <v>73</v>
      </c>
      <c r="B37" s="9" t="s">
        <v>75</v>
      </c>
      <c r="C37" s="9" t="s">
        <v>76</v>
      </c>
      <c r="D37" s="9" t="s">
        <v>376</v>
      </c>
      <c r="E37" s="9" t="s">
        <v>378</v>
      </c>
      <c r="F37" s="13">
        <v>45992.0</v>
      </c>
      <c r="G37" s="9">
        <v>892.0</v>
      </c>
      <c r="H37" s="9" t="s">
        <v>60</v>
      </c>
      <c r="I37" s="9" t="s">
        <v>126</v>
      </c>
      <c r="J37" s="14">
        <v>46180.0</v>
      </c>
      <c r="K37" s="9" t="s">
        <v>108</v>
      </c>
      <c r="L37" s="9" t="s">
        <v>127</v>
      </c>
      <c r="M37" s="9" t="s">
        <v>106</v>
      </c>
      <c r="N37" s="9" t="s">
        <v>113</v>
      </c>
      <c r="O37" s="9">
        <v>6.0</v>
      </c>
      <c r="P37" s="9" t="s">
        <v>71</v>
      </c>
    </row>
    <row r="38" ht="15.75" customHeight="1">
      <c r="A38" s="9" t="s">
        <v>93</v>
      </c>
      <c r="B38" s="9" t="s">
        <v>96</v>
      </c>
      <c r="C38" s="9" t="s">
        <v>98</v>
      </c>
      <c r="D38" s="9" t="s">
        <v>383</v>
      </c>
      <c r="E38" s="9" t="s">
        <v>385</v>
      </c>
      <c r="F38" s="13">
        <v>45658.0</v>
      </c>
      <c r="G38" s="9">
        <v>1029.0</v>
      </c>
      <c r="H38" s="9" t="s">
        <v>60</v>
      </c>
      <c r="I38" s="9" t="s">
        <v>61</v>
      </c>
      <c r="J38" s="14">
        <v>46089.0</v>
      </c>
      <c r="K38" s="9" t="s">
        <v>65</v>
      </c>
      <c r="L38" s="9" t="s">
        <v>67</v>
      </c>
      <c r="M38" s="9" t="s">
        <v>68</v>
      </c>
      <c r="N38" s="9" t="s">
        <v>70</v>
      </c>
      <c r="O38" s="9">
        <v>9.0</v>
      </c>
      <c r="P38" s="9" t="s">
        <v>71</v>
      </c>
    </row>
    <row r="39" ht="15.75" customHeight="1">
      <c r="A39" s="9" t="s">
        <v>116</v>
      </c>
      <c r="B39" s="9" t="s">
        <v>119</v>
      </c>
      <c r="C39" s="9" t="s">
        <v>120</v>
      </c>
      <c r="D39" s="9" t="s">
        <v>391</v>
      </c>
      <c r="E39" s="9" t="s">
        <v>392</v>
      </c>
      <c r="F39" s="13">
        <v>45689.0</v>
      </c>
      <c r="G39" s="9">
        <v>1166.0</v>
      </c>
      <c r="H39" s="9" t="s">
        <v>60</v>
      </c>
      <c r="I39" s="9" t="s">
        <v>80</v>
      </c>
      <c r="J39" s="9">
        <v>9.0</v>
      </c>
      <c r="K39" s="9" t="s">
        <v>88</v>
      </c>
      <c r="L39" s="9" t="s">
        <v>89</v>
      </c>
      <c r="M39" s="9" t="s">
        <v>91</v>
      </c>
      <c r="N39" s="9" t="s">
        <v>92</v>
      </c>
      <c r="O39" s="9">
        <v>2.0</v>
      </c>
      <c r="P39" s="9" t="s">
        <v>71</v>
      </c>
    </row>
    <row r="40" ht="15.75" customHeight="1">
      <c r="A40" s="9" t="s">
        <v>132</v>
      </c>
      <c r="B40" s="9" t="s">
        <v>133</v>
      </c>
      <c r="C40" s="9" t="s">
        <v>134</v>
      </c>
      <c r="D40" s="9" t="s">
        <v>400</v>
      </c>
      <c r="E40" s="9" t="s">
        <v>401</v>
      </c>
      <c r="F40" s="13">
        <v>45717.0</v>
      </c>
      <c r="G40" s="9">
        <v>1303.0</v>
      </c>
      <c r="H40" s="9" t="s">
        <v>60</v>
      </c>
      <c r="I40" s="9" t="s">
        <v>106</v>
      </c>
      <c r="J40" s="14">
        <v>46212.0</v>
      </c>
      <c r="K40" s="9" t="s">
        <v>108</v>
      </c>
      <c r="L40" s="9" t="s">
        <v>109</v>
      </c>
      <c r="M40" s="9" t="s">
        <v>111</v>
      </c>
      <c r="N40" s="9" t="s">
        <v>113</v>
      </c>
      <c r="O40" s="9">
        <v>5.0</v>
      </c>
      <c r="P40" s="9" t="s">
        <v>71</v>
      </c>
    </row>
    <row r="41" ht="15.75" customHeight="1">
      <c r="A41" s="9" t="s">
        <v>142</v>
      </c>
      <c r="B41" s="9" t="s">
        <v>134</v>
      </c>
      <c r="C41" s="9" t="s">
        <v>134</v>
      </c>
      <c r="D41" s="9" t="s">
        <v>407</v>
      </c>
      <c r="E41" s="9" t="s">
        <v>408</v>
      </c>
      <c r="F41" s="13">
        <v>45748.0</v>
      </c>
      <c r="G41" s="9">
        <v>1440.0</v>
      </c>
      <c r="H41" s="9" t="s">
        <v>60</v>
      </c>
      <c r="I41" s="9" t="s">
        <v>126</v>
      </c>
      <c r="J41" s="14">
        <v>46152.0</v>
      </c>
      <c r="K41" s="9" t="s">
        <v>65</v>
      </c>
      <c r="L41" s="9" t="s">
        <v>127</v>
      </c>
      <c r="M41" s="9" t="s">
        <v>106</v>
      </c>
      <c r="N41" s="9" t="s">
        <v>70</v>
      </c>
      <c r="O41" s="9">
        <v>8.0</v>
      </c>
      <c r="P41" s="9" t="s">
        <v>71</v>
      </c>
    </row>
    <row r="42" ht="15.75" customHeight="1">
      <c r="A42" s="9" t="s">
        <v>152</v>
      </c>
      <c r="B42" s="9" t="s">
        <v>156</v>
      </c>
      <c r="C42" s="9" t="s">
        <v>157</v>
      </c>
      <c r="D42" s="9" t="s">
        <v>413</v>
      </c>
      <c r="E42" s="9" t="s">
        <v>414</v>
      </c>
      <c r="F42" s="13">
        <v>45778.0</v>
      </c>
      <c r="G42" s="9">
        <v>226.0</v>
      </c>
      <c r="H42" s="9" t="s">
        <v>60</v>
      </c>
      <c r="I42" s="9" t="s">
        <v>61</v>
      </c>
      <c r="J42" s="14">
        <v>46204.0</v>
      </c>
      <c r="K42" s="9" t="s">
        <v>88</v>
      </c>
      <c r="L42" s="9" t="s">
        <v>67</v>
      </c>
      <c r="M42" s="9" t="s">
        <v>68</v>
      </c>
      <c r="N42" s="9" t="s">
        <v>92</v>
      </c>
      <c r="O42" s="9">
        <v>1.0</v>
      </c>
      <c r="P42" s="9" t="s">
        <v>71</v>
      </c>
    </row>
    <row r="43" ht="15.75" customHeight="1">
      <c r="A43" s="9" t="s">
        <v>162</v>
      </c>
      <c r="B43" s="9" t="s">
        <v>164</v>
      </c>
      <c r="C43" s="9" t="s">
        <v>134</v>
      </c>
      <c r="D43" s="9" t="s">
        <v>421</v>
      </c>
      <c r="E43" s="9" t="s">
        <v>422</v>
      </c>
      <c r="F43" s="13">
        <v>45809.0</v>
      </c>
      <c r="G43" s="9">
        <v>363.0</v>
      </c>
      <c r="H43" s="9" t="s">
        <v>60</v>
      </c>
      <c r="I43" s="9" t="s">
        <v>80</v>
      </c>
      <c r="J43" s="14">
        <v>46114.0</v>
      </c>
      <c r="K43" s="9" t="s">
        <v>108</v>
      </c>
      <c r="L43" s="9" t="s">
        <v>89</v>
      </c>
      <c r="M43" s="9" t="s">
        <v>91</v>
      </c>
      <c r="N43" s="9" t="s">
        <v>113</v>
      </c>
      <c r="O43" s="9">
        <v>4.0</v>
      </c>
      <c r="P43" s="9" t="s">
        <v>71</v>
      </c>
    </row>
    <row r="44" ht="15.75" customHeight="1">
      <c r="A44" s="9" t="s">
        <v>177</v>
      </c>
      <c r="B44" s="9" t="s">
        <v>178</v>
      </c>
      <c r="C44" s="9" t="s">
        <v>182</v>
      </c>
      <c r="D44" s="9" t="s">
        <v>429</v>
      </c>
      <c r="E44" s="9" t="s">
        <v>430</v>
      </c>
      <c r="F44" s="13">
        <v>45839.0</v>
      </c>
      <c r="G44" s="9">
        <v>500.0</v>
      </c>
      <c r="H44" s="9" t="s">
        <v>60</v>
      </c>
      <c r="I44" s="9" t="s">
        <v>106</v>
      </c>
      <c r="J44" s="14">
        <v>46056.0</v>
      </c>
      <c r="K44" s="9" t="s">
        <v>65</v>
      </c>
      <c r="L44" s="9" t="s">
        <v>109</v>
      </c>
      <c r="M44" s="9" t="s">
        <v>111</v>
      </c>
      <c r="N44" s="9" t="s">
        <v>70</v>
      </c>
      <c r="O44" s="9">
        <v>7.0</v>
      </c>
      <c r="P44" s="9" t="s">
        <v>71</v>
      </c>
    </row>
    <row r="45" ht="15.75" customHeight="1">
      <c r="A45" s="9" t="s">
        <v>191</v>
      </c>
      <c r="B45" s="9" t="s">
        <v>193</v>
      </c>
      <c r="C45" s="9" t="s">
        <v>194</v>
      </c>
      <c r="D45" s="9" t="s">
        <v>435</v>
      </c>
      <c r="E45" s="9" t="s">
        <v>436</v>
      </c>
      <c r="F45" s="13">
        <v>45870.0</v>
      </c>
      <c r="G45" s="9">
        <v>637.0</v>
      </c>
      <c r="H45" s="9" t="s">
        <v>60</v>
      </c>
      <c r="I45" s="9" t="s">
        <v>126</v>
      </c>
      <c r="J45" s="14">
        <v>46268.0</v>
      </c>
      <c r="K45" s="9" t="s">
        <v>88</v>
      </c>
      <c r="L45" s="9" t="s">
        <v>127</v>
      </c>
      <c r="M45" s="9" t="s">
        <v>106</v>
      </c>
      <c r="N45" s="9" t="s">
        <v>92</v>
      </c>
      <c r="O45" s="9">
        <v>10.0</v>
      </c>
      <c r="P45" s="9" t="s">
        <v>71</v>
      </c>
    </row>
    <row r="46" ht="15.75" customHeight="1">
      <c r="A46" s="9" t="s">
        <v>198</v>
      </c>
      <c r="B46" s="9" t="s">
        <v>199</v>
      </c>
      <c r="C46" s="9" t="s">
        <v>182</v>
      </c>
      <c r="D46" s="9" t="s">
        <v>441</v>
      </c>
      <c r="E46" s="9" t="s">
        <v>443</v>
      </c>
      <c r="F46" s="13">
        <v>45901.0</v>
      </c>
      <c r="G46" s="9">
        <v>774.0</v>
      </c>
      <c r="H46" s="9" t="s">
        <v>60</v>
      </c>
      <c r="I46" s="9" t="s">
        <v>61</v>
      </c>
      <c r="J46" s="14">
        <v>46177.0</v>
      </c>
      <c r="K46" s="9" t="s">
        <v>108</v>
      </c>
      <c r="L46" s="9" t="s">
        <v>67</v>
      </c>
      <c r="M46" s="9" t="s">
        <v>68</v>
      </c>
      <c r="N46" s="9" t="s">
        <v>113</v>
      </c>
      <c r="O46" s="9">
        <v>3.0</v>
      </c>
      <c r="P46" s="9" t="s">
        <v>71</v>
      </c>
    </row>
    <row r="47" ht="15.75" customHeight="1">
      <c r="A47" s="9" t="s">
        <v>207</v>
      </c>
      <c r="B47" s="9" t="s">
        <v>209</v>
      </c>
      <c r="C47" s="9" t="s">
        <v>182</v>
      </c>
      <c r="D47" s="9" t="s">
        <v>447</v>
      </c>
      <c r="E47" s="9" t="s">
        <v>449</v>
      </c>
      <c r="F47" s="13">
        <v>45931.0</v>
      </c>
      <c r="G47" s="9">
        <v>911.0</v>
      </c>
      <c r="H47" s="9" t="s">
        <v>60</v>
      </c>
      <c r="I47" s="9" t="s">
        <v>80</v>
      </c>
      <c r="J47" s="14">
        <v>46117.0</v>
      </c>
      <c r="K47" s="9" t="s">
        <v>65</v>
      </c>
      <c r="L47" s="9" t="s">
        <v>89</v>
      </c>
      <c r="M47" s="9" t="s">
        <v>91</v>
      </c>
      <c r="N47" s="9" t="s">
        <v>70</v>
      </c>
      <c r="O47" s="9">
        <v>6.0</v>
      </c>
      <c r="P47" s="9" t="s">
        <v>71</v>
      </c>
    </row>
    <row r="48" ht="15.75" customHeight="1">
      <c r="A48" s="9" t="s">
        <v>215</v>
      </c>
      <c r="B48" s="9" t="s">
        <v>216</v>
      </c>
      <c r="C48" s="9" t="s">
        <v>217</v>
      </c>
      <c r="D48" s="9" t="s">
        <v>455</v>
      </c>
      <c r="E48" s="9" t="s">
        <v>457</v>
      </c>
      <c r="F48" s="13">
        <v>45962.0</v>
      </c>
      <c r="G48" s="9">
        <v>1048.0</v>
      </c>
      <c r="H48" s="9" t="s">
        <v>60</v>
      </c>
      <c r="I48" s="9" t="s">
        <v>106</v>
      </c>
      <c r="J48" s="14">
        <v>46028.0</v>
      </c>
      <c r="K48" s="9" t="s">
        <v>88</v>
      </c>
      <c r="L48" s="9" t="s">
        <v>109</v>
      </c>
      <c r="M48" s="9" t="s">
        <v>111</v>
      </c>
      <c r="N48" s="9" t="s">
        <v>92</v>
      </c>
      <c r="O48" s="9">
        <v>9.0</v>
      </c>
      <c r="P48" s="9" t="s">
        <v>71</v>
      </c>
    </row>
    <row r="49" ht="15.75" customHeight="1">
      <c r="A49" s="9" t="s">
        <v>225</v>
      </c>
      <c r="B49" s="9" t="s">
        <v>226</v>
      </c>
      <c r="C49" s="9" t="s">
        <v>76</v>
      </c>
      <c r="D49" s="9" t="s">
        <v>461</v>
      </c>
      <c r="E49" s="9" t="s">
        <v>463</v>
      </c>
      <c r="F49" s="13">
        <v>45992.0</v>
      </c>
      <c r="G49" s="9">
        <v>1185.0</v>
      </c>
      <c r="H49" s="9" t="s">
        <v>60</v>
      </c>
      <c r="I49" s="9" t="s">
        <v>126</v>
      </c>
      <c r="J49" s="14">
        <v>46240.0</v>
      </c>
      <c r="K49" s="9" t="s">
        <v>108</v>
      </c>
      <c r="L49" s="9" t="s">
        <v>127</v>
      </c>
      <c r="M49" s="9" t="s">
        <v>106</v>
      </c>
      <c r="N49" s="9" t="s">
        <v>113</v>
      </c>
      <c r="O49" s="9">
        <v>2.0</v>
      </c>
      <c r="P49" s="9" t="s">
        <v>71</v>
      </c>
    </row>
    <row r="50" ht="15.75" customHeight="1">
      <c r="A50" s="9" t="s">
        <v>233</v>
      </c>
      <c r="B50" s="9" t="s">
        <v>234</v>
      </c>
      <c r="C50" s="9" t="s">
        <v>194</v>
      </c>
      <c r="D50" s="9" t="s">
        <v>467</v>
      </c>
      <c r="E50" s="9" t="s">
        <v>468</v>
      </c>
      <c r="F50" s="13">
        <v>45658.0</v>
      </c>
      <c r="G50" s="9">
        <v>1322.0</v>
      </c>
      <c r="H50" s="9" t="s">
        <v>60</v>
      </c>
      <c r="I50" s="9" t="s">
        <v>61</v>
      </c>
      <c r="J50" s="14">
        <v>46149.0</v>
      </c>
      <c r="K50" s="9" t="s">
        <v>65</v>
      </c>
      <c r="L50" s="9" t="s">
        <v>67</v>
      </c>
      <c r="M50" s="9" t="s">
        <v>68</v>
      </c>
      <c r="N50" s="9" t="s">
        <v>70</v>
      </c>
      <c r="O50" s="9">
        <v>5.0</v>
      </c>
      <c r="P50" s="9" t="s">
        <v>71</v>
      </c>
    </row>
    <row r="51" ht="15.75" customHeight="1">
      <c r="A51" s="9" t="s">
        <v>242</v>
      </c>
      <c r="B51" s="9" t="s">
        <v>243</v>
      </c>
      <c r="C51" s="9" t="s">
        <v>182</v>
      </c>
      <c r="D51" s="9" t="s">
        <v>476</v>
      </c>
      <c r="E51" s="9" t="s">
        <v>477</v>
      </c>
      <c r="F51" s="13">
        <v>45689.0</v>
      </c>
      <c r="G51" s="9">
        <v>1459.0</v>
      </c>
      <c r="H51" s="9" t="s">
        <v>60</v>
      </c>
      <c r="I51" s="9" t="s">
        <v>80</v>
      </c>
      <c r="J51" s="14">
        <v>46089.0</v>
      </c>
      <c r="K51" s="9" t="s">
        <v>88</v>
      </c>
      <c r="L51" s="9" t="s">
        <v>89</v>
      </c>
      <c r="M51" s="9" t="s">
        <v>91</v>
      </c>
      <c r="N51" s="9" t="s">
        <v>92</v>
      </c>
      <c r="O51" s="9">
        <v>8.0</v>
      </c>
      <c r="P51" s="9" t="s">
        <v>71</v>
      </c>
    </row>
    <row r="52" ht="15.75" customHeight="1">
      <c r="A52" s="9" t="s">
        <v>255</v>
      </c>
      <c r="B52" s="9" t="s">
        <v>256</v>
      </c>
      <c r="C52" s="9" t="s">
        <v>258</v>
      </c>
      <c r="D52" s="9" t="s">
        <v>478</v>
      </c>
      <c r="E52" s="9" t="s">
        <v>479</v>
      </c>
      <c r="F52" s="13">
        <v>45717.0</v>
      </c>
      <c r="G52" s="9">
        <v>245.0</v>
      </c>
      <c r="H52" s="9" t="s">
        <v>60</v>
      </c>
      <c r="I52" s="9" t="s">
        <v>106</v>
      </c>
      <c r="J52" s="9">
        <v>9.0</v>
      </c>
      <c r="K52" s="9" t="s">
        <v>108</v>
      </c>
      <c r="L52" s="9" t="s">
        <v>109</v>
      </c>
      <c r="M52" s="9" t="s">
        <v>111</v>
      </c>
      <c r="N52" s="9" t="s">
        <v>113</v>
      </c>
      <c r="O52" s="9">
        <v>1.0</v>
      </c>
      <c r="P52" s="9" t="s">
        <v>71</v>
      </c>
    </row>
    <row r="53" ht="15.75" customHeight="1">
      <c r="A53" s="9" t="s">
        <v>43</v>
      </c>
      <c r="B53" s="9" t="s">
        <v>48</v>
      </c>
      <c r="C53" s="9" t="s">
        <v>49</v>
      </c>
      <c r="D53" s="9" t="s">
        <v>480</v>
      </c>
      <c r="E53" s="9" t="s">
        <v>481</v>
      </c>
      <c r="F53" s="13">
        <v>45748.0</v>
      </c>
      <c r="G53" s="9">
        <v>382.0</v>
      </c>
      <c r="H53" s="9" t="s">
        <v>60</v>
      </c>
      <c r="I53" s="9" t="s">
        <v>126</v>
      </c>
      <c r="J53" s="14">
        <v>46212.0</v>
      </c>
      <c r="K53" s="9" t="s">
        <v>65</v>
      </c>
      <c r="L53" s="9" t="s">
        <v>127</v>
      </c>
      <c r="M53" s="9" t="s">
        <v>106</v>
      </c>
      <c r="N53" s="9" t="s">
        <v>70</v>
      </c>
      <c r="O53" s="9">
        <v>4.0</v>
      </c>
      <c r="P53" s="9" t="s">
        <v>71</v>
      </c>
    </row>
    <row r="54" ht="15.75" customHeight="1">
      <c r="A54" s="9" t="s">
        <v>73</v>
      </c>
      <c r="B54" s="9" t="s">
        <v>75</v>
      </c>
      <c r="C54" s="9" t="s">
        <v>76</v>
      </c>
      <c r="D54" s="9" t="s">
        <v>482</v>
      </c>
      <c r="E54" s="9" t="s">
        <v>483</v>
      </c>
      <c r="F54" s="13">
        <v>45778.0</v>
      </c>
      <c r="G54" s="9">
        <v>519.0</v>
      </c>
      <c r="H54" s="9" t="s">
        <v>60</v>
      </c>
      <c r="I54" s="9" t="s">
        <v>61</v>
      </c>
      <c r="J54" s="14">
        <v>46152.0</v>
      </c>
      <c r="K54" s="9" t="s">
        <v>88</v>
      </c>
      <c r="L54" s="9" t="s">
        <v>67</v>
      </c>
      <c r="M54" s="9" t="s">
        <v>68</v>
      </c>
      <c r="N54" s="9" t="s">
        <v>92</v>
      </c>
      <c r="O54" s="9">
        <v>7.0</v>
      </c>
      <c r="P54" s="9" t="s">
        <v>71</v>
      </c>
    </row>
    <row r="55" ht="15.75" customHeight="1">
      <c r="A55" s="9" t="s">
        <v>93</v>
      </c>
      <c r="B55" s="9" t="s">
        <v>96</v>
      </c>
      <c r="C55" s="9" t="s">
        <v>98</v>
      </c>
      <c r="D55" s="9" t="s">
        <v>484</v>
      </c>
      <c r="E55" s="9" t="s">
        <v>485</v>
      </c>
      <c r="F55" s="13">
        <v>45809.0</v>
      </c>
      <c r="G55" s="9">
        <v>656.0</v>
      </c>
      <c r="H55" s="9" t="s">
        <v>60</v>
      </c>
      <c r="I55" s="9" t="s">
        <v>80</v>
      </c>
      <c r="J55" s="14">
        <v>46204.0</v>
      </c>
      <c r="K55" s="9" t="s">
        <v>108</v>
      </c>
      <c r="L55" s="9" t="s">
        <v>89</v>
      </c>
      <c r="M55" s="9" t="s">
        <v>91</v>
      </c>
      <c r="N55" s="9" t="s">
        <v>113</v>
      </c>
      <c r="O55" s="9">
        <v>10.0</v>
      </c>
      <c r="P55" s="9" t="s">
        <v>71</v>
      </c>
    </row>
    <row r="56" ht="15.75" customHeight="1">
      <c r="A56" s="9" t="s">
        <v>116</v>
      </c>
      <c r="B56" s="9" t="s">
        <v>119</v>
      </c>
      <c r="C56" s="9" t="s">
        <v>120</v>
      </c>
      <c r="D56" s="9" t="s">
        <v>486</v>
      </c>
      <c r="E56" s="9" t="s">
        <v>487</v>
      </c>
      <c r="F56" s="13">
        <v>45839.0</v>
      </c>
      <c r="G56" s="9">
        <v>793.0</v>
      </c>
      <c r="H56" s="9" t="s">
        <v>60</v>
      </c>
      <c r="I56" s="9" t="s">
        <v>106</v>
      </c>
      <c r="J56" s="14">
        <v>46114.0</v>
      </c>
      <c r="K56" s="9" t="s">
        <v>65</v>
      </c>
      <c r="L56" s="9" t="s">
        <v>109</v>
      </c>
      <c r="M56" s="9" t="s">
        <v>111</v>
      </c>
      <c r="N56" s="9" t="s">
        <v>70</v>
      </c>
      <c r="O56" s="9">
        <v>3.0</v>
      </c>
      <c r="P56" s="9" t="s">
        <v>71</v>
      </c>
    </row>
    <row r="57" ht="15.75" customHeight="1">
      <c r="A57" s="9" t="s">
        <v>132</v>
      </c>
      <c r="B57" s="9" t="s">
        <v>133</v>
      </c>
      <c r="C57" s="9" t="s">
        <v>134</v>
      </c>
      <c r="D57" s="9" t="s">
        <v>488</v>
      </c>
      <c r="E57" s="9" t="s">
        <v>489</v>
      </c>
      <c r="F57" s="13">
        <v>45870.0</v>
      </c>
      <c r="G57" s="9">
        <v>930.0</v>
      </c>
      <c r="H57" s="9" t="s">
        <v>60</v>
      </c>
      <c r="I57" s="9" t="s">
        <v>126</v>
      </c>
      <c r="J57" s="14">
        <v>46025.0</v>
      </c>
      <c r="K57" s="9" t="s">
        <v>88</v>
      </c>
      <c r="L57" s="9" t="s">
        <v>127</v>
      </c>
      <c r="M57" s="9" t="s">
        <v>106</v>
      </c>
      <c r="N57" s="9" t="s">
        <v>92</v>
      </c>
      <c r="O57" s="9">
        <v>6.0</v>
      </c>
      <c r="P57" s="9" t="s">
        <v>71</v>
      </c>
    </row>
    <row r="58" ht="15.75" customHeight="1">
      <c r="A58" s="9" t="s">
        <v>142</v>
      </c>
      <c r="B58" s="9" t="s">
        <v>134</v>
      </c>
      <c r="C58" s="9" t="s">
        <v>134</v>
      </c>
      <c r="D58" s="9" t="s">
        <v>490</v>
      </c>
      <c r="E58" s="9" t="s">
        <v>491</v>
      </c>
      <c r="F58" s="13">
        <v>45901.0</v>
      </c>
      <c r="G58" s="9">
        <v>1067.0</v>
      </c>
      <c r="H58" s="9" t="s">
        <v>60</v>
      </c>
      <c r="I58" s="9" t="s">
        <v>61</v>
      </c>
      <c r="J58" s="14">
        <v>46268.0</v>
      </c>
      <c r="K58" s="9" t="s">
        <v>108</v>
      </c>
      <c r="L58" s="9" t="s">
        <v>67</v>
      </c>
      <c r="M58" s="9" t="s">
        <v>68</v>
      </c>
      <c r="N58" s="9" t="s">
        <v>113</v>
      </c>
      <c r="O58" s="9">
        <v>9.0</v>
      </c>
      <c r="P58" s="9" t="s">
        <v>71</v>
      </c>
    </row>
    <row r="59" ht="15.75" customHeight="1">
      <c r="A59" s="9" t="s">
        <v>152</v>
      </c>
      <c r="B59" s="9" t="s">
        <v>156</v>
      </c>
      <c r="C59" s="9" t="s">
        <v>157</v>
      </c>
      <c r="D59" s="9" t="s">
        <v>492</v>
      </c>
      <c r="E59" s="9" t="s">
        <v>493</v>
      </c>
      <c r="F59" s="13">
        <v>45931.0</v>
      </c>
      <c r="G59" s="9">
        <v>1204.0</v>
      </c>
      <c r="H59" s="9" t="s">
        <v>60</v>
      </c>
      <c r="I59" s="9" t="s">
        <v>80</v>
      </c>
      <c r="J59" s="14">
        <v>46177.0</v>
      </c>
      <c r="K59" s="9" t="s">
        <v>65</v>
      </c>
      <c r="L59" s="9" t="s">
        <v>89</v>
      </c>
      <c r="M59" s="9" t="s">
        <v>91</v>
      </c>
      <c r="N59" s="9" t="s">
        <v>70</v>
      </c>
      <c r="O59" s="9">
        <v>2.0</v>
      </c>
      <c r="P59" s="9" t="s">
        <v>71</v>
      </c>
    </row>
    <row r="60" ht="15.75" customHeight="1">
      <c r="A60" s="9" t="s">
        <v>162</v>
      </c>
      <c r="B60" s="9" t="s">
        <v>164</v>
      </c>
      <c r="C60" s="9" t="s">
        <v>134</v>
      </c>
      <c r="D60" s="9" t="s">
        <v>494</v>
      </c>
      <c r="E60" s="9" t="s">
        <v>495</v>
      </c>
      <c r="F60" s="13">
        <v>45962.0</v>
      </c>
      <c r="G60" s="9">
        <v>1341.0</v>
      </c>
      <c r="H60" s="9" t="s">
        <v>60</v>
      </c>
      <c r="I60" s="9" t="s">
        <v>106</v>
      </c>
      <c r="J60" s="14">
        <v>46086.0</v>
      </c>
      <c r="K60" s="9" t="s">
        <v>88</v>
      </c>
      <c r="L60" s="9" t="s">
        <v>109</v>
      </c>
      <c r="M60" s="9" t="s">
        <v>111</v>
      </c>
      <c r="N60" s="9" t="s">
        <v>92</v>
      </c>
      <c r="O60" s="9">
        <v>5.0</v>
      </c>
      <c r="P60" s="9" t="s">
        <v>71</v>
      </c>
    </row>
    <row r="61" ht="15.75" customHeight="1">
      <c r="A61" s="9" t="s">
        <v>177</v>
      </c>
      <c r="B61" s="9" t="s">
        <v>178</v>
      </c>
      <c r="C61" s="9" t="s">
        <v>182</v>
      </c>
      <c r="D61" s="9" t="s">
        <v>496</v>
      </c>
      <c r="E61" s="9" t="s">
        <v>497</v>
      </c>
      <c r="F61" s="13">
        <v>45992.0</v>
      </c>
      <c r="G61" s="9">
        <v>1478.0</v>
      </c>
      <c r="H61" s="9" t="s">
        <v>60</v>
      </c>
      <c r="I61" s="9" t="s">
        <v>126</v>
      </c>
      <c r="J61" s="14">
        <v>46028.0</v>
      </c>
      <c r="K61" s="9" t="s">
        <v>108</v>
      </c>
      <c r="L61" s="9" t="s">
        <v>127</v>
      </c>
      <c r="M61" s="9" t="s">
        <v>106</v>
      </c>
      <c r="N61" s="9" t="s">
        <v>113</v>
      </c>
      <c r="O61" s="9">
        <v>8.0</v>
      </c>
      <c r="P61" s="9" t="s">
        <v>71</v>
      </c>
    </row>
    <row r="62" ht="15.75" customHeight="1">
      <c r="A62" s="9" t="s">
        <v>191</v>
      </c>
      <c r="B62" s="9" t="s">
        <v>193</v>
      </c>
      <c r="C62" s="9" t="s">
        <v>194</v>
      </c>
      <c r="D62" s="9" t="s">
        <v>498</v>
      </c>
      <c r="E62" s="9" t="s">
        <v>499</v>
      </c>
      <c r="F62" s="13">
        <v>45658.0</v>
      </c>
      <c r="G62" s="9">
        <v>264.0</v>
      </c>
      <c r="H62" s="9" t="s">
        <v>60</v>
      </c>
      <c r="I62" s="9" t="s">
        <v>61</v>
      </c>
      <c r="J62" s="14">
        <v>46240.0</v>
      </c>
      <c r="K62" s="9" t="s">
        <v>65</v>
      </c>
      <c r="L62" s="9" t="s">
        <v>67</v>
      </c>
      <c r="M62" s="9" t="s">
        <v>68</v>
      </c>
      <c r="N62" s="9" t="s">
        <v>70</v>
      </c>
      <c r="O62" s="9">
        <v>1.0</v>
      </c>
      <c r="P62" s="9" t="s">
        <v>71</v>
      </c>
    </row>
    <row r="63" ht="15.75" customHeight="1">
      <c r="A63" s="9" t="s">
        <v>198</v>
      </c>
      <c r="B63" s="9" t="s">
        <v>199</v>
      </c>
      <c r="C63" s="9" t="s">
        <v>182</v>
      </c>
      <c r="D63" s="9" t="s">
        <v>500</v>
      </c>
      <c r="E63" s="9" t="s">
        <v>501</v>
      </c>
      <c r="F63" s="13">
        <v>45689.0</v>
      </c>
      <c r="G63" s="9">
        <v>401.0</v>
      </c>
      <c r="H63" s="9" t="s">
        <v>60</v>
      </c>
      <c r="I63" s="9" t="s">
        <v>80</v>
      </c>
      <c r="J63" s="14">
        <v>46149.0</v>
      </c>
      <c r="K63" s="9" t="s">
        <v>88</v>
      </c>
      <c r="L63" s="9" t="s">
        <v>89</v>
      </c>
      <c r="M63" s="9" t="s">
        <v>91</v>
      </c>
      <c r="N63" s="9" t="s">
        <v>92</v>
      </c>
      <c r="O63" s="9">
        <v>4.0</v>
      </c>
      <c r="P63" s="9" t="s">
        <v>71</v>
      </c>
    </row>
    <row r="64" ht="15.75" customHeight="1">
      <c r="A64" s="9" t="s">
        <v>207</v>
      </c>
      <c r="B64" s="9" t="s">
        <v>209</v>
      </c>
      <c r="C64" s="9" t="s">
        <v>182</v>
      </c>
      <c r="D64" s="9" t="s">
        <v>502</v>
      </c>
      <c r="E64" s="9" t="s">
        <v>503</v>
      </c>
      <c r="F64" s="13">
        <v>45717.0</v>
      </c>
      <c r="G64" s="9">
        <v>538.0</v>
      </c>
      <c r="H64" s="9" t="s">
        <v>60</v>
      </c>
      <c r="I64" s="9" t="s">
        <v>106</v>
      </c>
      <c r="J64" s="14">
        <v>46089.0</v>
      </c>
      <c r="K64" s="9" t="s">
        <v>108</v>
      </c>
      <c r="L64" s="9" t="s">
        <v>109</v>
      </c>
      <c r="M64" s="9" t="s">
        <v>111</v>
      </c>
      <c r="N64" s="9" t="s">
        <v>113</v>
      </c>
      <c r="O64" s="9">
        <v>7.0</v>
      </c>
      <c r="P64" s="9" t="s">
        <v>71</v>
      </c>
    </row>
    <row r="65" ht="15.75" customHeight="1">
      <c r="A65" s="9" t="s">
        <v>215</v>
      </c>
      <c r="B65" s="9" t="s">
        <v>216</v>
      </c>
      <c r="C65" s="9" t="s">
        <v>217</v>
      </c>
      <c r="D65" s="9" t="s">
        <v>504</v>
      </c>
      <c r="E65" s="9" t="s">
        <v>505</v>
      </c>
      <c r="F65" s="13">
        <v>45748.0</v>
      </c>
      <c r="G65" s="9">
        <v>675.0</v>
      </c>
      <c r="H65" s="9" t="s">
        <v>60</v>
      </c>
      <c r="I65" s="9" t="s">
        <v>126</v>
      </c>
      <c r="J65" s="9">
        <v>9.0</v>
      </c>
      <c r="K65" s="9" t="s">
        <v>65</v>
      </c>
      <c r="L65" s="9" t="s">
        <v>127</v>
      </c>
      <c r="M65" s="9" t="s">
        <v>106</v>
      </c>
      <c r="N65" s="9" t="s">
        <v>70</v>
      </c>
      <c r="O65" s="9">
        <v>10.0</v>
      </c>
      <c r="P65" s="9" t="s">
        <v>71</v>
      </c>
    </row>
    <row r="66" ht="15.75" customHeight="1">
      <c r="A66" s="9" t="s">
        <v>225</v>
      </c>
      <c r="B66" s="9" t="s">
        <v>226</v>
      </c>
      <c r="C66" s="9" t="s">
        <v>76</v>
      </c>
      <c r="D66" s="9" t="s">
        <v>506</v>
      </c>
      <c r="E66" s="9" t="s">
        <v>507</v>
      </c>
      <c r="F66" s="13">
        <v>45778.0</v>
      </c>
      <c r="G66" s="9">
        <v>812.0</v>
      </c>
      <c r="H66" s="9" t="s">
        <v>60</v>
      </c>
      <c r="I66" s="9" t="s">
        <v>61</v>
      </c>
      <c r="J66" s="14">
        <v>46212.0</v>
      </c>
      <c r="K66" s="9" t="s">
        <v>88</v>
      </c>
      <c r="L66" s="9" t="s">
        <v>67</v>
      </c>
      <c r="M66" s="9" t="s">
        <v>68</v>
      </c>
      <c r="N66" s="9" t="s">
        <v>92</v>
      </c>
      <c r="O66" s="9">
        <v>3.0</v>
      </c>
      <c r="P66" s="9" t="s">
        <v>71</v>
      </c>
    </row>
    <row r="67" ht="15.75" customHeight="1">
      <c r="A67" s="9" t="s">
        <v>233</v>
      </c>
      <c r="B67" s="9" t="s">
        <v>234</v>
      </c>
      <c r="C67" s="9" t="s">
        <v>194</v>
      </c>
      <c r="D67" s="9" t="s">
        <v>508</v>
      </c>
      <c r="E67" s="9" t="s">
        <v>509</v>
      </c>
      <c r="F67" s="13">
        <v>45809.0</v>
      </c>
      <c r="G67" s="9">
        <v>949.0</v>
      </c>
      <c r="H67" s="9" t="s">
        <v>60</v>
      </c>
      <c r="I67" s="9" t="s">
        <v>80</v>
      </c>
      <c r="J67" s="14">
        <v>46122.0</v>
      </c>
      <c r="K67" s="9" t="s">
        <v>108</v>
      </c>
      <c r="L67" s="9" t="s">
        <v>89</v>
      </c>
      <c r="M67" s="9" t="s">
        <v>91</v>
      </c>
      <c r="N67" s="9" t="s">
        <v>113</v>
      </c>
      <c r="O67" s="9">
        <v>6.0</v>
      </c>
      <c r="P67" s="9" t="s">
        <v>71</v>
      </c>
    </row>
    <row r="68" ht="15.75" customHeight="1">
      <c r="A68" s="9" t="s">
        <v>242</v>
      </c>
      <c r="B68" s="9" t="s">
        <v>243</v>
      </c>
      <c r="C68" s="9" t="s">
        <v>182</v>
      </c>
      <c r="D68" s="9" t="s">
        <v>510</v>
      </c>
      <c r="E68" s="9" t="s">
        <v>511</v>
      </c>
      <c r="F68" s="13">
        <v>45839.0</v>
      </c>
      <c r="G68" s="9">
        <v>1086.0</v>
      </c>
      <c r="H68" s="9" t="s">
        <v>60</v>
      </c>
      <c r="I68" s="9" t="s">
        <v>106</v>
      </c>
      <c r="J68" s="14">
        <v>46204.0</v>
      </c>
      <c r="K68" s="9" t="s">
        <v>65</v>
      </c>
      <c r="L68" s="9" t="s">
        <v>109</v>
      </c>
      <c r="M68" s="9" t="s">
        <v>111</v>
      </c>
      <c r="N68" s="9" t="s">
        <v>70</v>
      </c>
      <c r="O68" s="9">
        <v>9.0</v>
      </c>
      <c r="P68" s="9" t="s">
        <v>71</v>
      </c>
    </row>
    <row r="69" ht="15.75" customHeight="1">
      <c r="A69" s="9" t="s">
        <v>255</v>
      </c>
      <c r="B69" s="9" t="s">
        <v>256</v>
      </c>
      <c r="C69" s="9" t="s">
        <v>258</v>
      </c>
      <c r="D69" s="9" t="s">
        <v>512</v>
      </c>
      <c r="E69" s="9" t="s">
        <v>513</v>
      </c>
      <c r="F69" s="13">
        <v>45870.0</v>
      </c>
      <c r="G69" s="9">
        <v>1223.0</v>
      </c>
      <c r="H69" s="9" t="s">
        <v>60</v>
      </c>
      <c r="I69" s="9" t="s">
        <v>126</v>
      </c>
      <c r="J69" s="14">
        <v>46114.0</v>
      </c>
      <c r="K69" s="9" t="s">
        <v>88</v>
      </c>
      <c r="L69" s="9" t="s">
        <v>127</v>
      </c>
      <c r="M69" s="9" t="s">
        <v>106</v>
      </c>
      <c r="N69" s="9" t="s">
        <v>92</v>
      </c>
      <c r="O69" s="9">
        <v>2.0</v>
      </c>
      <c r="P69" s="9" t="s">
        <v>71</v>
      </c>
    </row>
    <row r="70" ht="15.75" customHeight="1">
      <c r="A70" s="9" t="s">
        <v>43</v>
      </c>
      <c r="B70" s="9" t="s">
        <v>48</v>
      </c>
      <c r="C70" s="9" t="s">
        <v>49</v>
      </c>
      <c r="D70" s="9" t="s">
        <v>514</v>
      </c>
      <c r="E70" s="9" t="s">
        <v>515</v>
      </c>
      <c r="F70" s="13">
        <v>45901.0</v>
      </c>
      <c r="G70" s="9">
        <v>1360.0</v>
      </c>
      <c r="H70" s="9" t="s">
        <v>60</v>
      </c>
      <c r="I70" s="9" t="s">
        <v>61</v>
      </c>
      <c r="J70" s="14">
        <v>46025.0</v>
      </c>
      <c r="K70" s="9" t="s">
        <v>108</v>
      </c>
      <c r="L70" s="9" t="s">
        <v>67</v>
      </c>
      <c r="M70" s="9" t="s">
        <v>68</v>
      </c>
      <c r="N70" s="9" t="s">
        <v>113</v>
      </c>
      <c r="O70" s="9">
        <v>5.0</v>
      </c>
      <c r="P70" s="9" t="s">
        <v>71</v>
      </c>
    </row>
    <row r="71" ht="15.75" customHeight="1">
      <c r="A71" s="9" t="s">
        <v>73</v>
      </c>
      <c r="B71" s="9" t="s">
        <v>75</v>
      </c>
      <c r="C71" s="9" t="s">
        <v>76</v>
      </c>
      <c r="D71" s="9" t="s">
        <v>516</v>
      </c>
      <c r="E71" s="9" t="s">
        <v>517</v>
      </c>
      <c r="F71" s="13">
        <v>45931.0</v>
      </c>
      <c r="G71" s="9">
        <v>1497.0</v>
      </c>
      <c r="H71" s="9" t="s">
        <v>60</v>
      </c>
      <c r="I71" s="9" t="s">
        <v>80</v>
      </c>
      <c r="J71" s="14">
        <v>46268.0</v>
      </c>
      <c r="K71" s="9" t="s">
        <v>65</v>
      </c>
      <c r="L71" s="9" t="s">
        <v>89</v>
      </c>
      <c r="M71" s="9" t="s">
        <v>91</v>
      </c>
      <c r="N71" s="9" t="s">
        <v>70</v>
      </c>
      <c r="O71" s="9">
        <v>8.0</v>
      </c>
      <c r="P71" s="9" t="s">
        <v>71</v>
      </c>
    </row>
    <row r="72" ht="15.75" customHeight="1">
      <c r="A72" s="9" t="s">
        <v>93</v>
      </c>
      <c r="B72" s="9" t="s">
        <v>96</v>
      </c>
      <c r="C72" s="9" t="s">
        <v>98</v>
      </c>
      <c r="D72" s="9" t="s">
        <v>518</v>
      </c>
      <c r="E72" s="9" t="s">
        <v>519</v>
      </c>
      <c r="F72" s="13">
        <v>45962.0</v>
      </c>
      <c r="G72" s="9">
        <v>283.0</v>
      </c>
      <c r="H72" s="9" t="s">
        <v>60</v>
      </c>
      <c r="I72" s="9" t="s">
        <v>106</v>
      </c>
      <c r="J72" s="14">
        <v>46177.0</v>
      </c>
      <c r="K72" s="9" t="s">
        <v>88</v>
      </c>
      <c r="L72" s="9" t="s">
        <v>109</v>
      </c>
      <c r="M72" s="9" t="s">
        <v>111</v>
      </c>
      <c r="N72" s="9" t="s">
        <v>92</v>
      </c>
      <c r="O72" s="9">
        <v>1.0</v>
      </c>
      <c r="P72" s="9" t="s">
        <v>71</v>
      </c>
    </row>
    <row r="73" ht="15.75" customHeight="1">
      <c r="A73" s="9" t="s">
        <v>116</v>
      </c>
      <c r="B73" s="9" t="s">
        <v>119</v>
      </c>
      <c r="C73" s="9" t="s">
        <v>120</v>
      </c>
      <c r="D73" s="9" t="s">
        <v>520</v>
      </c>
      <c r="E73" s="9" t="s">
        <v>521</v>
      </c>
      <c r="F73" s="13">
        <v>45992.0</v>
      </c>
      <c r="G73" s="9">
        <v>420.0</v>
      </c>
      <c r="H73" s="9" t="s">
        <v>60</v>
      </c>
      <c r="I73" s="9" t="s">
        <v>126</v>
      </c>
      <c r="J73" s="14">
        <v>46086.0</v>
      </c>
      <c r="K73" s="9" t="s">
        <v>108</v>
      </c>
      <c r="L73" s="9" t="s">
        <v>127</v>
      </c>
      <c r="M73" s="9" t="s">
        <v>106</v>
      </c>
      <c r="N73" s="9" t="s">
        <v>113</v>
      </c>
      <c r="O73" s="9">
        <v>4.0</v>
      </c>
      <c r="P73" s="9" t="s">
        <v>71</v>
      </c>
    </row>
    <row r="74" ht="15.75" customHeight="1">
      <c r="A74" s="9" t="s">
        <v>132</v>
      </c>
      <c r="B74" s="9" t="s">
        <v>133</v>
      </c>
      <c r="C74" s="9" t="s">
        <v>134</v>
      </c>
      <c r="D74" s="9" t="s">
        <v>522</v>
      </c>
      <c r="E74" s="9" t="s">
        <v>523</v>
      </c>
      <c r="F74" s="13">
        <v>45658.0</v>
      </c>
      <c r="G74" s="9">
        <v>557.0</v>
      </c>
      <c r="H74" s="9" t="s">
        <v>60</v>
      </c>
      <c r="I74" s="9" t="s">
        <v>61</v>
      </c>
      <c r="J74" s="14">
        <v>46028.0</v>
      </c>
      <c r="K74" s="9" t="s">
        <v>65</v>
      </c>
      <c r="L74" s="9" t="s">
        <v>67</v>
      </c>
      <c r="M74" s="9" t="s">
        <v>68</v>
      </c>
      <c r="N74" s="9" t="s">
        <v>70</v>
      </c>
      <c r="O74" s="9">
        <v>7.0</v>
      </c>
      <c r="P74" s="9" t="s">
        <v>71</v>
      </c>
    </row>
    <row r="75" ht="15.75" customHeight="1">
      <c r="A75" s="9" t="s">
        <v>142</v>
      </c>
      <c r="B75" s="9" t="s">
        <v>134</v>
      </c>
      <c r="C75" s="9" t="s">
        <v>134</v>
      </c>
      <c r="D75" s="9" t="s">
        <v>524</v>
      </c>
      <c r="E75" s="9" t="s">
        <v>51</v>
      </c>
      <c r="F75" s="13">
        <v>45689.0</v>
      </c>
      <c r="G75" s="9">
        <v>694.0</v>
      </c>
      <c r="H75" s="9" t="s">
        <v>60</v>
      </c>
      <c r="I75" s="9" t="s">
        <v>80</v>
      </c>
      <c r="J75" s="14">
        <v>46240.0</v>
      </c>
      <c r="K75" s="9" t="s">
        <v>88</v>
      </c>
      <c r="L75" s="9" t="s">
        <v>89</v>
      </c>
      <c r="M75" s="9" t="s">
        <v>91</v>
      </c>
      <c r="N75" s="9" t="s">
        <v>92</v>
      </c>
      <c r="O75" s="9">
        <v>10.0</v>
      </c>
      <c r="P75" s="9" t="s">
        <v>71</v>
      </c>
    </row>
    <row r="76" ht="15.75" customHeight="1">
      <c r="A76" s="9" t="s">
        <v>152</v>
      </c>
      <c r="B76" s="9" t="s">
        <v>156</v>
      </c>
      <c r="C76" s="9" t="s">
        <v>157</v>
      </c>
      <c r="D76" s="9" t="s">
        <v>525</v>
      </c>
      <c r="E76" s="9" t="s">
        <v>78</v>
      </c>
      <c r="F76" s="13">
        <v>45717.0</v>
      </c>
      <c r="G76" s="9">
        <v>831.0</v>
      </c>
      <c r="H76" s="9" t="s">
        <v>60</v>
      </c>
      <c r="I76" s="9" t="s">
        <v>106</v>
      </c>
      <c r="J76" s="14">
        <v>46149.0</v>
      </c>
      <c r="K76" s="9" t="s">
        <v>108</v>
      </c>
      <c r="L76" s="9" t="s">
        <v>109</v>
      </c>
      <c r="M76" s="9" t="s">
        <v>111</v>
      </c>
      <c r="N76" s="9" t="s">
        <v>113</v>
      </c>
      <c r="O76" s="9">
        <v>3.0</v>
      </c>
      <c r="P76" s="9" t="s">
        <v>71</v>
      </c>
    </row>
    <row r="77" ht="15.75" customHeight="1">
      <c r="A77" s="9" t="s">
        <v>162</v>
      </c>
      <c r="B77" s="9" t="s">
        <v>164</v>
      </c>
      <c r="C77" s="9" t="s">
        <v>134</v>
      </c>
      <c r="D77" s="9" t="s">
        <v>526</v>
      </c>
      <c r="E77" s="9" t="s">
        <v>104</v>
      </c>
      <c r="F77" s="13">
        <v>45748.0</v>
      </c>
      <c r="G77" s="9">
        <v>968.0</v>
      </c>
      <c r="H77" s="9" t="s">
        <v>60</v>
      </c>
      <c r="I77" s="9" t="s">
        <v>126</v>
      </c>
      <c r="J77" s="14">
        <v>46061.0</v>
      </c>
      <c r="K77" s="9" t="s">
        <v>65</v>
      </c>
      <c r="L77" s="9" t="s">
        <v>127</v>
      </c>
      <c r="M77" s="9" t="s">
        <v>106</v>
      </c>
      <c r="N77" s="9" t="s">
        <v>70</v>
      </c>
      <c r="O77" s="9">
        <v>6.0</v>
      </c>
      <c r="P77" s="9" t="s">
        <v>71</v>
      </c>
    </row>
    <row r="78" ht="15.75" customHeight="1">
      <c r="A78" s="9" t="s">
        <v>177</v>
      </c>
      <c r="B78" s="9" t="s">
        <v>178</v>
      </c>
      <c r="C78" s="9" t="s">
        <v>182</v>
      </c>
      <c r="D78" s="9" t="s">
        <v>527</v>
      </c>
      <c r="E78" s="9" t="s">
        <v>123</v>
      </c>
      <c r="F78" s="13">
        <v>45778.0</v>
      </c>
      <c r="G78" s="9">
        <v>1105.0</v>
      </c>
      <c r="H78" s="9" t="s">
        <v>60</v>
      </c>
      <c r="I78" s="9" t="s">
        <v>61</v>
      </c>
      <c r="J78" s="9">
        <v>9.0</v>
      </c>
      <c r="K78" s="9" t="s">
        <v>88</v>
      </c>
      <c r="L78" s="9" t="s">
        <v>67</v>
      </c>
      <c r="M78" s="9" t="s">
        <v>68</v>
      </c>
      <c r="N78" s="9" t="s">
        <v>92</v>
      </c>
      <c r="O78" s="9">
        <v>9.0</v>
      </c>
      <c r="P78" s="9" t="s">
        <v>71</v>
      </c>
    </row>
    <row r="79" ht="15.75" customHeight="1">
      <c r="A79" s="9" t="s">
        <v>191</v>
      </c>
      <c r="B79" s="9" t="s">
        <v>193</v>
      </c>
      <c r="C79" s="9" t="s">
        <v>194</v>
      </c>
      <c r="D79" s="9" t="s">
        <v>528</v>
      </c>
      <c r="E79" s="9" t="s">
        <v>136</v>
      </c>
      <c r="F79" s="13">
        <v>45809.0</v>
      </c>
      <c r="G79" s="9">
        <v>1242.0</v>
      </c>
      <c r="H79" s="9" t="s">
        <v>60</v>
      </c>
      <c r="I79" s="9" t="s">
        <v>80</v>
      </c>
      <c r="J79" s="14">
        <v>46212.0</v>
      </c>
      <c r="K79" s="9" t="s">
        <v>108</v>
      </c>
      <c r="L79" s="9" t="s">
        <v>89</v>
      </c>
      <c r="M79" s="9" t="s">
        <v>91</v>
      </c>
      <c r="N79" s="9" t="s">
        <v>113</v>
      </c>
      <c r="O79" s="9">
        <v>2.0</v>
      </c>
      <c r="P79" s="9" t="s">
        <v>71</v>
      </c>
    </row>
    <row r="80" ht="15.75" customHeight="1">
      <c r="A80" s="9" t="s">
        <v>198</v>
      </c>
      <c r="B80" s="9" t="s">
        <v>199</v>
      </c>
      <c r="C80" s="9" t="s">
        <v>182</v>
      </c>
      <c r="D80" s="9" t="s">
        <v>529</v>
      </c>
      <c r="E80" s="9" t="s">
        <v>146</v>
      </c>
      <c r="F80" s="13">
        <v>45839.0</v>
      </c>
      <c r="G80" s="9">
        <v>1379.0</v>
      </c>
      <c r="H80" s="9" t="s">
        <v>60</v>
      </c>
      <c r="I80" s="9" t="s">
        <v>106</v>
      </c>
      <c r="J80" s="14">
        <v>46122.0</v>
      </c>
      <c r="K80" s="9" t="s">
        <v>65</v>
      </c>
      <c r="L80" s="9" t="s">
        <v>109</v>
      </c>
      <c r="M80" s="9" t="s">
        <v>111</v>
      </c>
      <c r="N80" s="9" t="s">
        <v>70</v>
      </c>
      <c r="O80" s="9">
        <v>5.0</v>
      </c>
      <c r="P80" s="9" t="s">
        <v>71</v>
      </c>
    </row>
    <row r="81" ht="15.75" customHeight="1">
      <c r="A81" s="9" t="s">
        <v>207</v>
      </c>
      <c r="B81" s="9" t="s">
        <v>209</v>
      </c>
      <c r="C81" s="9" t="s">
        <v>182</v>
      </c>
      <c r="D81" s="9" t="s">
        <v>530</v>
      </c>
      <c r="E81" s="9" t="s">
        <v>160</v>
      </c>
      <c r="F81" s="13">
        <v>45870.0</v>
      </c>
      <c r="G81" s="9">
        <v>165.0</v>
      </c>
      <c r="H81" s="9" t="s">
        <v>60</v>
      </c>
      <c r="I81" s="9" t="s">
        <v>126</v>
      </c>
      <c r="J81" s="14">
        <v>46204.0</v>
      </c>
      <c r="K81" s="9" t="s">
        <v>88</v>
      </c>
      <c r="L81" s="9" t="s">
        <v>127</v>
      </c>
      <c r="M81" s="9" t="s">
        <v>106</v>
      </c>
      <c r="N81" s="9" t="s">
        <v>92</v>
      </c>
      <c r="O81" s="9">
        <v>8.0</v>
      </c>
      <c r="P81" s="9" t="s">
        <v>71</v>
      </c>
    </row>
    <row r="82" ht="15.75" customHeight="1">
      <c r="A82" s="9" t="s">
        <v>215</v>
      </c>
      <c r="B82" s="9" t="s">
        <v>216</v>
      </c>
      <c r="C82" s="9" t="s">
        <v>217</v>
      </c>
      <c r="D82" s="9" t="s">
        <v>531</v>
      </c>
      <c r="E82" s="9" t="s">
        <v>169</v>
      </c>
      <c r="F82" s="13">
        <v>45901.0</v>
      </c>
      <c r="G82" s="9">
        <v>302.0</v>
      </c>
      <c r="H82" s="9" t="s">
        <v>60</v>
      </c>
      <c r="I82" s="9" t="s">
        <v>61</v>
      </c>
      <c r="J82" s="14">
        <v>46114.0</v>
      </c>
      <c r="K82" s="9" t="s">
        <v>108</v>
      </c>
      <c r="L82" s="9" t="s">
        <v>67</v>
      </c>
      <c r="M82" s="9" t="s">
        <v>68</v>
      </c>
      <c r="N82" s="9" t="s">
        <v>113</v>
      </c>
      <c r="O82" s="9">
        <v>1.0</v>
      </c>
      <c r="P82" s="9" t="s">
        <v>71</v>
      </c>
    </row>
    <row r="83" ht="15.75" customHeight="1">
      <c r="A83" s="9" t="s">
        <v>225</v>
      </c>
      <c r="B83" s="9" t="s">
        <v>226</v>
      </c>
      <c r="C83" s="9" t="s">
        <v>76</v>
      </c>
      <c r="D83" s="9" t="s">
        <v>532</v>
      </c>
      <c r="E83" s="9" t="s">
        <v>185</v>
      </c>
      <c r="F83" s="13">
        <v>45931.0</v>
      </c>
      <c r="G83" s="9">
        <v>439.0</v>
      </c>
      <c r="H83" s="9" t="s">
        <v>60</v>
      </c>
      <c r="I83" s="9" t="s">
        <v>80</v>
      </c>
      <c r="J83" s="14">
        <v>46025.0</v>
      </c>
      <c r="K83" s="9" t="s">
        <v>65</v>
      </c>
      <c r="L83" s="9" t="s">
        <v>89</v>
      </c>
      <c r="M83" s="9" t="s">
        <v>91</v>
      </c>
      <c r="N83" s="9" t="s">
        <v>70</v>
      </c>
      <c r="O83" s="9">
        <v>4.0</v>
      </c>
      <c r="P83" s="9" t="s">
        <v>71</v>
      </c>
    </row>
    <row r="84" ht="15.75" customHeight="1">
      <c r="A84" s="9" t="s">
        <v>233</v>
      </c>
      <c r="B84" s="9" t="s">
        <v>234</v>
      </c>
      <c r="C84" s="9" t="s">
        <v>194</v>
      </c>
      <c r="D84" s="9" t="s">
        <v>533</v>
      </c>
      <c r="E84" s="9" t="s">
        <v>196</v>
      </c>
      <c r="F84" s="13">
        <v>45962.0</v>
      </c>
      <c r="G84" s="9">
        <v>576.0</v>
      </c>
      <c r="H84" s="9" t="s">
        <v>60</v>
      </c>
      <c r="I84" s="9" t="s">
        <v>106</v>
      </c>
      <c r="J84" s="14">
        <v>46268.0</v>
      </c>
      <c r="K84" s="9" t="s">
        <v>88</v>
      </c>
      <c r="L84" s="9" t="s">
        <v>109</v>
      </c>
      <c r="M84" s="9" t="s">
        <v>111</v>
      </c>
      <c r="N84" s="9" t="s">
        <v>92</v>
      </c>
      <c r="O84" s="9">
        <v>7.0</v>
      </c>
      <c r="P84" s="9" t="s">
        <v>71</v>
      </c>
    </row>
    <row r="85" ht="15.75" customHeight="1">
      <c r="A85" s="9" t="s">
        <v>242</v>
      </c>
      <c r="B85" s="9" t="s">
        <v>243</v>
      </c>
      <c r="C85" s="9" t="s">
        <v>182</v>
      </c>
      <c r="D85" s="9" t="s">
        <v>534</v>
      </c>
      <c r="E85" s="9" t="s">
        <v>202</v>
      </c>
      <c r="F85" s="13">
        <v>45992.0</v>
      </c>
      <c r="G85" s="9">
        <v>713.0</v>
      </c>
      <c r="H85" s="9" t="s">
        <v>60</v>
      </c>
      <c r="I85" s="9" t="s">
        <v>126</v>
      </c>
      <c r="J85" s="14">
        <v>46177.0</v>
      </c>
      <c r="K85" s="9" t="s">
        <v>108</v>
      </c>
      <c r="L85" s="9" t="s">
        <v>127</v>
      </c>
      <c r="M85" s="9" t="s">
        <v>106</v>
      </c>
      <c r="N85" s="9" t="s">
        <v>113</v>
      </c>
      <c r="O85" s="9">
        <v>10.0</v>
      </c>
      <c r="P85" s="9" t="s">
        <v>71</v>
      </c>
    </row>
    <row r="86" ht="15.75" customHeight="1">
      <c r="A86" s="9" t="s">
        <v>255</v>
      </c>
      <c r="B86" s="9" t="s">
        <v>256</v>
      </c>
      <c r="C86" s="9" t="s">
        <v>258</v>
      </c>
      <c r="D86" s="9" t="s">
        <v>535</v>
      </c>
      <c r="E86" s="9" t="s">
        <v>211</v>
      </c>
      <c r="F86" s="13">
        <v>45658.0</v>
      </c>
      <c r="G86" s="9">
        <v>850.0</v>
      </c>
      <c r="H86" s="9" t="s">
        <v>60</v>
      </c>
      <c r="I86" s="9" t="s">
        <v>61</v>
      </c>
      <c r="J86" s="14">
        <v>46086.0</v>
      </c>
      <c r="K86" s="9" t="s">
        <v>65</v>
      </c>
      <c r="L86" s="9" t="s">
        <v>67</v>
      </c>
      <c r="M86" s="9" t="s">
        <v>68</v>
      </c>
      <c r="N86" s="9" t="s">
        <v>70</v>
      </c>
      <c r="O86" s="9">
        <v>3.0</v>
      </c>
      <c r="P86" s="9" t="s">
        <v>71</v>
      </c>
    </row>
    <row r="87" ht="15.75" customHeight="1">
      <c r="A87" s="9" t="s">
        <v>43</v>
      </c>
      <c r="B87" s="9" t="s">
        <v>48</v>
      </c>
      <c r="C87" s="9" t="s">
        <v>49</v>
      </c>
      <c r="D87" s="9" t="s">
        <v>536</v>
      </c>
      <c r="E87" s="9" t="s">
        <v>221</v>
      </c>
      <c r="F87" s="13">
        <v>45689.0</v>
      </c>
      <c r="G87" s="9">
        <v>987.0</v>
      </c>
      <c r="H87" s="9" t="s">
        <v>60</v>
      </c>
      <c r="I87" s="9" t="s">
        <v>80</v>
      </c>
      <c r="J87" s="9">
        <v>6.0</v>
      </c>
      <c r="K87" s="9" t="s">
        <v>88</v>
      </c>
      <c r="L87" s="9" t="s">
        <v>89</v>
      </c>
      <c r="M87" s="9" t="s">
        <v>91</v>
      </c>
      <c r="N87" s="9" t="s">
        <v>92</v>
      </c>
      <c r="O87" s="9">
        <v>6.0</v>
      </c>
      <c r="P87" s="9" t="s">
        <v>71</v>
      </c>
    </row>
    <row r="88" ht="15.75" customHeight="1">
      <c r="A88" s="9" t="s">
        <v>73</v>
      </c>
      <c r="B88" s="9" t="s">
        <v>75</v>
      </c>
      <c r="C88" s="9" t="s">
        <v>76</v>
      </c>
      <c r="D88" s="9" t="s">
        <v>537</v>
      </c>
      <c r="E88" s="9" t="s">
        <v>229</v>
      </c>
      <c r="F88" s="13">
        <v>45717.0</v>
      </c>
      <c r="G88" s="9">
        <v>1124.0</v>
      </c>
      <c r="H88" s="9" t="s">
        <v>60</v>
      </c>
      <c r="I88" s="9" t="s">
        <v>106</v>
      </c>
      <c r="J88" s="14">
        <v>46240.0</v>
      </c>
      <c r="K88" s="9" t="s">
        <v>108</v>
      </c>
      <c r="L88" s="9" t="s">
        <v>109</v>
      </c>
      <c r="M88" s="9" t="s">
        <v>111</v>
      </c>
      <c r="N88" s="9" t="s">
        <v>113</v>
      </c>
      <c r="O88" s="9">
        <v>9.0</v>
      </c>
      <c r="P88" s="9" t="s">
        <v>71</v>
      </c>
    </row>
    <row r="89" ht="15.75" customHeight="1">
      <c r="A89" s="9" t="s">
        <v>93</v>
      </c>
      <c r="B89" s="9" t="s">
        <v>96</v>
      </c>
      <c r="C89" s="9" t="s">
        <v>98</v>
      </c>
      <c r="D89" s="9" t="s">
        <v>538</v>
      </c>
      <c r="E89" s="9" t="s">
        <v>237</v>
      </c>
      <c r="F89" s="13">
        <v>45748.0</v>
      </c>
      <c r="G89" s="9">
        <v>1261.0</v>
      </c>
      <c r="H89" s="9" t="s">
        <v>60</v>
      </c>
      <c r="I89" s="9" t="s">
        <v>126</v>
      </c>
      <c r="J89" s="14">
        <v>46149.0</v>
      </c>
      <c r="K89" s="9" t="s">
        <v>65</v>
      </c>
      <c r="L89" s="9" t="s">
        <v>127</v>
      </c>
      <c r="M89" s="9" t="s">
        <v>106</v>
      </c>
      <c r="N89" s="9" t="s">
        <v>70</v>
      </c>
      <c r="O89" s="9">
        <v>2.0</v>
      </c>
      <c r="P89" s="9" t="s">
        <v>71</v>
      </c>
    </row>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33.25"/>
    <col customWidth="1" min="3" max="3" width="12.63"/>
    <col customWidth="1" min="4" max="4" width="18.63"/>
    <col customWidth="1" min="5" max="5" width="15.13"/>
    <col customWidth="1" min="6" max="6" width="12.63"/>
  </cols>
  <sheetData>
    <row r="1" ht="15.75" customHeight="1">
      <c r="A1" s="4" t="s">
        <v>1</v>
      </c>
      <c r="B1" s="4" t="s">
        <v>2</v>
      </c>
      <c r="C1" s="4" t="s">
        <v>4</v>
      </c>
      <c r="D1" s="4" t="s">
        <v>15</v>
      </c>
      <c r="E1" s="4" t="s">
        <v>18</v>
      </c>
      <c r="F1" s="4" t="s">
        <v>21</v>
      </c>
      <c r="G1" s="4" t="s">
        <v>23</v>
      </c>
      <c r="H1" s="4" t="s">
        <v>26</v>
      </c>
      <c r="I1" s="4" t="s">
        <v>29</v>
      </c>
      <c r="J1" s="4" t="s">
        <v>30</v>
      </c>
      <c r="K1" s="4" t="s">
        <v>32</v>
      </c>
      <c r="L1" s="4" t="s">
        <v>34</v>
      </c>
    </row>
    <row r="2" ht="15.75" customHeight="1">
      <c r="A2" s="6" t="s">
        <v>38</v>
      </c>
      <c r="B2" s="8" t="s">
        <v>41</v>
      </c>
      <c r="C2" s="8" t="s">
        <v>44</v>
      </c>
      <c r="D2" s="8" t="s">
        <v>46</v>
      </c>
      <c r="E2" s="8" t="s">
        <v>47</v>
      </c>
      <c r="F2" s="11">
        <v>45000.0</v>
      </c>
      <c r="G2" s="6" t="s">
        <v>52</v>
      </c>
      <c r="H2" s="6" t="s">
        <v>53</v>
      </c>
      <c r="I2" s="6" t="s">
        <v>54</v>
      </c>
      <c r="J2" s="6" t="s">
        <v>55</v>
      </c>
      <c r="K2" s="6" t="s">
        <v>56</v>
      </c>
      <c r="L2" s="6" t="s">
        <v>57</v>
      </c>
    </row>
    <row r="3" ht="15.75" customHeight="1">
      <c r="A3" s="6" t="s">
        <v>40</v>
      </c>
      <c r="B3" s="8" t="s">
        <v>42</v>
      </c>
      <c r="C3" s="8" t="s">
        <v>45</v>
      </c>
      <c r="D3" s="8" t="s">
        <v>59</v>
      </c>
      <c r="E3" s="8" t="s">
        <v>63</v>
      </c>
      <c r="F3" s="11">
        <v>45500.0</v>
      </c>
      <c r="G3" s="6" t="s">
        <v>52</v>
      </c>
      <c r="H3" s="6" t="s">
        <v>53</v>
      </c>
      <c r="I3" s="6" t="s">
        <v>54</v>
      </c>
      <c r="J3" s="6" t="s">
        <v>55</v>
      </c>
      <c r="K3" s="6" t="s">
        <v>56</v>
      </c>
      <c r="L3" s="6" t="s">
        <v>79</v>
      </c>
    </row>
    <row r="4" ht="15.75" customHeight="1">
      <c r="A4" s="6" t="s">
        <v>82</v>
      </c>
      <c r="B4" s="8" t="s">
        <v>84</v>
      </c>
      <c r="C4" s="8" t="s">
        <v>86</v>
      </c>
      <c r="D4" s="8" t="s">
        <v>87</v>
      </c>
      <c r="E4" s="8" t="s">
        <v>90</v>
      </c>
      <c r="F4" s="11">
        <v>45000.0</v>
      </c>
      <c r="G4" s="6" t="s">
        <v>52</v>
      </c>
      <c r="H4" s="6" t="s">
        <v>53</v>
      </c>
      <c r="I4" s="6" t="s">
        <v>54</v>
      </c>
      <c r="J4" s="6" t="s">
        <v>55</v>
      </c>
      <c r="K4" s="6" t="s">
        <v>56</v>
      </c>
      <c r="L4" s="6" t="s">
        <v>95</v>
      </c>
    </row>
    <row r="5" ht="15.75" customHeight="1">
      <c r="A5" s="6" t="s">
        <v>97</v>
      </c>
      <c r="B5" s="8" t="s">
        <v>99</v>
      </c>
      <c r="C5" s="8" t="s">
        <v>100</v>
      </c>
      <c r="D5" s="8" t="s">
        <v>101</v>
      </c>
      <c r="E5" s="8" t="s">
        <v>102</v>
      </c>
      <c r="F5" s="11">
        <v>36000.0</v>
      </c>
      <c r="G5" s="6" t="s">
        <v>105</v>
      </c>
      <c r="H5" s="6" t="s">
        <v>53</v>
      </c>
      <c r="I5" s="6" t="s">
        <v>54</v>
      </c>
      <c r="J5" s="6" t="s">
        <v>55</v>
      </c>
      <c r="K5" s="6" t="s">
        <v>56</v>
      </c>
      <c r="L5" s="6" t="s">
        <v>107</v>
      </c>
    </row>
    <row r="6" ht="15.75" customHeight="1">
      <c r="A6" s="6" t="s">
        <v>110</v>
      </c>
      <c r="B6" s="8" t="s">
        <v>112</v>
      </c>
      <c r="C6" s="8" t="s">
        <v>114</v>
      </c>
      <c r="D6" s="8" t="s">
        <v>115</v>
      </c>
      <c r="E6" s="8" t="s">
        <v>117</v>
      </c>
      <c r="F6" s="11">
        <v>30000.0</v>
      </c>
      <c r="G6" s="6" t="s">
        <v>118</v>
      </c>
      <c r="H6" s="6" t="s">
        <v>53</v>
      </c>
      <c r="I6" s="6" t="s">
        <v>54</v>
      </c>
      <c r="J6" s="6" t="s">
        <v>55</v>
      </c>
      <c r="K6" s="6" t="s">
        <v>56</v>
      </c>
      <c r="L6" s="6" t="s">
        <v>122</v>
      </c>
    </row>
    <row r="7" ht="15.75" customHeight="1">
      <c r="A7" s="6" t="s">
        <v>124</v>
      </c>
      <c r="B7" s="8" t="s">
        <v>125</v>
      </c>
      <c r="C7" s="8" t="s">
        <v>129</v>
      </c>
      <c r="D7" s="8" t="s">
        <v>130</v>
      </c>
      <c r="E7" s="8" t="s">
        <v>131</v>
      </c>
      <c r="F7" s="11">
        <v>49500.0</v>
      </c>
      <c r="G7" s="6" t="s">
        <v>52</v>
      </c>
      <c r="H7" s="6" t="s">
        <v>53</v>
      </c>
      <c r="I7" s="6" t="s">
        <v>54</v>
      </c>
      <c r="J7" s="6" t="s">
        <v>55</v>
      </c>
      <c r="K7" s="6" t="s">
        <v>56</v>
      </c>
      <c r="L7" s="6" t="s">
        <v>138</v>
      </c>
    </row>
    <row r="8" ht="15.75" customHeight="1">
      <c r="A8" s="6" t="s">
        <v>139</v>
      </c>
      <c r="B8" s="8" t="s">
        <v>140</v>
      </c>
      <c r="C8" s="8" t="s">
        <v>141</v>
      </c>
      <c r="D8" s="8" t="s">
        <v>143</v>
      </c>
      <c r="E8" s="8" t="s">
        <v>144</v>
      </c>
      <c r="F8" s="11">
        <v>30000.0</v>
      </c>
      <c r="G8" s="6" t="s">
        <v>118</v>
      </c>
      <c r="H8" s="6" t="s">
        <v>53</v>
      </c>
      <c r="I8" s="6" t="s">
        <v>54</v>
      </c>
      <c r="J8" s="6" t="s">
        <v>55</v>
      </c>
      <c r="K8" s="6" t="s">
        <v>56</v>
      </c>
      <c r="L8" s="6" t="s">
        <v>148</v>
      </c>
    </row>
    <row r="9" ht="15.75" customHeight="1">
      <c r="A9" s="6" t="s">
        <v>150</v>
      </c>
      <c r="B9" s="8" t="s">
        <v>151</v>
      </c>
      <c r="C9" s="8" t="s">
        <v>153</v>
      </c>
      <c r="D9" s="8" t="s">
        <v>155</v>
      </c>
      <c r="E9" s="8" t="s">
        <v>158</v>
      </c>
      <c r="F9" s="11">
        <v>30000.0</v>
      </c>
      <c r="G9" s="6" t="s">
        <v>118</v>
      </c>
      <c r="H9" s="6" t="s">
        <v>53</v>
      </c>
      <c r="I9" s="6" t="s">
        <v>54</v>
      </c>
      <c r="J9" s="6" t="s">
        <v>55</v>
      </c>
      <c r="K9" s="6" t="s">
        <v>56</v>
      </c>
      <c r="L9" s="6" t="s">
        <v>161</v>
      </c>
    </row>
    <row r="10" ht="15.75" customHeight="1">
      <c r="A10" s="6" t="s">
        <v>163</v>
      </c>
      <c r="B10" s="8" t="s">
        <v>165</v>
      </c>
      <c r="C10" s="8" t="s">
        <v>166</v>
      </c>
      <c r="D10" s="8" t="s">
        <v>168</v>
      </c>
      <c r="E10" s="8" t="s">
        <v>170</v>
      </c>
      <c r="F10" s="11">
        <v>49500.0</v>
      </c>
      <c r="G10" s="6" t="s">
        <v>52</v>
      </c>
      <c r="H10" s="6" t="s">
        <v>53</v>
      </c>
      <c r="I10" s="6" t="s">
        <v>54</v>
      </c>
      <c r="J10" s="6" t="s">
        <v>55</v>
      </c>
      <c r="K10" s="6" t="s">
        <v>56</v>
      </c>
      <c r="L10" s="6" t="s">
        <v>174</v>
      </c>
    </row>
    <row r="11" ht="15.75" customHeight="1">
      <c r="A11" s="6" t="s">
        <v>175</v>
      </c>
      <c r="B11" s="8" t="s">
        <v>176</v>
      </c>
      <c r="C11" s="8" t="s">
        <v>129</v>
      </c>
      <c r="D11" s="8" t="s">
        <v>179</v>
      </c>
      <c r="E11" s="8" t="s">
        <v>181</v>
      </c>
      <c r="F11" s="11">
        <v>49500.0</v>
      </c>
      <c r="G11" s="6" t="s">
        <v>52</v>
      </c>
      <c r="H11" s="6" t="s">
        <v>53</v>
      </c>
      <c r="I11" s="6" t="s">
        <v>54</v>
      </c>
      <c r="J11" s="6" t="s">
        <v>55</v>
      </c>
      <c r="K11" s="6" t="s">
        <v>56</v>
      </c>
      <c r="L11" s="6" t="s">
        <v>187</v>
      </c>
    </row>
    <row r="12" ht="15.75" customHeight="1">
      <c r="A12" s="6" t="s">
        <v>188</v>
      </c>
      <c r="B12" s="8" t="s">
        <v>189</v>
      </c>
      <c r="C12" s="8" t="s">
        <v>129</v>
      </c>
      <c r="D12" s="8" t="s">
        <v>190</v>
      </c>
      <c r="E12" s="8" t="s">
        <v>192</v>
      </c>
      <c r="F12" s="11">
        <v>49500.0</v>
      </c>
      <c r="G12" s="6" t="s">
        <v>52</v>
      </c>
      <c r="H12" s="6" t="s">
        <v>53</v>
      </c>
      <c r="I12" s="6" t="s">
        <v>54</v>
      </c>
      <c r="J12" s="6" t="s">
        <v>55</v>
      </c>
      <c r="K12" s="6" t="s">
        <v>56</v>
      </c>
      <c r="L12" s="6" t="s">
        <v>197</v>
      </c>
    </row>
    <row r="13" ht="15.75" customHeight="1">
      <c r="A13" s="15"/>
      <c r="B13" s="16"/>
      <c r="C13" s="16"/>
      <c r="D13" s="16"/>
      <c r="E13" s="16"/>
      <c r="F13" s="15"/>
      <c r="G13" s="15"/>
      <c r="H13" s="15"/>
      <c r="I13" s="15"/>
      <c r="J13" s="15"/>
      <c r="K13" s="15"/>
      <c r="L13" s="15"/>
    </row>
    <row r="14" ht="15.75" customHeight="1">
      <c r="A14" s="17"/>
      <c r="B14" s="8"/>
      <c r="C14" s="8"/>
      <c r="D14" s="8"/>
      <c r="E14" s="8"/>
      <c r="F14" s="18"/>
      <c r="G14" s="17"/>
      <c r="H14" s="17"/>
      <c r="I14" s="17"/>
      <c r="J14" s="17"/>
      <c r="K14" s="17"/>
      <c r="L14" s="17"/>
    </row>
    <row r="15" ht="15.75" customHeight="1">
      <c r="A15" s="17"/>
      <c r="B15" s="8"/>
      <c r="C15" s="8"/>
      <c r="D15" s="8"/>
      <c r="E15" s="8"/>
      <c r="F15" s="18"/>
      <c r="G15" s="17"/>
      <c r="H15" s="17"/>
      <c r="I15" s="17"/>
      <c r="J15" s="17"/>
      <c r="K15" s="17"/>
      <c r="L15" s="17"/>
    </row>
    <row r="16" ht="15.75" customHeight="1">
      <c r="A16" s="17"/>
      <c r="B16" s="8"/>
      <c r="C16" s="8"/>
      <c r="D16" s="8"/>
      <c r="E16" s="8"/>
      <c r="F16" s="18"/>
      <c r="G16" s="17"/>
      <c r="H16" s="17"/>
      <c r="I16" s="17"/>
      <c r="J16" s="17"/>
      <c r="K16" s="17"/>
      <c r="L16" s="17"/>
    </row>
    <row r="17" ht="15.75" customHeight="1">
      <c r="A17" s="17"/>
      <c r="B17" s="8"/>
      <c r="C17" s="8"/>
      <c r="D17" s="8"/>
      <c r="E17" s="8"/>
      <c r="F17" s="18"/>
      <c r="G17" s="17"/>
      <c r="H17" s="17"/>
      <c r="I17" s="17"/>
      <c r="J17" s="17"/>
      <c r="K17" s="17"/>
      <c r="L17" s="17"/>
    </row>
    <row r="18" ht="15.75" customHeight="1">
      <c r="A18" s="17"/>
      <c r="B18" s="8"/>
      <c r="C18" s="8"/>
      <c r="D18" s="8"/>
      <c r="E18" s="8"/>
      <c r="F18" s="18"/>
      <c r="G18" s="17"/>
      <c r="H18" s="17"/>
      <c r="I18" s="17"/>
      <c r="J18" s="17"/>
      <c r="K18" s="17"/>
      <c r="L18" s="17"/>
    </row>
    <row r="19" ht="15.75" customHeight="1">
      <c r="A19" s="17"/>
      <c r="B19" s="8"/>
      <c r="C19" s="8"/>
      <c r="D19" s="8"/>
      <c r="E19" s="8"/>
      <c r="F19" s="18"/>
      <c r="G19" s="17"/>
      <c r="H19" s="17"/>
      <c r="I19" s="17"/>
      <c r="J19" s="17"/>
      <c r="K19" s="17"/>
      <c r="L19" s="17"/>
    </row>
    <row r="20" ht="15.75" customHeight="1">
      <c r="A20" s="17"/>
      <c r="B20" s="8"/>
      <c r="C20" s="8"/>
      <c r="D20" s="8"/>
      <c r="E20" s="8"/>
      <c r="F20" s="18"/>
      <c r="G20" s="17"/>
      <c r="H20" s="17"/>
      <c r="I20" s="17"/>
      <c r="J20" s="17"/>
      <c r="K20" s="17"/>
      <c r="L20" s="17"/>
    </row>
    <row r="21" ht="15.75" customHeight="1">
      <c r="A21" s="17"/>
      <c r="B21" s="8"/>
      <c r="C21" s="8"/>
      <c r="D21" s="8"/>
      <c r="E21" s="8"/>
      <c r="F21" s="18"/>
      <c r="G21" s="17"/>
      <c r="H21" s="17"/>
      <c r="I21" s="17"/>
      <c r="J21" s="17"/>
      <c r="K21" s="17"/>
      <c r="L21" s="17"/>
    </row>
    <row r="22" ht="15.75" customHeight="1">
      <c r="A22" s="17"/>
      <c r="B22" s="8"/>
      <c r="C22" s="8"/>
      <c r="D22" s="8"/>
      <c r="E22" s="8"/>
      <c r="F22" s="18"/>
      <c r="G22" s="17"/>
      <c r="H22" s="17"/>
      <c r="I22" s="17"/>
      <c r="J22" s="17"/>
      <c r="K22" s="17"/>
      <c r="L22" s="17"/>
    </row>
    <row r="23" ht="15.75" customHeight="1">
      <c r="A23" s="17"/>
      <c r="B23" s="8"/>
      <c r="C23" s="8"/>
      <c r="D23" s="8"/>
      <c r="E23" s="8"/>
      <c r="F23" s="18"/>
      <c r="G23" s="17"/>
      <c r="H23" s="17"/>
      <c r="I23" s="17"/>
      <c r="J23" s="17"/>
      <c r="K23" s="17"/>
      <c r="L23" s="17"/>
    </row>
    <row r="24" ht="15.75" customHeight="1">
      <c r="A24" s="17"/>
      <c r="B24" s="8"/>
      <c r="C24" s="8"/>
      <c r="D24" s="8"/>
      <c r="E24" s="8"/>
      <c r="F24" s="18"/>
      <c r="G24" s="17"/>
      <c r="H24" s="17"/>
      <c r="I24" s="17"/>
      <c r="J24" s="17"/>
      <c r="K24" s="17"/>
      <c r="L24" s="17"/>
    </row>
    <row r="25" ht="15.75" customHeight="1">
      <c r="B25" s="19"/>
      <c r="C25" s="19"/>
      <c r="D25" s="19"/>
      <c r="E25" s="19"/>
    </row>
    <row r="26" ht="15.75" customHeight="1">
      <c r="B26" s="19"/>
      <c r="C26" s="19"/>
      <c r="D26" s="19"/>
      <c r="E26" s="19"/>
    </row>
    <row r="27" ht="15.75" customHeight="1">
      <c r="B27" s="19"/>
      <c r="C27" s="19"/>
      <c r="D27" s="19"/>
      <c r="E27" s="19"/>
    </row>
    <row r="28" ht="15.75" customHeight="1">
      <c r="B28" s="19"/>
      <c r="C28" s="19"/>
      <c r="D28" s="19"/>
      <c r="E28" s="19"/>
    </row>
    <row r="29" ht="15.75" customHeight="1">
      <c r="B29" s="19"/>
      <c r="C29" s="19"/>
      <c r="D29" s="19"/>
      <c r="E29" s="19"/>
    </row>
    <row r="30" ht="15.75" customHeight="1">
      <c r="B30" s="19"/>
      <c r="C30" s="19"/>
      <c r="D30" s="19"/>
      <c r="E30" s="19"/>
    </row>
    <row r="31" ht="15.75" customHeight="1">
      <c r="B31" s="19"/>
      <c r="C31" s="19"/>
      <c r="D31" s="19"/>
      <c r="E31" s="19"/>
    </row>
    <row r="32" ht="15.75" customHeight="1">
      <c r="B32" s="19"/>
      <c r="C32" s="19"/>
      <c r="D32" s="19"/>
      <c r="E32" s="19"/>
    </row>
    <row r="33" ht="15.75" customHeight="1">
      <c r="B33" s="19"/>
      <c r="C33" s="19"/>
      <c r="D33" s="19"/>
      <c r="E33" s="19"/>
    </row>
    <row r="34" ht="15.75" customHeight="1">
      <c r="B34" s="19"/>
      <c r="C34" s="19"/>
      <c r="D34" s="19"/>
      <c r="E34" s="19"/>
    </row>
    <row r="35" ht="15.75" customHeight="1">
      <c r="B35" s="19"/>
      <c r="C35" s="19"/>
      <c r="D35" s="19"/>
      <c r="E35" s="19"/>
    </row>
    <row r="36" ht="15.75" customHeight="1">
      <c r="B36" s="19"/>
      <c r="C36" s="19"/>
      <c r="D36" s="19"/>
      <c r="E36" s="19"/>
    </row>
    <row r="37" ht="15.75" customHeight="1">
      <c r="B37" s="19"/>
      <c r="C37" s="19"/>
      <c r="D37" s="19"/>
      <c r="E37" s="19"/>
    </row>
    <row r="38" ht="15.75" customHeight="1">
      <c r="B38" s="19"/>
      <c r="C38" s="19"/>
      <c r="D38" s="19"/>
      <c r="E38" s="19"/>
    </row>
    <row r="39" ht="15.75" customHeight="1">
      <c r="B39" s="19"/>
      <c r="C39" s="19"/>
      <c r="D39" s="19"/>
      <c r="E39" s="19"/>
    </row>
    <row r="40" ht="15.75" customHeight="1">
      <c r="B40" s="19"/>
      <c r="C40" s="19"/>
      <c r="D40" s="19"/>
      <c r="E40" s="19"/>
    </row>
    <row r="41" ht="15.75" customHeight="1">
      <c r="B41" s="19"/>
      <c r="C41" s="19"/>
      <c r="D41" s="19"/>
      <c r="E41" s="19"/>
    </row>
    <row r="42" ht="15.75" customHeight="1">
      <c r="B42" s="19"/>
      <c r="C42" s="19"/>
      <c r="D42" s="19"/>
      <c r="E42" s="19"/>
    </row>
    <row r="43" ht="15.75" customHeight="1">
      <c r="B43" s="19"/>
      <c r="C43" s="19"/>
      <c r="D43" s="19"/>
      <c r="E43" s="19"/>
    </row>
    <row r="44" ht="15.75" customHeight="1">
      <c r="B44" s="19"/>
      <c r="C44" s="19"/>
      <c r="D44" s="19"/>
      <c r="E44" s="19"/>
    </row>
    <row r="45" ht="15.75" customHeight="1">
      <c r="B45" s="19"/>
      <c r="C45" s="19"/>
      <c r="D45" s="19"/>
      <c r="E45" s="19"/>
    </row>
    <row r="46" ht="15.75" customHeight="1">
      <c r="B46" s="19"/>
      <c r="C46" s="19"/>
      <c r="D46" s="19"/>
      <c r="E46" s="19"/>
    </row>
    <row r="47" ht="15.75" customHeight="1">
      <c r="B47" s="19"/>
      <c r="C47" s="19"/>
      <c r="D47" s="19"/>
      <c r="E47" s="19"/>
    </row>
    <row r="48" ht="15.75" customHeight="1">
      <c r="B48" s="19"/>
      <c r="C48" s="19"/>
      <c r="D48" s="19"/>
      <c r="E48" s="19"/>
    </row>
    <row r="49" ht="15.75" customHeight="1">
      <c r="B49" s="19"/>
      <c r="C49" s="19"/>
      <c r="D49" s="19"/>
      <c r="E49" s="19"/>
    </row>
    <row r="50" ht="15.75" customHeight="1">
      <c r="B50" s="19"/>
      <c r="C50" s="19"/>
      <c r="D50" s="19"/>
      <c r="E50" s="19"/>
    </row>
    <row r="51" ht="15.75" customHeight="1">
      <c r="B51" s="19"/>
      <c r="C51" s="19"/>
      <c r="D51" s="19"/>
      <c r="E51" s="19"/>
    </row>
    <row r="52" ht="15.75" customHeight="1">
      <c r="B52" s="19"/>
      <c r="C52" s="19"/>
      <c r="D52" s="19"/>
      <c r="E52" s="19"/>
    </row>
    <row r="53" ht="15.75" customHeight="1">
      <c r="B53" s="19"/>
      <c r="C53" s="19"/>
      <c r="D53" s="19"/>
      <c r="E53" s="19"/>
    </row>
    <row r="54" ht="15.75" customHeight="1">
      <c r="B54" s="19"/>
      <c r="C54" s="19"/>
      <c r="D54" s="19"/>
      <c r="E54" s="19"/>
    </row>
    <row r="55" ht="15.75" customHeight="1">
      <c r="B55" s="19"/>
      <c r="C55" s="19"/>
      <c r="D55" s="19"/>
      <c r="E55" s="19"/>
    </row>
    <row r="56" ht="15.75" customHeight="1">
      <c r="B56" s="19"/>
      <c r="C56" s="19"/>
      <c r="D56" s="19"/>
      <c r="E56" s="19"/>
    </row>
    <row r="57" ht="15.75" customHeight="1">
      <c r="B57" s="19"/>
      <c r="C57" s="19"/>
      <c r="D57" s="19"/>
      <c r="E57" s="19"/>
    </row>
    <row r="58" ht="15.75" customHeight="1">
      <c r="B58" s="19"/>
      <c r="C58" s="19"/>
      <c r="D58" s="19"/>
      <c r="E58" s="19"/>
    </row>
    <row r="59" ht="15.75" customHeight="1">
      <c r="B59" s="19"/>
      <c r="C59" s="19"/>
      <c r="D59" s="19"/>
      <c r="E59" s="19"/>
    </row>
    <row r="60" ht="15.75" customHeight="1">
      <c r="B60" s="19"/>
      <c r="C60" s="19"/>
      <c r="D60" s="19"/>
      <c r="E60" s="19"/>
    </row>
    <row r="61" ht="15.75" customHeight="1">
      <c r="B61" s="19"/>
      <c r="C61" s="19"/>
      <c r="D61" s="19"/>
      <c r="E61" s="19"/>
    </row>
    <row r="62" ht="15.75" customHeight="1">
      <c r="B62" s="19"/>
      <c r="C62" s="19"/>
      <c r="D62" s="19"/>
      <c r="E62" s="19"/>
    </row>
    <row r="63" ht="15.75" customHeight="1">
      <c r="B63" s="19"/>
      <c r="C63" s="19"/>
      <c r="D63" s="19"/>
      <c r="E63" s="19"/>
    </row>
    <row r="64" ht="15.75" customHeight="1">
      <c r="B64" s="19"/>
      <c r="C64" s="19"/>
      <c r="D64" s="19"/>
      <c r="E64" s="19"/>
    </row>
    <row r="65" ht="15.75" customHeight="1">
      <c r="B65" s="19"/>
      <c r="C65" s="19"/>
      <c r="D65" s="19"/>
      <c r="E65" s="19"/>
    </row>
    <row r="66" ht="15.75" customHeight="1">
      <c r="B66" s="19"/>
      <c r="C66" s="19"/>
      <c r="D66" s="19"/>
      <c r="E66" s="19"/>
    </row>
    <row r="67" ht="15.75" customHeight="1">
      <c r="B67" s="19"/>
      <c r="C67" s="19"/>
      <c r="D67" s="19"/>
      <c r="E67" s="19"/>
    </row>
    <row r="68" ht="15.75" customHeight="1">
      <c r="B68" s="19"/>
      <c r="C68" s="19"/>
      <c r="D68" s="19"/>
      <c r="E68" s="19"/>
    </row>
    <row r="69" ht="15.75" customHeight="1">
      <c r="B69" s="19"/>
      <c r="C69" s="19"/>
      <c r="D69" s="19"/>
      <c r="E69" s="19"/>
    </row>
    <row r="70" ht="15.75" customHeight="1">
      <c r="B70" s="19"/>
      <c r="C70" s="19"/>
      <c r="D70" s="19"/>
      <c r="E70" s="19"/>
    </row>
    <row r="71" ht="15.75" customHeight="1">
      <c r="B71" s="19"/>
      <c r="C71" s="19"/>
      <c r="D71" s="19"/>
      <c r="E71" s="19"/>
    </row>
    <row r="72" ht="15.75" customHeight="1">
      <c r="B72" s="19"/>
      <c r="C72" s="19"/>
      <c r="D72" s="19"/>
      <c r="E72" s="19"/>
    </row>
    <row r="73" ht="15.75" customHeight="1">
      <c r="B73" s="19"/>
      <c r="C73" s="19"/>
      <c r="D73" s="19"/>
      <c r="E73" s="19"/>
    </row>
    <row r="74" ht="15.75" customHeight="1">
      <c r="B74" s="19"/>
      <c r="C74" s="19"/>
      <c r="D74" s="19"/>
      <c r="E74" s="19"/>
    </row>
    <row r="75" ht="15.75" customHeight="1">
      <c r="B75" s="19"/>
      <c r="C75" s="19"/>
      <c r="D75" s="19"/>
      <c r="E75" s="19"/>
    </row>
    <row r="76" ht="15.75" customHeight="1">
      <c r="B76" s="19"/>
      <c r="C76" s="19"/>
      <c r="D76" s="19"/>
      <c r="E76" s="19"/>
    </row>
    <row r="77" ht="15.75" customHeight="1">
      <c r="B77" s="19"/>
      <c r="C77" s="19"/>
      <c r="D77" s="19"/>
      <c r="E77" s="19"/>
    </row>
    <row r="78" ht="15.75" customHeight="1">
      <c r="B78" s="19"/>
      <c r="C78" s="19"/>
      <c r="D78" s="19"/>
      <c r="E78" s="19"/>
    </row>
    <row r="79" ht="15.75" customHeight="1">
      <c r="B79" s="19"/>
      <c r="C79" s="19"/>
      <c r="D79" s="19"/>
      <c r="E79" s="19"/>
    </row>
    <row r="80" ht="15.75" customHeight="1">
      <c r="B80" s="19"/>
      <c r="C80" s="19"/>
      <c r="D80" s="19"/>
      <c r="E80" s="19"/>
    </row>
    <row r="81" ht="15.75" customHeight="1">
      <c r="B81" s="19"/>
      <c r="C81" s="19"/>
      <c r="D81" s="19"/>
      <c r="E81" s="19"/>
    </row>
    <row r="82" ht="15.75" customHeight="1">
      <c r="B82" s="19"/>
      <c r="C82" s="19"/>
      <c r="D82" s="19"/>
      <c r="E82" s="19"/>
    </row>
    <row r="83" ht="15.75" customHeight="1">
      <c r="B83" s="19"/>
      <c r="C83" s="19"/>
      <c r="D83" s="19"/>
      <c r="E83" s="19"/>
    </row>
    <row r="84" ht="15.75" customHeight="1">
      <c r="B84" s="19"/>
      <c r="C84" s="19"/>
      <c r="D84" s="19"/>
      <c r="E84" s="19"/>
    </row>
    <row r="85" ht="15.75" customHeight="1">
      <c r="B85" s="19"/>
      <c r="C85" s="19"/>
      <c r="D85" s="19"/>
      <c r="E85" s="19"/>
    </row>
    <row r="86" ht="15.75" customHeight="1">
      <c r="B86" s="19"/>
      <c r="C86" s="19"/>
      <c r="D86" s="19"/>
      <c r="E86" s="19"/>
    </row>
    <row r="87" ht="15.75" customHeight="1">
      <c r="B87" s="19"/>
      <c r="C87" s="19"/>
      <c r="D87" s="19"/>
      <c r="E87" s="19"/>
    </row>
    <row r="88" ht="15.75" customHeight="1">
      <c r="B88" s="19"/>
      <c r="C88" s="19"/>
      <c r="D88" s="19"/>
      <c r="E88" s="19"/>
    </row>
    <row r="89" ht="15.75" customHeight="1">
      <c r="B89" s="19"/>
      <c r="C89" s="19"/>
      <c r="D89" s="19"/>
      <c r="E89" s="19"/>
    </row>
    <row r="90" ht="15.75" customHeight="1">
      <c r="B90" s="19"/>
      <c r="C90" s="19"/>
      <c r="D90" s="19"/>
      <c r="E90" s="19"/>
    </row>
    <row r="91" ht="15.75" customHeight="1">
      <c r="B91" s="19"/>
      <c r="C91" s="19"/>
      <c r="D91" s="19"/>
      <c r="E91" s="19"/>
    </row>
    <row r="92" ht="15.75" customHeight="1">
      <c r="B92" s="19"/>
      <c r="C92" s="19"/>
      <c r="D92" s="19"/>
      <c r="E92" s="19"/>
    </row>
    <row r="93" ht="15.75" customHeight="1">
      <c r="B93" s="19"/>
      <c r="C93" s="19"/>
      <c r="D93" s="19"/>
      <c r="E93" s="19"/>
    </row>
    <row r="94" ht="15.75" customHeight="1">
      <c r="B94" s="19"/>
      <c r="C94" s="19"/>
      <c r="D94" s="19"/>
      <c r="E94" s="19"/>
    </row>
    <row r="95" ht="15.75" customHeight="1">
      <c r="B95" s="19"/>
      <c r="C95" s="19"/>
      <c r="D95" s="19"/>
      <c r="E95" s="19"/>
    </row>
    <row r="96" ht="15.75" customHeight="1">
      <c r="B96" s="19"/>
      <c r="C96" s="19"/>
      <c r="D96" s="19"/>
      <c r="E96" s="19"/>
    </row>
    <row r="97" ht="15.75" customHeight="1">
      <c r="B97" s="19"/>
      <c r="C97" s="19"/>
      <c r="D97" s="19"/>
      <c r="E97" s="19"/>
    </row>
    <row r="98" ht="15.75" customHeight="1">
      <c r="B98" s="19"/>
      <c r="C98" s="19"/>
      <c r="D98" s="19"/>
      <c r="E98" s="19"/>
    </row>
    <row r="99" ht="15.75" customHeight="1">
      <c r="B99" s="19"/>
      <c r="C99" s="19"/>
      <c r="D99" s="19"/>
      <c r="E99" s="19"/>
    </row>
    <row r="100" ht="15.75" customHeight="1">
      <c r="B100" s="19"/>
      <c r="C100" s="19"/>
      <c r="D100" s="19"/>
      <c r="E100" s="19"/>
    </row>
    <row r="101" ht="15.75" customHeight="1">
      <c r="B101" s="19"/>
      <c r="C101" s="19"/>
      <c r="D101" s="19"/>
      <c r="E101" s="19"/>
    </row>
    <row r="102" ht="15.75" customHeight="1">
      <c r="B102" s="19"/>
      <c r="C102" s="19"/>
      <c r="D102" s="19"/>
      <c r="E102" s="19"/>
    </row>
    <row r="103" ht="15.75" customHeight="1">
      <c r="B103" s="19"/>
      <c r="C103" s="19"/>
      <c r="D103" s="19"/>
      <c r="E103" s="19"/>
    </row>
    <row r="104" ht="15.75" customHeight="1">
      <c r="B104" s="19"/>
      <c r="C104" s="19"/>
      <c r="D104" s="19"/>
      <c r="E104" s="19"/>
    </row>
    <row r="105" ht="15.75" customHeight="1">
      <c r="B105" s="19"/>
      <c r="C105" s="19"/>
      <c r="D105" s="19"/>
      <c r="E105" s="19"/>
    </row>
    <row r="106" ht="15.75" customHeight="1">
      <c r="B106" s="19"/>
      <c r="C106" s="19"/>
      <c r="D106" s="19"/>
      <c r="E106" s="19"/>
    </row>
    <row r="107" ht="15.75" customHeight="1">
      <c r="B107" s="19"/>
      <c r="C107" s="19"/>
      <c r="D107" s="19"/>
      <c r="E107" s="19"/>
    </row>
    <row r="108" ht="15.75" customHeight="1">
      <c r="B108" s="19"/>
      <c r="C108" s="19"/>
      <c r="D108" s="19"/>
      <c r="E108" s="19"/>
    </row>
    <row r="109" ht="15.75" customHeight="1">
      <c r="B109" s="19"/>
      <c r="C109" s="19"/>
      <c r="D109" s="19"/>
      <c r="E109" s="19"/>
    </row>
    <row r="110" ht="15.75" customHeight="1">
      <c r="B110" s="19"/>
      <c r="C110" s="19"/>
      <c r="D110" s="19"/>
      <c r="E110" s="19"/>
    </row>
    <row r="111" ht="15.75" customHeight="1">
      <c r="B111" s="19"/>
      <c r="C111" s="19"/>
      <c r="D111" s="19"/>
      <c r="E111" s="19"/>
    </row>
    <row r="112" ht="15.75" customHeight="1">
      <c r="B112" s="19"/>
      <c r="C112" s="19"/>
      <c r="D112" s="19"/>
      <c r="E112" s="19"/>
    </row>
    <row r="113" ht="15.75" customHeight="1">
      <c r="B113" s="19"/>
      <c r="C113" s="19"/>
      <c r="D113" s="19"/>
      <c r="E113" s="19"/>
    </row>
    <row r="114" ht="15.75" customHeight="1">
      <c r="B114" s="19"/>
      <c r="C114" s="19"/>
      <c r="D114" s="19"/>
      <c r="E114" s="19"/>
    </row>
    <row r="115" ht="15.75" customHeight="1">
      <c r="B115" s="19"/>
      <c r="C115" s="19"/>
      <c r="D115" s="19"/>
      <c r="E115" s="19"/>
    </row>
    <row r="116" ht="15.75" customHeight="1">
      <c r="B116" s="19"/>
      <c r="C116" s="19"/>
      <c r="D116" s="19"/>
      <c r="E116" s="19"/>
    </row>
    <row r="117" ht="15.75" customHeight="1">
      <c r="B117" s="19"/>
      <c r="C117" s="19"/>
      <c r="D117" s="19"/>
      <c r="E117" s="19"/>
    </row>
    <row r="118" ht="15.75" customHeight="1">
      <c r="B118" s="19"/>
      <c r="C118" s="19"/>
      <c r="D118" s="19"/>
      <c r="E118" s="19"/>
    </row>
    <row r="119" ht="15.75" customHeight="1">
      <c r="B119" s="19"/>
      <c r="C119" s="19"/>
      <c r="D119" s="19"/>
      <c r="E119" s="19"/>
    </row>
    <row r="120" ht="15.75" customHeight="1">
      <c r="B120" s="19"/>
      <c r="C120" s="19"/>
      <c r="D120" s="19"/>
      <c r="E120" s="19"/>
    </row>
    <row r="121" ht="15.75" customHeight="1">
      <c r="B121" s="19"/>
      <c r="C121" s="19"/>
      <c r="D121" s="19"/>
      <c r="E121" s="19"/>
    </row>
    <row r="122" ht="15.75" customHeight="1">
      <c r="B122" s="19"/>
      <c r="C122" s="19"/>
      <c r="D122" s="19"/>
      <c r="E122" s="19"/>
    </row>
    <row r="123" ht="15.75" customHeight="1">
      <c r="B123" s="19"/>
      <c r="C123" s="19"/>
      <c r="D123" s="19"/>
      <c r="E123" s="19"/>
    </row>
    <row r="124" ht="15.75" customHeight="1">
      <c r="B124" s="19"/>
      <c r="C124" s="19"/>
      <c r="D124" s="19"/>
      <c r="E124" s="19"/>
    </row>
    <row r="125" ht="15.75" customHeight="1">
      <c r="B125" s="19"/>
      <c r="C125" s="19"/>
      <c r="D125" s="19"/>
      <c r="E125" s="19"/>
    </row>
    <row r="126" ht="15.75" customHeight="1">
      <c r="B126" s="19"/>
      <c r="C126" s="19"/>
      <c r="D126" s="19"/>
      <c r="E126" s="19"/>
    </row>
    <row r="127" ht="15.75" customHeight="1">
      <c r="B127" s="19"/>
      <c r="C127" s="19"/>
      <c r="D127" s="19"/>
      <c r="E127" s="19"/>
    </row>
    <row r="128" ht="15.75" customHeight="1">
      <c r="B128" s="19"/>
      <c r="C128" s="19"/>
      <c r="D128" s="19"/>
      <c r="E128" s="19"/>
    </row>
    <row r="129" ht="15.75" customHeight="1">
      <c r="B129" s="19"/>
      <c r="C129" s="19"/>
      <c r="D129" s="19"/>
      <c r="E129" s="19"/>
    </row>
    <row r="130" ht="15.75" customHeight="1">
      <c r="B130" s="19"/>
      <c r="C130" s="19"/>
      <c r="D130" s="19"/>
      <c r="E130" s="19"/>
    </row>
    <row r="131" ht="15.75" customHeight="1">
      <c r="B131" s="19"/>
      <c r="C131" s="19"/>
      <c r="D131" s="19"/>
      <c r="E131" s="19"/>
    </row>
    <row r="132" ht="15.75" customHeight="1">
      <c r="B132" s="19"/>
      <c r="C132" s="19"/>
      <c r="D132" s="19"/>
      <c r="E132" s="19"/>
    </row>
    <row r="133" ht="15.75" customHeight="1">
      <c r="B133" s="19"/>
      <c r="C133" s="19"/>
      <c r="D133" s="19"/>
      <c r="E133" s="19"/>
    </row>
    <row r="134" ht="15.75" customHeight="1">
      <c r="B134" s="19"/>
      <c r="C134" s="19"/>
      <c r="D134" s="19"/>
      <c r="E134" s="19"/>
    </row>
    <row r="135" ht="15.75" customHeight="1">
      <c r="B135" s="19"/>
      <c r="C135" s="19"/>
      <c r="D135" s="19"/>
      <c r="E135" s="19"/>
    </row>
    <row r="136" ht="15.75" customHeight="1">
      <c r="B136" s="19"/>
      <c r="C136" s="19"/>
      <c r="D136" s="19"/>
      <c r="E136" s="19"/>
    </row>
    <row r="137" ht="15.75" customHeight="1">
      <c r="B137" s="19"/>
      <c r="C137" s="19"/>
      <c r="D137" s="19"/>
      <c r="E137" s="19"/>
    </row>
    <row r="138" ht="15.75" customHeight="1">
      <c r="B138" s="19"/>
      <c r="C138" s="19"/>
      <c r="D138" s="19"/>
      <c r="E138" s="19"/>
    </row>
    <row r="139" ht="15.75" customHeight="1">
      <c r="B139" s="19"/>
      <c r="C139" s="19"/>
      <c r="D139" s="19"/>
      <c r="E139" s="19"/>
    </row>
    <row r="140" ht="15.75" customHeight="1">
      <c r="B140" s="19"/>
      <c r="C140" s="19"/>
      <c r="D140" s="19"/>
      <c r="E140" s="19"/>
    </row>
    <row r="141" ht="15.75" customHeight="1">
      <c r="B141" s="19"/>
      <c r="C141" s="19"/>
      <c r="D141" s="19"/>
      <c r="E141" s="19"/>
    </row>
    <row r="142" ht="15.75" customHeight="1">
      <c r="B142" s="19"/>
      <c r="C142" s="19"/>
      <c r="D142" s="19"/>
      <c r="E142" s="19"/>
    </row>
    <row r="143" ht="15.75" customHeight="1">
      <c r="B143" s="19"/>
      <c r="C143" s="19"/>
      <c r="D143" s="19"/>
      <c r="E143" s="19"/>
    </row>
    <row r="144" ht="15.75" customHeight="1">
      <c r="B144" s="19"/>
      <c r="C144" s="19"/>
      <c r="D144" s="19"/>
      <c r="E144" s="19"/>
    </row>
    <row r="145" ht="15.75" customHeight="1">
      <c r="B145" s="19"/>
      <c r="C145" s="19"/>
      <c r="D145" s="19"/>
      <c r="E145" s="19"/>
    </row>
    <row r="146" ht="15.75" customHeight="1">
      <c r="B146" s="19"/>
      <c r="C146" s="19"/>
      <c r="D146" s="19"/>
      <c r="E146" s="19"/>
    </row>
    <row r="147" ht="15.75" customHeight="1">
      <c r="B147" s="19"/>
      <c r="C147" s="19"/>
      <c r="D147" s="19"/>
      <c r="E147" s="19"/>
    </row>
    <row r="148" ht="15.75" customHeight="1">
      <c r="B148" s="19"/>
      <c r="C148" s="19"/>
      <c r="D148" s="19"/>
      <c r="E148" s="19"/>
    </row>
    <row r="149" ht="15.75" customHeight="1">
      <c r="B149" s="19"/>
      <c r="C149" s="19"/>
      <c r="D149" s="19"/>
      <c r="E149" s="19"/>
    </row>
    <row r="150" ht="15.75" customHeight="1">
      <c r="B150" s="19"/>
      <c r="C150" s="19"/>
      <c r="D150" s="19"/>
      <c r="E150" s="19"/>
    </row>
    <row r="151" ht="15.75" customHeight="1">
      <c r="B151" s="19"/>
      <c r="C151" s="19"/>
      <c r="D151" s="19"/>
      <c r="E151" s="19"/>
    </row>
    <row r="152" ht="15.75" customHeight="1">
      <c r="B152" s="19"/>
      <c r="C152" s="19"/>
      <c r="D152" s="19"/>
      <c r="E152" s="19"/>
    </row>
    <row r="153" ht="15.75" customHeight="1">
      <c r="B153" s="19"/>
      <c r="C153" s="19"/>
      <c r="D153" s="19"/>
      <c r="E153" s="19"/>
    </row>
    <row r="154" ht="15.75" customHeight="1">
      <c r="B154" s="19"/>
      <c r="C154" s="19"/>
      <c r="D154" s="19"/>
      <c r="E154" s="19"/>
    </row>
    <row r="155" ht="15.75" customHeight="1">
      <c r="B155" s="19"/>
      <c r="C155" s="19"/>
      <c r="D155" s="19"/>
      <c r="E155" s="19"/>
    </row>
    <row r="156" ht="15.75" customHeight="1">
      <c r="B156" s="19"/>
      <c r="C156" s="19"/>
      <c r="D156" s="19"/>
      <c r="E156" s="19"/>
    </row>
    <row r="157" ht="15.75" customHeight="1">
      <c r="B157" s="19"/>
      <c r="C157" s="19"/>
      <c r="D157" s="19"/>
      <c r="E157" s="19"/>
    </row>
    <row r="158" ht="15.75" customHeight="1">
      <c r="B158" s="19"/>
      <c r="C158" s="19"/>
      <c r="D158" s="19"/>
      <c r="E158" s="19"/>
    </row>
    <row r="159" ht="15.75" customHeight="1">
      <c r="B159" s="19"/>
      <c r="C159" s="19"/>
      <c r="D159" s="19"/>
      <c r="E159" s="19"/>
    </row>
    <row r="160" ht="15.75" customHeight="1">
      <c r="B160" s="19"/>
      <c r="C160" s="19"/>
      <c r="D160" s="19"/>
      <c r="E160" s="19"/>
    </row>
    <row r="161" ht="15.75" customHeight="1">
      <c r="B161" s="19"/>
      <c r="C161" s="19"/>
      <c r="D161" s="19"/>
      <c r="E161" s="19"/>
    </row>
    <row r="162" ht="15.75" customHeight="1">
      <c r="B162" s="19"/>
      <c r="C162" s="19"/>
      <c r="D162" s="19"/>
      <c r="E162" s="19"/>
    </row>
    <row r="163" ht="15.75" customHeight="1">
      <c r="B163" s="19"/>
      <c r="C163" s="19"/>
      <c r="D163" s="19"/>
      <c r="E163" s="19"/>
    </row>
    <row r="164" ht="15.75" customHeight="1">
      <c r="B164" s="19"/>
      <c r="C164" s="19"/>
      <c r="D164" s="19"/>
      <c r="E164" s="19"/>
    </row>
    <row r="165" ht="15.75" customHeight="1">
      <c r="B165" s="19"/>
      <c r="C165" s="19"/>
      <c r="D165" s="19"/>
      <c r="E165" s="19"/>
    </row>
    <row r="166" ht="15.75" customHeight="1">
      <c r="B166" s="19"/>
      <c r="C166" s="19"/>
      <c r="D166" s="19"/>
      <c r="E166" s="19"/>
    </row>
    <row r="167" ht="15.75" customHeight="1">
      <c r="B167" s="19"/>
      <c r="C167" s="19"/>
      <c r="D167" s="19"/>
      <c r="E167" s="19"/>
    </row>
    <row r="168" ht="15.75" customHeight="1">
      <c r="B168" s="19"/>
      <c r="C168" s="19"/>
      <c r="D168" s="19"/>
      <c r="E168" s="19"/>
    </row>
    <row r="169" ht="15.75" customHeight="1">
      <c r="B169" s="19"/>
      <c r="C169" s="19"/>
      <c r="D169" s="19"/>
      <c r="E169" s="19"/>
    </row>
    <row r="170" ht="15.75" customHeight="1">
      <c r="B170" s="19"/>
      <c r="C170" s="19"/>
      <c r="D170" s="19"/>
      <c r="E170" s="19"/>
    </row>
    <row r="171" ht="15.75" customHeight="1">
      <c r="B171" s="19"/>
      <c r="C171" s="19"/>
      <c r="D171" s="19"/>
      <c r="E171" s="19"/>
    </row>
    <row r="172" ht="15.75" customHeight="1">
      <c r="B172" s="19"/>
      <c r="C172" s="19"/>
      <c r="D172" s="19"/>
      <c r="E172" s="19"/>
    </row>
    <row r="173" ht="15.75" customHeight="1">
      <c r="B173" s="19"/>
      <c r="C173" s="19"/>
      <c r="D173" s="19"/>
      <c r="E173" s="19"/>
    </row>
    <row r="174" ht="15.75" customHeight="1">
      <c r="B174" s="19"/>
      <c r="C174" s="19"/>
      <c r="D174" s="19"/>
      <c r="E174" s="19"/>
    </row>
    <row r="175" ht="15.75" customHeight="1">
      <c r="B175" s="19"/>
      <c r="C175" s="19"/>
      <c r="D175" s="19"/>
      <c r="E175" s="19"/>
    </row>
    <row r="176" ht="15.75" customHeight="1">
      <c r="B176" s="19"/>
      <c r="C176" s="19"/>
      <c r="D176" s="19"/>
      <c r="E176" s="19"/>
    </row>
    <row r="177" ht="15.75" customHeight="1">
      <c r="B177" s="19"/>
      <c r="C177" s="19"/>
      <c r="D177" s="19"/>
      <c r="E177" s="19"/>
    </row>
    <row r="178" ht="15.75" customHeight="1">
      <c r="B178" s="19"/>
      <c r="C178" s="19"/>
      <c r="D178" s="19"/>
      <c r="E178" s="19"/>
    </row>
    <row r="179" ht="15.75" customHeight="1">
      <c r="B179" s="19"/>
      <c r="C179" s="19"/>
      <c r="D179" s="19"/>
      <c r="E179" s="19"/>
    </row>
    <row r="180" ht="15.75" customHeight="1">
      <c r="B180" s="19"/>
      <c r="C180" s="19"/>
      <c r="D180" s="19"/>
      <c r="E180" s="19"/>
    </row>
    <row r="181" ht="15.75" customHeight="1">
      <c r="B181" s="19"/>
      <c r="C181" s="19"/>
      <c r="D181" s="19"/>
      <c r="E181" s="19"/>
    </row>
    <row r="182" ht="15.75" customHeight="1">
      <c r="B182" s="19"/>
      <c r="C182" s="19"/>
      <c r="D182" s="19"/>
      <c r="E182" s="19"/>
    </row>
    <row r="183" ht="15.75" customHeight="1">
      <c r="B183" s="19"/>
      <c r="C183" s="19"/>
      <c r="D183" s="19"/>
      <c r="E183" s="19"/>
    </row>
    <row r="184" ht="15.75" customHeight="1">
      <c r="B184" s="19"/>
      <c r="C184" s="19"/>
      <c r="D184" s="19"/>
      <c r="E184" s="19"/>
    </row>
    <row r="185" ht="15.75" customHeight="1">
      <c r="B185" s="19"/>
      <c r="C185" s="19"/>
      <c r="D185" s="19"/>
      <c r="E185" s="19"/>
    </row>
    <row r="186" ht="15.75" customHeight="1">
      <c r="B186" s="19"/>
      <c r="C186" s="19"/>
      <c r="D186" s="19"/>
      <c r="E186" s="19"/>
    </row>
    <row r="187" ht="15.75" customHeight="1">
      <c r="B187" s="19"/>
      <c r="C187" s="19"/>
      <c r="D187" s="19"/>
      <c r="E187" s="19"/>
    </row>
    <row r="188" ht="15.75" customHeight="1">
      <c r="B188" s="19"/>
      <c r="C188" s="19"/>
      <c r="D188" s="19"/>
      <c r="E188" s="19"/>
    </row>
    <row r="189" ht="15.75" customHeight="1">
      <c r="B189" s="19"/>
      <c r="C189" s="19"/>
      <c r="D189" s="19"/>
      <c r="E189" s="19"/>
    </row>
    <row r="190" ht="15.75" customHeight="1">
      <c r="B190" s="19"/>
      <c r="C190" s="19"/>
      <c r="D190" s="19"/>
      <c r="E190" s="19"/>
    </row>
    <row r="191" ht="15.75" customHeight="1">
      <c r="B191" s="19"/>
      <c r="C191" s="19"/>
      <c r="D191" s="19"/>
      <c r="E191" s="19"/>
    </row>
    <row r="192" ht="15.75" customHeight="1">
      <c r="B192" s="19"/>
      <c r="C192" s="19"/>
      <c r="D192" s="19"/>
      <c r="E192" s="19"/>
    </row>
    <row r="193" ht="15.75" customHeight="1">
      <c r="B193" s="19"/>
      <c r="C193" s="19"/>
      <c r="D193" s="19"/>
      <c r="E193" s="19"/>
    </row>
    <row r="194" ht="15.75" customHeight="1">
      <c r="B194" s="19"/>
      <c r="C194" s="19"/>
      <c r="D194" s="19"/>
      <c r="E194" s="19"/>
    </row>
    <row r="195" ht="15.75" customHeight="1">
      <c r="B195" s="19"/>
      <c r="C195" s="19"/>
      <c r="D195" s="19"/>
      <c r="E195" s="19"/>
    </row>
    <row r="196" ht="15.75" customHeight="1">
      <c r="B196" s="19"/>
      <c r="C196" s="19"/>
      <c r="D196" s="19"/>
      <c r="E196" s="19"/>
    </row>
    <row r="197" ht="15.75" customHeight="1">
      <c r="B197" s="19"/>
      <c r="C197" s="19"/>
      <c r="D197" s="19"/>
      <c r="E197" s="19"/>
    </row>
    <row r="198" ht="15.75" customHeight="1">
      <c r="B198" s="19"/>
      <c r="C198" s="19"/>
      <c r="D198" s="19"/>
      <c r="E198" s="19"/>
    </row>
    <row r="199" ht="15.75" customHeight="1">
      <c r="B199" s="19"/>
      <c r="C199" s="19"/>
      <c r="D199" s="19"/>
      <c r="E199" s="19"/>
    </row>
    <row r="200" ht="15.75" customHeight="1">
      <c r="B200" s="19"/>
      <c r="C200" s="19"/>
      <c r="D200" s="19"/>
      <c r="E200" s="19"/>
    </row>
    <row r="201" ht="15.75" customHeight="1">
      <c r="B201" s="19"/>
      <c r="C201" s="19"/>
      <c r="D201" s="19"/>
      <c r="E201" s="19"/>
    </row>
    <row r="202" ht="15.75" customHeight="1">
      <c r="B202" s="19"/>
      <c r="C202" s="19"/>
      <c r="D202" s="19"/>
      <c r="E202" s="19"/>
    </row>
    <row r="203" ht="15.75" customHeight="1">
      <c r="B203" s="19"/>
      <c r="C203" s="19"/>
      <c r="D203" s="19"/>
      <c r="E203" s="19"/>
    </row>
    <row r="204" ht="15.75" customHeight="1">
      <c r="B204" s="19"/>
      <c r="C204" s="19"/>
      <c r="D204" s="19"/>
      <c r="E204" s="19"/>
    </row>
    <row r="205" ht="15.75" customHeight="1">
      <c r="B205" s="19"/>
      <c r="C205" s="19"/>
      <c r="D205" s="19"/>
      <c r="E205" s="19"/>
    </row>
    <row r="206" ht="15.75" customHeight="1">
      <c r="B206" s="19"/>
      <c r="C206" s="19"/>
      <c r="D206" s="19"/>
      <c r="E206" s="19"/>
    </row>
    <row r="207" ht="15.75" customHeight="1">
      <c r="B207" s="19"/>
      <c r="C207" s="19"/>
      <c r="D207" s="19"/>
      <c r="E207" s="19"/>
    </row>
    <row r="208" ht="15.75" customHeight="1">
      <c r="B208" s="19"/>
      <c r="C208" s="19"/>
      <c r="D208" s="19"/>
      <c r="E208" s="19"/>
    </row>
    <row r="209" ht="15.75" customHeight="1">
      <c r="B209" s="19"/>
      <c r="C209" s="19"/>
      <c r="D209" s="19"/>
      <c r="E209" s="19"/>
    </row>
    <row r="210" ht="15.75" customHeight="1">
      <c r="B210" s="19"/>
      <c r="C210" s="19"/>
      <c r="D210" s="19"/>
      <c r="E210" s="19"/>
    </row>
    <row r="211" ht="15.75" customHeight="1">
      <c r="B211" s="19"/>
      <c r="C211" s="19"/>
      <c r="D211" s="19"/>
      <c r="E211" s="19"/>
    </row>
    <row r="212" ht="15.75" customHeight="1">
      <c r="B212" s="19"/>
      <c r="C212" s="19"/>
      <c r="D212" s="19"/>
      <c r="E212" s="19"/>
    </row>
    <row r="213" ht="15.75" customHeight="1">
      <c r="B213" s="19"/>
      <c r="C213" s="19"/>
      <c r="D213" s="19"/>
      <c r="E213" s="19"/>
    </row>
    <row r="214" ht="15.75" customHeight="1">
      <c r="B214" s="19"/>
      <c r="C214" s="19"/>
      <c r="D214" s="19"/>
      <c r="E214" s="19"/>
    </row>
    <row r="215" ht="15.75" customHeight="1">
      <c r="B215" s="19"/>
      <c r="C215" s="19"/>
      <c r="D215" s="19"/>
      <c r="E215" s="19"/>
    </row>
    <row r="216" ht="15.75" customHeight="1">
      <c r="B216" s="19"/>
      <c r="C216" s="19"/>
      <c r="D216" s="19"/>
      <c r="E216" s="19"/>
    </row>
    <row r="217" ht="15.75" customHeight="1">
      <c r="B217" s="19"/>
      <c r="C217" s="19"/>
      <c r="D217" s="19"/>
      <c r="E217" s="19"/>
    </row>
    <row r="218" ht="15.75" customHeight="1">
      <c r="B218" s="19"/>
      <c r="C218" s="19"/>
      <c r="D218" s="19"/>
      <c r="E218" s="19"/>
    </row>
    <row r="219" ht="15.75" customHeight="1">
      <c r="B219" s="19"/>
      <c r="C219" s="19"/>
      <c r="D219" s="19"/>
      <c r="E219" s="19"/>
    </row>
    <row r="220" ht="15.75" customHeight="1">
      <c r="B220" s="19"/>
      <c r="C220" s="19"/>
      <c r="D220" s="19"/>
      <c r="E220" s="1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33.25"/>
    <col customWidth="1" min="3" max="3" width="12.63"/>
    <col customWidth="1" min="4" max="4" width="18.63"/>
    <col customWidth="1" min="5" max="5" width="15.13"/>
    <col customWidth="1" min="6" max="6" width="12.63"/>
  </cols>
  <sheetData>
    <row r="1" ht="15.75" customHeight="1">
      <c r="A1" s="4" t="s">
        <v>1</v>
      </c>
      <c r="B1" s="4" t="s">
        <v>2</v>
      </c>
      <c r="C1" s="4" t="s">
        <v>4</v>
      </c>
      <c r="D1" s="4" t="s">
        <v>15</v>
      </c>
      <c r="E1" s="4" t="s">
        <v>18</v>
      </c>
      <c r="F1" s="4" t="s">
        <v>21</v>
      </c>
      <c r="G1" s="4" t="s">
        <v>23</v>
      </c>
      <c r="H1" s="4" t="s">
        <v>26</v>
      </c>
      <c r="I1" s="4" t="s">
        <v>29</v>
      </c>
      <c r="J1" s="4" t="s">
        <v>30</v>
      </c>
      <c r="K1" s="4" t="s">
        <v>32</v>
      </c>
      <c r="L1" s="4" t="s">
        <v>34</v>
      </c>
    </row>
    <row r="2" ht="15.75" customHeight="1">
      <c r="A2" s="6" t="s">
        <v>38</v>
      </c>
      <c r="B2" s="8" t="s">
        <v>41</v>
      </c>
      <c r="C2" s="8" t="s">
        <v>44</v>
      </c>
      <c r="D2" s="8" t="s">
        <v>46</v>
      </c>
      <c r="E2" s="8" t="s">
        <v>47</v>
      </c>
      <c r="F2" s="11">
        <v>45000.0</v>
      </c>
      <c r="G2" s="6" t="s">
        <v>52</v>
      </c>
      <c r="H2" s="6" t="s">
        <v>53</v>
      </c>
      <c r="I2" s="6" t="s">
        <v>54</v>
      </c>
      <c r="J2" s="6" t="s">
        <v>55</v>
      </c>
      <c r="K2" s="6" t="s">
        <v>56</v>
      </c>
      <c r="L2" s="6" t="s">
        <v>57</v>
      </c>
    </row>
    <row r="3" ht="15.75" customHeight="1">
      <c r="A3" s="6" t="s">
        <v>40</v>
      </c>
      <c r="B3" s="8" t="s">
        <v>42</v>
      </c>
      <c r="C3" s="8" t="s">
        <v>45</v>
      </c>
      <c r="D3" s="8" t="s">
        <v>59</v>
      </c>
      <c r="E3" s="8" t="s">
        <v>63</v>
      </c>
      <c r="F3" s="11">
        <v>45500.0</v>
      </c>
      <c r="G3" s="6" t="s">
        <v>52</v>
      </c>
      <c r="H3" s="6" t="s">
        <v>53</v>
      </c>
      <c r="I3" s="6" t="s">
        <v>54</v>
      </c>
      <c r="J3" s="6" t="s">
        <v>55</v>
      </c>
      <c r="K3" s="6" t="s">
        <v>56</v>
      </c>
      <c r="L3" s="6" t="s">
        <v>79</v>
      </c>
    </row>
    <row r="4" ht="15.75" customHeight="1">
      <c r="A4" s="6" t="s">
        <v>82</v>
      </c>
      <c r="B4" s="8" t="s">
        <v>84</v>
      </c>
      <c r="C4" s="8" t="s">
        <v>86</v>
      </c>
      <c r="D4" s="8" t="s">
        <v>87</v>
      </c>
      <c r="E4" s="8" t="s">
        <v>90</v>
      </c>
      <c r="F4" s="11">
        <v>45000.0</v>
      </c>
      <c r="G4" s="6" t="s">
        <v>52</v>
      </c>
      <c r="H4" s="6" t="s">
        <v>53</v>
      </c>
      <c r="I4" s="6" t="s">
        <v>54</v>
      </c>
      <c r="J4" s="6" t="s">
        <v>55</v>
      </c>
      <c r="K4" s="6" t="s">
        <v>56</v>
      </c>
      <c r="L4" s="6" t="s">
        <v>95</v>
      </c>
    </row>
    <row r="5" ht="15.75" customHeight="1">
      <c r="A5" s="6" t="s">
        <v>97</v>
      </c>
      <c r="B5" s="8" t="s">
        <v>99</v>
      </c>
      <c r="C5" s="8" t="s">
        <v>100</v>
      </c>
      <c r="D5" s="8" t="s">
        <v>101</v>
      </c>
      <c r="E5" s="8" t="s">
        <v>102</v>
      </c>
      <c r="F5" s="11">
        <v>36000.0</v>
      </c>
      <c r="G5" s="6" t="s">
        <v>105</v>
      </c>
      <c r="H5" s="6" t="s">
        <v>53</v>
      </c>
      <c r="I5" s="6" t="s">
        <v>54</v>
      </c>
      <c r="J5" s="6" t="s">
        <v>55</v>
      </c>
      <c r="K5" s="6" t="s">
        <v>56</v>
      </c>
      <c r="L5" s="6" t="s">
        <v>107</v>
      </c>
    </row>
    <row r="6" ht="15.75" customHeight="1">
      <c r="A6" s="6" t="s">
        <v>110</v>
      </c>
      <c r="B6" s="8" t="s">
        <v>112</v>
      </c>
      <c r="C6" s="8" t="s">
        <v>114</v>
      </c>
      <c r="D6" s="8" t="s">
        <v>115</v>
      </c>
      <c r="E6" s="8" t="s">
        <v>117</v>
      </c>
      <c r="F6" s="11">
        <v>30000.0</v>
      </c>
      <c r="G6" s="6" t="s">
        <v>118</v>
      </c>
      <c r="H6" s="6" t="s">
        <v>53</v>
      </c>
      <c r="I6" s="6" t="s">
        <v>54</v>
      </c>
      <c r="J6" s="6" t="s">
        <v>55</v>
      </c>
      <c r="K6" s="6" t="s">
        <v>56</v>
      </c>
      <c r="L6" s="6" t="s">
        <v>122</v>
      </c>
    </row>
    <row r="7" ht="15.75" customHeight="1">
      <c r="A7" s="6" t="s">
        <v>124</v>
      </c>
      <c r="B7" s="8" t="s">
        <v>125</v>
      </c>
      <c r="C7" s="8" t="s">
        <v>129</v>
      </c>
      <c r="D7" s="8" t="s">
        <v>130</v>
      </c>
      <c r="E7" s="8" t="s">
        <v>131</v>
      </c>
      <c r="F7" s="11">
        <v>49500.0</v>
      </c>
      <c r="G7" s="6" t="s">
        <v>52</v>
      </c>
      <c r="H7" s="6" t="s">
        <v>53</v>
      </c>
      <c r="I7" s="6" t="s">
        <v>54</v>
      </c>
      <c r="J7" s="6" t="s">
        <v>55</v>
      </c>
      <c r="K7" s="6" t="s">
        <v>56</v>
      </c>
      <c r="L7" s="6" t="s">
        <v>138</v>
      </c>
    </row>
    <row r="8" ht="15.75" customHeight="1">
      <c r="A8" s="6" t="s">
        <v>139</v>
      </c>
      <c r="B8" s="8" t="s">
        <v>140</v>
      </c>
      <c r="C8" s="8" t="s">
        <v>141</v>
      </c>
      <c r="D8" s="8" t="s">
        <v>143</v>
      </c>
      <c r="E8" s="8" t="s">
        <v>144</v>
      </c>
      <c r="F8" s="11">
        <v>30000.0</v>
      </c>
      <c r="G8" s="6" t="s">
        <v>118</v>
      </c>
      <c r="H8" s="6" t="s">
        <v>53</v>
      </c>
      <c r="I8" s="6" t="s">
        <v>54</v>
      </c>
      <c r="J8" s="6" t="s">
        <v>55</v>
      </c>
      <c r="K8" s="6" t="s">
        <v>56</v>
      </c>
      <c r="L8" s="6" t="s">
        <v>148</v>
      </c>
    </row>
    <row r="9" ht="15.75" customHeight="1">
      <c r="A9" s="6" t="s">
        <v>150</v>
      </c>
      <c r="B9" s="8" t="s">
        <v>151</v>
      </c>
      <c r="C9" s="8" t="s">
        <v>153</v>
      </c>
      <c r="D9" s="8" t="s">
        <v>155</v>
      </c>
      <c r="E9" s="8" t="s">
        <v>158</v>
      </c>
      <c r="F9" s="11">
        <v>30000.0</v>
      </c>
      <c r="G9" s="6" t="s">
        <v>118</v>
      </c>
      <c r="H9" s="6" t="s">
        <v>53</v>
      </c>
      <c r="I9" s="6" t="s">
        <v>54</v>
      </c>
      <c r="J9" s="6" t="s">
        <v>55</v>
      </c>
      <c r="K9" s="6" t="s">
        <v>56</v>
      </c>
      <c r="L9" s="6" t="s">
        <v>161</v>
      </c>
    </row>
    <row r="10" ht="15.75" customHeight="1">
      <c r="A10" s="6" t="s">
        <v>163</v>
      </c>
      <c r="B10" s="8" t="s">
        <v>165</v>
      </c>
      <c r="C10" s="8" t="s">
        <v>166</v>
      </c>
      <c r="D10" s="8" t="s">
        <v>168</v>
      </c>
      <c r="E10" s="8" t="s">
        <v>170</v>
      </c>
      <c r="F10" s="11">
        <v>49500.0</v>
      </c>
      <c r="G10" s="6" t="s">
        <v>52</v>
      </c>
      <c r="H10" s="6" t="s">
        <v>53</v>
      </c>
      <c r="I10" s="6" t="s">
        <v>54</v>
      </c>
      <c r="J10" s="6" t="s">
        <v>55</v>
      </c>
      <c r="K10" s="6" t="s">
        <v>56</v>
      </c>
      <c r="L10" s="6" t="s">
        <v>174</v>
      </c>
    </row>
    <row r="11" ht="15.75" customHeight="1">
      <c r="A11" s="6" t="s">
        <v>175</v>
      </c>
      <c r="B11" s="8" t="s">
        <v>176</v>
      </c>
      <c r="C11" s="8" t="s">
        <v>129</v>
      </c>
      <c r="D11" s="8" t="s">
        <v>179</v>
      </c>
      <c r="E11" s="8" t="s">
        <v>181</v>
      </c>
      <c r="F11" s="11">
        <v>49500.0</v>
      </c>
      <c r="G11" s="6" t="s">
        <v>52</v>
      </c>
      <c r="H11" s="6" t="s">
        <v>53</v>
      </c>
      <c r="I11" s="6" t="s">
        <v>54</v>
      </c>
      <c r="J11" s="6" t="s">
        <v>55</v>
      </c>
      <c r="K11" s="6" t="s">
        <v>56</v>
      </c>
      <c r="L11" s="6" t="s">
        <v>187</v>
      </c>
    </row>
    <row r="12" ht="15.75" customHeight="1">
      <c r="A12" s="6" t="s">
        <v>188</v>
      </c>
      <c r="B12" s="8" t="s">
        <v>189</v>
      </c>
      <c r="C12" s="8" t="s">
        <v>129</v>
      </c>
      <c r="D12" s="8" t="s">
        <v>190</v>
      </c>
      <c r="E12" s="8" t="s">
        <v>192</v>
      </c>
      <c r="F12" s="11">
        <v>49500.0</v>
      </c>
      <c r="G12" s="6" t="s">
        <v>52</v>
      </c>
      <c r="H12" s="6" t="s">
        <v>53</v>
      </c>
      <c r="I12" s="6" t="s">
        <v>54</v>
      </c>
      <c r="J12" s="6" t="s">
        <v>55</v>
      </c>
      <c r="K12" s="6" t="s">
        <v>56</v>
      </c>
      <c r="L12" s="6" t="s">
        <v>197</v>
      </c>
    </row>
    <row r="13" ht="15.75" customHeight="1">
      <c r="A13" s="15"/>
      <c r="B13" s="16"/>
      <c r="C13" s="16"/>
      <c r="D13" s="16"/>
      <c r="E13" s="16"/>
      <c r="F13" s="15"/>
      <c r="G13" s="15"/>
      <c r="H13" s="15"/>
      <c r="I13" s="15"/>
      <c r="J13" s="15"/>
      <c r="K13" s="15"/>
      <c r="L13" s="15"/>
    </row>
    <row r="14" ht="15.75" customHeight="1">
      <c r="A14" s="17"/>
      <c r="B14" s="8"/>
      <c r="C14" s="8"/>
      <c r="D14" s="8"/>
      <c r="E14" s="8"/>
      <c r="F14" s="18"/>
      <c r="G14" s="17"/>
      <c r="H14" s="17"/>
      <c r="I14" s="17"/>
      <c r="J14" s="17"/>
      <c r="K14" s="17"/>
      <c r="L14" s="17"/>
    </row>
    <row r="15" ht="15.75" customHeight="1">
      <c r="A15" s="17"/>
      <c r="B15" s="8"/>
      <c r="C15" s="8"/>
      <c r="D15" s="8"/>
      <c r="E15" s="8"/>
      <c r="F15" s="18"/>
      <c r="G15" s="17"/>
      <c r="H15" s="17"/>
      <c r="I15" s="17"/>
      <c r="J15" s="17"/>
      <c r="K15" s="17"/>
      <c r="L15" s="17"/>
    </row>
    <row r="16" ht="15.75" customHeight="1">
      <c r="A16" s="17"/>
      <c r="B16" s="8"/>
      <c r="C16" s="8"/>
      <c r="D16" s="8"/>
      <c r="E16" s="8"/>
      <c r="F16" s="18"/>
      <c r="G16" s="17"/>
      <c r="H16" s="17"/>
      <c r="I16" s="17"/>
      <c r="J16" s="17"/>
      <c r="K16" s="17"/>
      <c r="L16" s="17"/>
    </row>
    <row r="17" ht="15.75" customHeight="1">
      <c r="A17" s="17"/>
      <c r="B17" s="8"/>
      <c r="C17" s="8"/>
      <c r="D17" s="8"/>
      <c r="E17" s="8"/>
      <c r="F17" s="18"/>
      <c r="G17" s="17"/>
      <c r="H17" s="17"/>
      <c r="I17" s="17"/>
      <c r="J17" s="17"/>
      <c r="K17" s="17"/>
      <c r="L17" s="17"/>
    </row>
    <row r="18" ht="15.75" customHeight="1">
      <c r="A18" s="17"/>
      <c r="B18" s="8"/>
      <c r="C18" s="8"/>
      <c r="D18" s="8"/>
      <c r="E18" s="8"/>
      <c r="F18" s="18"/>
      <c r="G18" s="17"/>
      <c r="H18" s="17"/>
      <c r="I18" s="17"/>
      <c r="J18" s="17"/>
      <c r="K18" s="17"/>
      <c r="L18" s="17"/>
    </row>
    <row r="19" ht="15.75" customHeight="1">
      <c r="A19" s="17"/>
      <c r="B19" s="8"/>
      <c r="C19" s="8"/>
      <c r="D19" s="8"/>
      <c r="E19" s="8"/>
      <c r="F19" s="18"/>
      <c r="G19" s="17"/>
      <c r="H19" s="17"/>
      <c r="I19" s="17"/>
      <c r="J19" s="17"/>
      <c r="K19" s="17"/>
      <c r="L19" s="17"/>
    </row>
    <row r="20" ht="15.75" customHeight="1">
      <c r="A20" s="17"/>
      <c r="B20" s="8"/>
      <c r="C20" s="8"/>
      <c r="D20" s="8"/>
      <c r="E20" s="8"/>
      <c r="F20" s="18"/>
      <c r="G20" s="17"/>
      <c r="H20" s="17"/>
      <c r="I20" s="17"/>
      <c r="J20" s="17"/>
      <c r="K20" s="17"/>
      <c r="L20" s="17"/>
    </row>
    <row r="21" ht="15.75" customHeight="1">
      <c r="A21" s="17"/>
      <c r="B21" s="8"/>
      <c r="C21" s="8"/>
      <c r="D21" s="8"/>
      <c r="E21" s="8"/>
      <c r="F21" s="18"/>
      <c r="G21" s="17"/>
      <c r="H21" s="17"/>
      <c r="I21" s="17"/>
      <c r="J21" s="17"/>
      <c r="K21" s="17"/>
      <c r="L21" s="17"/>
    </row>
    <row r="22" ht="15.75" customHeight="1">
      <c r="A22" s="17"/>
      <c r="B22" s="8"/>
      <c r="C22" s="8"/>
      <c r="D22" s="8"/>
      <c r="E22" s="8"/>
      <c r="F22" s="18"/>
      <c r="G22" s="17"/>
      <c r="H22" s="17"/>
      <c r="I22" s="17"/>
      <c r="J22" s="17"/>
      <c r="K22" s="17"/>
      <c r="L22" s="17"/>
    </row>
    <row r="23" ht="15.75" customHeight="1">
      <c r="A23" s="17"/>
      <c r="B23" s="8"/>
      <c r="C23" s="8"/>
      <c r="D23" s="8"/>
      <c r="E23" s="8"/>
      <c r="F23" s="18"/>
      <c r="G23" s="17"/>
      <c r="H23" s="17"/>
      <c r="I23" s="17"/>
      <c r="J23" s="17"/>
      <c r="K23" s="17"/>
      <c r="L23" s="17"/>
    </row>
    <row r="24" ht="15.75" customHeight="1">
      <c r="A24" s="17"/>
      <c r="B24" s="8"/>
      <c r="C24" s="8"/>
      <c r="D24" s="8"/>
      <c r="E24" s="8"/>
      <c r="F24" s="18"/>
      <c r="G24" s="17"/>
      <c r="H24" s="17"/>
      <c r="I24" s="17"/>
      <c r="J24" s="17"/>
      <c r="K24" s="17"/>
      <c r="L24" s="17"/>
    </row>
    <row r="25" ht="15.75" customHeight="1">
      <c r="B25" s="19"/>
      <c r="C25" s="19"/>
      <c r="D25" s="19"/>
      <c r="E25" s="19"/>
    </row>
    <row r="26" ht="15.75" customHeight="1">
      <c r="B26" s="19"/>
      <c r="C26" s="19"/>
      <c r="D26" s="19"/>
      <c r="E26" s="19"/>
    </row>
    <row r="27" ht="15.75" customHeight="1">
      <c r="B27" s="19"/>
      <c r="C27" s="19"/>
      <c r="D27" s="19"/>
      <c r="E27" s="19"/>
    </row>
    <row r="28" ht="15.75" customHeight="1">
      <c r="B28" s="19"/>
      <c r="C28" s="19"/>
      <c r="D28" s="19"/>
      <c r="E28" s="19"/>
    </row>
    <row r="29" ht="15.75" customHeight="1">
      <c r="B29" s="19"/>
      <c r="C29" s="19"/>
      <c r="D29" s="19"/>
      <c r="E29" s="19"/>
    </row>
    <row r="30" ht="15.75" customHeight="1">
      <c r="B30" s="19"/>
      <c r="C30" s="19"/>
      <c r="D30" s="19"/>
      <c r="E30" s="19"/>
    </row>
    <row r="31" ht="15.75" customHeight="1">
      <c r="B31" s="19"/>
      <c r="C31" s="19"/>
      <c r="D31" s="19"/>
      <c r="E31" s="19"/>
    </row>
    <row r="32" ht="15.75" customHeight="1">
      <c r="B32" s="19"/>
      <c r="C32" s="19"/>
      <c r="D32" s="19"/>
      <c r="E32" s="19"/>
    </row>
    <row r="33" ht="15.75" customHeight="1">
      <c r="B33" s="19"/>
      <c r="C33" s="19"/>
      <c r="D33" s="19"/>
      <c r="E33" s="19"/>
    </row>
    <row r="34" ht="15.75" customHeight="1">
      <c r="B34" s="19"/>
      <c r="C34" s="19"/>
      <c r="D34" s="19"/>
      <c r="E34" s="19"/>
    </row>
    <row r="35" ht="15.75" customHeight="1">
      <c r="B35" s="19"/>
      <c r="C35" s="19"/>
      <c r="D35" s="19"/>
      <c r="E35" s="19"/>
    </row>
    <row r="36" ht="15.75" customHeight="1">
      <c r="B36" s="19"/>
      <c r="C36" s="19"/>
      <c r="D36" s="19"/>
      <c r="E36" s="19"/>
    </row>
    <row r="37" ht="15.75" customHeight="1">
      <c r="B37" s="19"/>
      <c r="C37" s="19"/>
      <c r="D37" s="19"/>
      <c r="E37" s="19"/>
    </row>
    <row r="38" ht="15.75" customHeight="1">
      <c r="B38" s="19"/>
      <c r="C38" s="19"/>
      <c r="D38" s="19"/>
      <c r="E38" s="19"/>
    </row>
    <row r="39" ht="15.75" customHeight="1">
      <c r="B39" s="19"/>
      <c r="C39" s="19"/>
      <c r="D39" s="19"/>
      <c r="E39" s="19"/>
    </row>
    <row r="40" ht="15.75" customHeight="1">
      <c r="B40" s="19"/>
      <c r="C40" s="19"/>
      <c r="D40" s="19"/>
      <c r="E40" s="19"/>
    </row>
    <row r="41" ht="15.75" customHeight="1">
      <c r="B41" s="19"/>
      <c r="C41" s="19"/>
      <c r="D41" s="19"/>
      <c r="E41" s="19"/>
    </row>
    <row r="42" ht="15.75" customHeight="1">
      <c r="B42" s="19"/>
      <c r="C42" s="19"/>
      <c r="D42" s="19"/>
      <c r="E42" s="19"/>
    </row>
    <row r="43" ht="15.75" customHeight="1">
      <c r="B43" s="19"/>
      <c r="C43" s="19"/>
      <c r="D43" s="19"/>
      <c r="E43" s="19"/>
    </row>
    <row r="44" ht="15.75" customHeight="1">
      <c r="B44" s="19"/>
      <c r="C44" s="19"/>
      <c r="D44" s="19"/>
      <c r="E44" s="19"/>
    </row>
    <row r="45" ht="15.75" customHeight="1">
      <c r="B45" s="19"/>
      <c r="C45" s="19"/>
      <c r="D45" s="19"/>
      <c r="E45" s="19"/>
    </row>
    <row r="46" ht="15.75" customHeight="1">
      <c r="B46" s="19"/>
      <c r="C46" s="19"/>
      <c r="D46" s="19"/>
      <c r="E46" s="19"/>
    </row>
    <row r="47" ht="15.75" customHeight="1">
      <c r="B47" s="19"/>
      <c r="C47" s="19"/>
      <c r="D47" s="19"/>
      <c r="E47" s="19"/>
    </row>
    <row r="48" ht="15.75" customHeight="1">
      <c r="B48" s="19"/>
      <c r="C48" s="19"/>
      <c r="D48" s="19"/>
      <c r="E48" s="19"/>
    </row>
    <row r="49" ht="15.75" customHeight="1">
      <c r="B49" s="19"/>
      <c r="C49" s="19"/>
      <c r="D49" s="19"/>
      <c r="E49" s="19"/>
    </row>
    <row r="50" ht="15.75" customHeight="1">
      <c r="B50" s="19"/>
      <c r="C50" s="19"/>
      <c r="D50" s="19"/>
      <c r="E50" s="19"/>
    </row>
    <row r="51" ht="15.75" customHeight="1">
      <c r="B51" s="19"/>
      <c r="C51" s="19"/>
      <c r="D51" s="19"/>
      <c r="E51" s="19"/>
    </row>
    <row r="52" ht="15.75" customHeight="1">
      <c r="B52" s="19"/>
      <c r="C52" s="19"/>
      <c r="D52" s="19"/>
      <c r="E52" s="19"/>
    </row>
    <row r="53" ht="15.75" customHeight="1">
      <c r="B53" s="19"/>
      <c r="C53" s="19"/>
      <c r="D53" s="19"/>
      <c r="E53" s="19"/>
    </row>
    <row r="54" ht="15.75" customHeight="1">
      <c r="B54" s="19"/>
      <c r="C54" s="19"/>
      <c r="D54" s="19"/>
      <c r="E54" s="19"/>
    </row>
    <row r="55" ht="15.75" customHeight="1">
      <c r="B55" s="19"/>
      <c r="C55" s="19"/>
      <c r="D55" s="19"/>
      <c r="E55" s="19"/>
    </row>
    <row r="56" ht="15.75" customHeight="1">
      <c r="B56" s="19"/>
      <c r="C56" s="19"/>
      <c r="D56" s="19"/>
      <c r="E56" s="19"/>
    </row>
    <row r="57" ht="15.75" customHeight="1">
      <c r="B57" s="19"/>
      <c r="C57" s="19"/>
      <c r="D57" s="19"/>
      <c r="E57" s="19"/>
    </row>
    <row r="58" ht="15.75" customHeight="1">
      <c r="B58" s="19"/>
      <c r="C58" s="19"/>
      <c r="D58" s="19"/>
      <c r="E58" s="19"/>
    </row>
    <row r="59" ht="15.75" customHeight="1">
      <c r="B59" s="19"/>
      <c r="C59" s="19"/>
      <c r="D59" s="19"/>
      <c r="E59" s="19"/>
    </row>
    <row r="60" ht="15.75" customHeight="1">
      <c r="B60" s="19"/>
      <c r="C60" s="19"/>
      <c r="D60" s="19"/>
      <c r="E60" s="19"/>
    </row>
    <row r="61" ht="15.75" customHeight="1">
      <c r="B61" s="19"/>
      <c r="C61" s="19"/>
      <c r="D61" s="19"/>
      <c r="E61" s="19"/>
    </row>
    <row r="62" ht="15.75" customHeight="1">
      <c r="B62" s="19"/>
      <c r="C62" s="19"/>
      <c r="D62" s="19"/>
      <c r="E62" s="19"/>
    </row>
    <row r="63" ht="15.75" customHeight="1">
      <c r="B63" s="19"/>
      <c r="C63" s="19"/>
      <c r="D63" s="19"/>
      <c r="E63" s="19"/>
    </row>
    <row r="64" ht="15.75" customHeight="1">
      <c r="B64" s="19"/>
      <c r="C64" s="19"/>
      <c r="D64" s="19"/>
      <c r="E64" s="19"/>
    </row>
    <row r="65" ht="15.75" customHeight="1">
      <c r="B65" s="19"/>
      <c r="C65" s="19"/>
      <c r="D65" s="19"/>
      <c r="E65" s="19"/>
    </row>
    <row r="66" ht="15.75" customHeight="1">
      <c r="B66" s="19"/>
      <c r="C66" s="19"/>
      <c r="D66" s="19"/>
      <c r="E66" s="19"/>
    </row>
    <row r="67" ht="15.75" customHeight="1">
      <c r="B67" s="19"/>
      <c r="C67" s="19"/>
      <c r="D67" s="19"/>
      <c r="E67" s="19"/>
    </row>
    <row r="68" ht="15.75" customHeight="1">
      <c r="B68" s="19"/>
      <c r="C68" s="19"/>
      <c r="D68" s="19"/>
      <c r="E68" s="19"/>
    </row>
    <row r="69" ht="15.75" customHeight="1">
      <c r="B69" s="19"/>
      <c r="C69" s="19"/>
      <c r="D69" s="19"/>
      <c r="E69" s="19"/>
    </row>
    <row r="70" ht="15.75" customHeight="1">
      <c r="B70" s="19"/>
      <c r="C70" s="19"/>
      <c r="D70" s="19"/>
      <c r="E70" s="19"/>
    </row>
    <row r="71" ht="15.75" customHeight="1">
      <c r="B71" s="19"/>
      <c r="C71" s="19"/>
      <c r="D71" s="19"/>
      <c r="E71" s="19"/>
    </row>
    <row r="72" ht="15.75" customHeight="1">
      <c r="B72" s="19"/>
      <c r="C72" s="19"/>
      <c r="D72" s="19"/>
      <c r="E72" s="19"/>
    </row>
    <row r="73" ht="15.75" customHeight="1">
      <c r="B73" s="19"/>
      <c r="C73" s="19"/>
      <c r="D73" s="19"/>
      <c r="E73" s="19"/>
    </row>
    <row r="74" ht="15.75" customHeight="1">
      <c r="B74" s="19"/>
      <c r="C74" s="19"/>
      <c r="D74" s="19"/>
      <c r="E74" s="19"/>
    </row>
    <row r="75" ht="15.75" customHeight="1">
      <c r="B75" s="19"/>
      <c r="C75" s="19"/>
      <c r="D75" s="19"/>
      <c r="E75" s="19"/>
    </row>
    <row r="76" ht="15.75" customHeight="1">
      <c r="B76" s="19"/>
      <c r="C76" s="19"/>
      <c r="D76" s="19"/>
      <c r="E76" s="19"/>
    </row>
    <row r="77" ht="15.75" customHeight="1">
      <c r="B77" s="19"/>
      <c r="C77" s="19"/>
      <c r="D77" s="19"/>
      <c r="E77" s="19"/>
    </row>
    <row r="78" ht="15.75" customHeight="1">
      <c r="B78" s="19"/>
      <c r="C78" s="19"/>
      <c r="D78" s="19"/>
      <c r="E78" s="19"/>
    </row>
    <row r="79" ht="15.75" customHeight="1">
      <c r="B79" s="19"/>
      <c r="C79" s="19"/>
      <c r="D79" s="19"/>
      <c r="E79" s="19"/>
    </row>
    <row r="80" ht="15.75" customHeight="1">
      <c r="B80" s="19"/>
      <c r="C80" s="19"/>
      <c r="D80" s="19"/>
      <c r="E80" s="19"/>
    </row>
    <row r="81" ht="15.75" customHeight="1">
      <c r="B81" s="19"/>
      <c r="C81" s="19"/>
      <c r="D81" s="19"/>
      <c r="E81" s="19"/>
    </row>
    <row r="82" ht="15.75" customHeight="1">
      <c r="B82" s="19"/>
      <c r="C82" s="19"/>
      <c r="D82" s="19"/>
      <c r="E82" s="19"/>
    </row>
    <row r="83" ht="15.75" customHeight="1">
      <c r="B83" s="19"/>
      <c r="C83" s="19"/>
      <c r="D83" s="19"/>
      <c r="E83" s="19"/>
    </row>
    <row r="84" ht="15.75" customHeight="1">
      <c r="B84" s="19"/>
      <c r="C84" s="19"/>
      <c r="D84" s="19"/>
      <c r="E84" s="19"/>
    </row>
    <row r="85" ht="15.75" customHeight="1">
      <c r="B85" s="19"/>
      <c r="C85" s="19"/>
      <c r="D85" s="19"/>
      <c r="E85" s="19"/>
    </row>
    <row r="86" ht="15.75" customHeight="1">
      <c r="B86" s="19"/>
      <c r="C86" s="19"/>
      <c r="D86" s="19"/>
      <c r="E86" s="19"/>
    </row>
    <row r="87" ht="15.75" customHeight="1">
      <c r="B87" s="19"/>
      <c r="C87" s="19"/>
      <c r="D87" s="19"/>
      <c r="E87" s="19"/>
    </row>
    <row r="88" ht="15.75" customHeight="1">
      <c r="B88" s="19"/>
      <c r="C88" s="19"/>
      <c r="D88" s="19"/>
      <c r="E88" s="19"/>
    </row>
    <row r="89" ht="15.75" customHeight="1">
      <c r="B89" s="19"/>
      <c r="C89" s="19"/>
      <c r="D89" s="19"/>
      <c r="E89" s="19"/>
    </row>
    <row r="90" ht="15.75" customHeight="1">
      <c r="B90" s="19"/>
      <c r="C90" s="19"/>
      <c r="D90" s="19"/>
      <c r="E90" s="19"/>
    </row>
    <row r="91" ht="15.75" customHeight="1">
      <c r="B91" s="19"/>
      <c r="C91" s="19"/>
      <c r="D91" s="19"/>
      <c r="E91" s="19"/>
    </row>
    <row r="92" ht="15.75" customHeight="1">
      <c r="B92" s="19"/>
      <c r="C92" s="19"/>
      <c r="D92" s="19"/>
      <c r="E92" s="19"/>
    </row>
    <row r="93" ht="15.75" customHeight="1">
      <c r="B93" s="19"/>
      <c r="C93" s="19"/>
      <c r="D93" s="19"/>
      <c r="E93" s="19"/>
    </row>
    <row r="94" ht="15.75" customHeight="1">
      <c r="B94" s="19"/>
      <c r="C94" s="19"/>
      <c r="D94" s="19"/>
      <c r="E94" s="19"/>
    </row>
    <row r="95" ht="15.75" customHeight="1">
      <c r="B95" s="19"/>
      <c r="C95" s="19"/>
      <c r="D95" s="19"/>
      <c r="E95" s="19"/>
    </row>
    <row r="96" ht="15.75" customHeight="1">
      <c r="B96" s="19"/>
      <c r="C96" s="19"/>
      <c r="D96" s="19"/>
      <c r="E96" s="19"/>
    </row>
    <row r="97" ht="15.75" customHeight="1">
      <c r="B97" s="19"/>
      <c r="C97" s="19"/>
      <c r="D97" s="19"/>
      <c r="E97" s="19"/>
    </row>
    <row r="98" ht="15.75" customHeight="1">
      <c r="B98" s="19"/>
      <c r="C98" s="19"/>
      <c r="D98" s="19"/>
      <c r="E98" s="19"/>
    </row>
    <row r="99" ht="15.75" customHeight="1">
      <c r="B99" s="19"/>
      <c r="C99" s="19"/>
      <c r="D99" s="19"/>
      <c r="E99" s="19"/>
    </row>
    <row r="100" ht="15.75" customHeight="1">
      <c r="B100" s="19"/>
      <c r="C100" s="19"/>
      <c r="D100" s="19"/>
      <c r="E100" s="19"/>
    </row>
    <row r="101" ht="15.75" customHeight="1">
      <c r="B101" s="19"/>
      <c r="C101" s="19"/>
      <c r="D101" s="19"/>
      <c r="E101" s="19"/>
    </row>
    <row r="102" ht="15.75" customHeight="1">
      <c r="B102" s="19"/>
      <c r="C102" s="19"/>
      <c r="D102" s="19"/>
      <c r="E102" s="19"/>
    </row>
    <row r="103" ht="15.75" customHeight="1">
      <c r="B103" s="19"/>
      <c r="C103" s="19"/>
      <c r="D103" s="19"/>
      <c r="E103" s="19"/>
    </row>
    <row r="104" ht="15.75" customHeight="1">
      <c r="B104" s="19"/>
      <c r="C104" s="19"/>
      <c r="D104" s="19"/>
      <c r="E104" s="19"/>
    </row>
    <row r="105" ht="15.75" customHeight="1">
      <c r="B105" s="19"/>
      <c r="C105" s="19"/>
      <c r="D105" s="19"/>
      <c r="E105" s="19"/>
    </row>
    <row r="106" ht="15.75" customHeight="1">
      <c r="B106" s="19"/>
      <c r="C106" s="19"/>
      <c r="D106" s="19"/>
      <c r="E106" s="19"/>
    </row>
    <row r="107" ht="15.75" customHeight="1">
      <c r="B107" s="19"/>
      <c r="C107" s="19"/>
      <c r="D107" s="19"/>
      <c r="E107" s="19"/>
    </row>
    <row r="108" ht="15.75" customHeight="1">
      <c r="B108" s="19"/>
      <c r="C108" s="19"/>
      <c r="D108" s="19"/>
      <c r="E108" s="19"/>
    </row>
    <row r="109" ht="15.75" customHeight="1">
      <c r="B109" s="19"/>
      <c r="C109" s="19"/>
      <c r="D109" s="19"/>
      <c r="E109" s="19"/>
    </row>
    <row r="110" ht="15.75" customHeight="1">
      <c r="B110" s="19"/>
      <c r="C110" s="19"/>
      <c r="D110" s="19"/>
      <c r="E110" s="19"/>
    </row>
    <row r="111" ht="15.75" customHeight="1">
      <c r="B111" s="19"/>
      <c r="C111" s="19"/>
      <c r="D111" s="19"/>
      <c r="E111" s="19"/>
    </row>
    <row r="112" ht="15.75" customHeight="1">
      <c r="B112" s="19"/>
      <c r="C112" s="19"/>
      <c r="D112" s="19"/>
      <c r="E112" s="19"/>
    </row>
    <row r="113" ht="15.75" customHeight="1">
      <c r="B113" s="19"/>
      <c r="C113" s="19"/>
      <c r="D113" s="19"/>
      <c r="E113" s="19"/>
    </row>
    <row r="114" ht="15.75" customHeight="1">
      <c r="B114" s="19"/>
      <c r="C114" s="19"/>
      <c r="D114" s="19"/>
      <c r="E114" s="19"/>
    </row>
    <row r="115" ht="15.75" customHeight="1">
      <c r="B115" s="19"/>
      <c r="C115" s="19"/>
      <c r="D115" s="19"/>
      <c r="E115" s="19"/>
    </row>
    <row r="116" ht="15.75" customHeight="1">
      <c r="B116" s="19"/>
      <c r="C116" s="19"/>
      <c r="D116" s="19"/>
      <c r="E116" s="19"/>
    </row>
    <row r="117" ht="15.75" customHeight="1">
      <c r="B117" s="19"/>
      <c r="C117" s="19"/>
      <c r="D117" s="19"/>
      <c r="E117" s="19"/>
    </row>
    <row r="118" ht="15.75" customHeight="1">
      <c r="B118" s="19"/>
      <c r="C118" s="19"/>
      <c r="D118" s="19"/>
      <c r="E118" s="19"/>
    </row>
    <row r="119" ht="15.75" customHeight="1">
      <c r="B119" s="19"/>
      <c r="C119" s="19"/>
      <c r="D119" s="19"/>
      <c r="E119" s="19"/>
    </row>
    <row r="120" ht="15.75" customHeight="1">
      <c r="B120" s="19"/>
      <c r="C120" s="19"/>
      <c r="D120" s="19"/>
      <c r="E120" s="19"/>
    </row>
    <row r="121" ht="15.75" customHeight="1">
      <c r="B121" s="19"/>
      <c r="C121" s="19"/>
      <c r="D121" s="19"/>
      <c r="E121" s="19"/>
    </row>
    <row r="122" ht="15.75" customHeight="1">
      <c r="B122" s="19"/>
      <c r="C122" s="19"/>
      <c r="D122" s="19"/>
      <c r="E122" s="19"/>
    </row>
    <row r="123" ht="15.75" customHeight="1">
      <c r="B123" s="19"/>
      <c r="C123" s="19"/>
      <c r="D123" s="19"/>
      <c r="E123" s="19"/>
    </row>
    <row r="124" ht="15.75" customHeight="1">
      <c r="B124" s="19"/>
      <c r="C124" s="19"/>
      <c r="D124" s="19"/>
      <c r="E124" s="19"/>
    </row>
    <row r="125" ht="15.75" customHeight="1">
      <c r="B125" s="19"/>
      <c r="C125" s="19"/>
      <c r="D125" s="19"/>
      <c r="E125" s="19"/>
    </row>
    <row r="126" ht="15.75" customHeight="1">
      <c r="B126" s="19"/>
      <c r="C126" s="19"/>
      <c r="D126" s="19"/>
      <c r="E126" s="19"/>
    </row>
    <row r="127" ht="15.75" customHeight="1">
      <c r="B127" s="19"/>
      <c r="C127" s="19"/>
      <c r="D127" s="19"/>
      <c r="E127" s="19"/>
    </row>
    <row r="128" ht="15.75" customHeight="1">
      <c r="B128" s="19"/>
      <c r="C128" s="19"/>
      <c r="D128" s="19"/>
      <c r="E128" s="19"/>
    </row>
    <row r="129" ht="15.75" customHeight="1">
      <c r="B129" s="19"/>
      <c r="C129" s="19"/>
      <c r="D129" s="19"/>
      <c r="E129" s="19"/>
    </row>
    <row r="130" ht="15.75" customHeight="1">
      <c r="B130" s="19"/>
      <c r="C130" s="19"/>
      <c r="D130" s="19"/>
      <c r="E130" s="19"/>
    </row>
    <row r="131" ht="15.75" customHeight="1">
      <c r="B131" s="19"/>
      <c r="C131" s="19"/>
      <c r="D131" s="19"/>
      <c r="E131" s="19"/>
    </row>
    <row r="132" ht="15.75" customHeight="1">
      <c r="B132" s="19"/>
      <c r="C132" s="19"/>
      <c r="D132" s="19"/>
      <c r="E132" s="19"/>
    </row>
    <row r="133" ht="15.75" customHeight="1">
      <c r="B133" s="19"/>
      <c r="C133" s="19"/>
      <c r="D133" s="19"/>
      <c r="E133" s="19"/>
    </row>
    <row r="134" ht="15.75" customHeight="1">
      <c r="B134" s="19"/>
      <c r="C134" s="19"/>
      <c r="D134" s="19"/>
      <c r="E134" s="19"/>
    </row>
    <row r="135" ht="15.75" customHeight="1">
      <c r="B135" s="19"/>
      <c r="C135" s="19"/>
      <c r="D135" s="19"/>
      <c r="E135" s="19"/>
    </row>
    <row r="136" ht="15.75" customHeight="1">
      <c r="B136" s="19"/>
      <c r="C136" s="19"/>
      <c r="D136" s="19"/>
      <c r="E136" s="19"/>
    </row>
    <row r="137" ht="15.75" customHeight="1">
      <c r="B137" s="19"/>
      <c r="C137" s="19"/>
      <c r="D137" s="19"/>
      <c r="E137" s="19"/>
    </row>
    <row r="138" ht="15.75" customHeight="1">
      <c r="B138" s="19"/>
      <c r="C138" s="19"/>
      <c r="D138" s="19"/>
      <c r="E138" s="19"/>
    </row>
    <row r="139" ht="15.75" customHeight="1">
      <c r="B139" s="19"/>
      <c r="C139" s="19"/>
      <c r="D139" s="19"/>
      <c r="E139" s="19"/>
    </row>
    <row r="140" ht="15.75" customHeight="1">
      <c r="B140" s="19"/>
      <c r="C140" s="19"/>
      <c r="D140" s="19"/>
      <c r="E140" s="19"/>
    </row>
    <row r="141" ht="15.75" customHeight="1">
      <c r="B141" s="19"/>
      <c r="C141" s="19"/>
      <c r="D141" s="19"/>
      <c r="E141" s="19"/>
    </row>
    <row r="142" ht="15.75" customHeight="1">
      <c r="B142" s="19"/>
      <c r="C142" s="19"/>
      <c r="D142" s="19"/>
      <c r="E142" s="19"/>
    </row>
    <row r="143" ht="15.75" customHeight="1">
      <c r="B143" s="19"/>
      <c r="C143" s="19"/>
      <c r="D143" s="19"/>
      <c r="E143" s="19"/>
    </row>
    <row r="144" ht="15.75" customHeight="1">
      <c r="B144" s="19"/>
      <c r="C144" s="19"/>
      <c r="D144" s="19"/>
      <c r="E144" s="19"/>
    </row>
    <row r="145" ht="15.75" customHeight="1">
      <c r="B145" s="19"/>
      <c r="C145" s="19"/>
      <c r="D145" s="19"/>
      <c r="E145" s="19"/>
    </row>
    <row r="146" ht="15.75" customHeight="1">
      <c r="B146" s="19"/>
      <c r="C146" s="19"/>
      <c r="D146" s="19"/>
      <c r="E146" s="19"/>
    </row>
    <row r="147" ht="15.75" customHeight="1">
      <c r="B147" s="19"/>
      <c r="C147" s="19"/>
      <c r="D147" s="19"/>
      <c r="E147" s="19"/>
    </row>
    <row r="148" ht="15.75" customHeight="1">
      <c r="B148" s="19"/>
      <c r="C148" s="19"/>
      <c r="D148" s="19"/>
      <c r="E148" s="19"/>
    </row>
    <row r="149" ht="15.75" customHeight="1">
      <c r="B149" s="19"/>
      <c r="C149" s="19"/>
      <c r="D149" s="19"/>
      <c r="E149" s="19"/>
    </row>
    <row r="150" ht="15.75" customHeight="1">
      <c r="B150" s="19"/>
      <c r="C150" s="19"/>
      <c r="D150" s="19"/>
      <c r="E150" s="19"/>
    </row>
    <row r="151" ht="15.75" customHeight="1">
      <c r="B151" s="19"/>
      <c r="C151" s="19"/>
      <c r="D151" s="19"/>
      <c r="E151" s="19"/>
    </row>
    <row r="152" ht="15.75" customHeight="1">
      <c r="B152" s="19"/>
      <c r="C152" s="19"/>
      <c r="D152" s="19"/>
      <c r="E152" s="19"/>
    </row>
    <row r="153" ht="15.75" customHeight="1">
      <c r="B153" s="19"/>
      <c r="C153" s="19"/>
      <c r="D153" s="19"/>
      <c r="E153" s="19"/>
    </row>
    <row r="154" ht="15.75" customHeight="1">
      <c r="B154" s="19"/>
      <c r="C154" s="19"/>
      <c r="D154" s="19"/>
      <c r="E154" s="19"/>
    </row>
    <row r="155" ht="15.75" customHeight="1">
      <c r="B155" s="19"/>
      <c r="C155" s="19"/>
      <c r="D155" s="19"/>
      <c r="E155" s="19"/>
    </row>
    <row r="156" ht="15.75" customHeight="1">
      <c r="B156" s="19"/>
      <c r="C156" s="19"/>
      <c r="D156" s="19"/>
      <c r="E156" s="19"/>
    </row>
    <row r="157" ht="15.75" customHeight="1">
      <c r="B157" s="19"/>
      <c r="C157" s="19"/>
      <c r="D157" s="19"/>
      <c r="E157" s="19"/>
    </row>
    <row r="158" ht="15.75" customHeight="1">
      <c r="B158" s="19"/>
      <c r="C158" s="19"/>
      <c r="D158" s="19"/>
      <c r="E158" s="19"/>
    </row>
    <row r="159" ht="15.75" customHeight="1">
      <c r="B159" s="19"/>
      <c r="C159" s="19"/>
      <c r="D159" s="19"/>
      <c r="E159" s="19"/>
    </row>
    <row r="160" ht="15.75" customHeight="1">
      <c r="B160" s="19"/>
      <c r="C160" s="19"/>
      <c r="D160" s="19"/>
      <c r="E160" s="19"/>
    </row>
    <row r="161" ht="15.75" customHeight="1">
      <c r="B161" s="19"/>
      <c r="C161" s="19"/>
      <c r="D161" s="19"/>
      <c r="E161" s="19"/>
    </row>
    <row r="162" ht="15.75" customHeight="1">
      <c r="B162" s="19"/>
      <c r="C162" s="19"/>
      <c r="D162" s="19"/>
      <c r="E162" s="19"/>
    </row>
    <row r="163" ht="15.75" customHeight="1">
      <c r="B163" s="19"/>
      <c r="C163" s="19"/>
      <c r="D163" s="19"/>
      <c r="E163" s="19"/>
    </row>
    <row r="164" ht="15.75" customHeight="1">
      <c r="B164" s="19"/>
      <c r="C164" s="19"/>
      <c r="D164" s="19"/>
      <c r="E164" s="19"/>
    </row>
    <row r="165" ht="15.75" customHeight="1">
      <c r="B165" s="19"/>
      <c r="C165" s="19"/>
      <c r="D165" s="19"/>
      <c r="E165" s="19"/>
    </row>
    <row r="166" ht="15.75" customHeight="1">
      <c r="B166" s="19"/>
      <c r="C166" s="19"/>
      <c r="D166" s="19"/>
      <c r="E166" s="19"/>
    </row>
    <row r="167" ht="15.75" customHeight="1">
      <c r="B167" s="19"/>
      <c r="C167" s="19"/>
      <c r="D167" s="19"/>
      <c r="E167" s="19"/>
    </row>
    <row r="168" ht="15.75" customHeight="1">
      <c r="B168" s="19"/>
      <c r="C168" s="19"/>
      <c r="D168" s="19"/>
      <c r="E168" s="19"/>
    </row>
    <row r="169" ht="15.75" customHeight="1">
      <c r="B169" s="19"/>
      <c r="C169" s="19"/>
      <c r="D169" s="19"/>
      <c r="E169" s="19"/>
    </row>
    <row r="170" ht="15.75" customHeight="1">
      <c r="B170" s="19"/>
      <c r="C170" s="19"/>
      <c r="D170" s="19"/>
      <c r="E170" s="19"/>
    </row>
    <row r="171" ht="15.75" customHeight="1">
      <c r="B171" s="19"/>
      <c r="C171" s="19"/>
      <c r="D171" s="19"/>
      <c r="E171" s="19"/>
    </row>
    <row r="172" ht="15.75" customHeight="1">
      <c r="B172" s="19"/>
      <c r="C172" s="19"/>
      <c r="D172" s="19"/>
      <c r="E172" s="19"/>
    </row>
    <row r="173" ht="15.75" customHeight="1">
      <c r="B173" s="19"/>
      <c r="C173" s="19"/>
      <c r="D173" s="19"/>
      <c r="E173" s="19"/>
    </row>
    <row r="174" ht="15.75" customHeight="1">
      <c r="B174" s="19"/>
      <c r="C174" s="19"/>
      <c r="D174" s="19"/>
      <c r="E174" s="19"/>
    </row>
    <row r="175" ht="15.75" customHeight="1">
      <c r="B175" s="19"/>
      <c r="C175" s="19"/>
      <c r="D175" s="19"/>
      <c r="E175" s="19"/>
    </row>
    <row r="176" ht="15.75" customHeight="1">
      <c r="B176" s="19"/>
      <c r="C176" s="19"/>
      <c r="D176" s="19"/>
      <c r="E176" s="19"/>
    </row>
    <row r="177" ht="15.75" customHeight="1">
      <c r="B177" s="19"/>
      <c r="C177" s="19"/>
      <c r="D177" s="19"/>
      <c r="E177" s="19"/>
    </row>
    <row r="178" ht="15.75" customHeight="1">
      <c r="B178" s="19"/>
      <c r="C178" s="19"/>
      <c r="D178" s="19"/>
      <c r="E178" s="19"/>
    </row>
    <row r="179" ht="15.75" customHeight="1">
      <c r="B179" s="19"/>
      <c r="C179" s="19"/>
      <c r="D179" s="19"/>
      <c r="E179" s="19"/>
    </row>
    <row r="180" ht="15.75" customHeight="1">
      <c r="B180" s="19"/>
      <c r="C180" s="19"/>
      <c r="D180" s="19"/>
      <c r="E180" s="19"/>
    </row>
    <row r="181" ht="15.75" customHeight="1">
      <c r="B181" s="19"/>
      <c r="C181" s="19"/>
      <c r="D181" s="19"/>
      <c r="E181" s="19"/>
    </row>
    <row r="182" ht="15.75" customHeight="1">
      <c r="B182" s="19"/>
      <c r="C182" s="19"/>
      <c r="D182" s="19"/>
      <c r="E182" s="19"/>
    </row>
    <row r="183" ht="15.75" customHeight="1">
      <c r="B183" s="19"/>
      <c r="C183" s="19"/>
      <c r="D183" s="19"/>
      <c r="E183" s="19"/>
    </row>
    <row r="184" ht="15.75" customHeight="1">
      <c r="B184" s="19"/>
      <c r="C184" s="19"/>
      <c r="D184" s="19"/>
      <c r="E184" s="19"/>
    </row>
    <row r="185" ht="15.75" customHeight="1">
      <c r="B185" s="19"/>
      <c r="C185" s="19"/>
      <c r="D185" s="19"/>
      <c r="E185" s="19"/>
    </row>
    <row r="186" ht="15.75" customHeight="1">
      <c r="B186" s="19"/>
      <c r="C186" s="19"/>
      <c r="D186" s="19"/>
      <c r="E186" s="19"/>
    </row>
    <row r="187" ht="15.75" customHeight="1">
      <c r="B187" s="19"/>
      <c r="C187" s="19"/>
      <c r="D187" s="19"/>
      <c r="E187" s="19"/>
    </row>
    <row r="188" ht="15.75" customHeight="1">
      <c r="B188" s="19"/>
      <c r="C188" s="19"/>
      <c r="D188" s="19"/>
      <c r="E188" s="19"/>
    </row>
    <row r="189" ht="15.75" customHeight="1">
      <c r="B189" s="19"/>
      <c r="C189" s="19"/>
      <c r="D189" s="19"/>
      <c r="E189" s="19"/>
    </row>
    <row r="190" ht="15.75" customHeight="1">
      <c r="B190" s="19"/>
      <c r="C190" s="19"/>
      <c r="D190" s="19"/>
      <c r="E190" s="19"/>
    </row>
    <row r="191" ht="15.75" customHeight="1">
      <c r="B191" s="19"/>
      <c r="C191" s="19"/>
      <c r="D191" s="19"/>
      <c r="E191" s="19"/>
    </row>
    <row r="192" ht="15.75" customHeight="1">
      <c r="B192" s="19"/>
      <c r="C192" s="19"/>
      <c r="D192" s="19"/>
      <c r="E192" s="19"/>
    </row>
    <row r="193" ht="15.75" customHeight="1">
      <c r="B193" s="19"/>
      <c r="C193" s="19"/>
      <c r="D193" s="19"/>
      <c r="E193" s="19"/>
    </row>
    <row r="194" ht="15.75" customHeight="1">
      <c r="B194" s="19"/>
      <c r="C194" s="19"/>
      <c r="D194" s="19"/>
      <c r="E194" s="19"/>
    </row>
    <row r="195" ht="15.75" customHeight="1">
      <c r="B195" s="19"/>
      <c r="C195" s="19"/>
      <c r="D195" s="19"/>
      <c r="E195" s="19"/>
    </row>
    <row r="196" ht="15.75" customHeight="1">
      <c r="B196" s="19"/>
      <c r="C196" s="19"/>
      <c r="D196" s="19"/>
      <c r="E196" s="19"/>
    </row>
    <row r="197" ht="15.75" customHeight="1">
      <c r="B197" s="19"/>
      <c r="C197" s="19"/>
      <c r="D197" s="19"/>
      <c r="E197" s="19"/>
    </row>
    <row r="198" ht="15.75" customHeight="1">
      <c r="B198" s="19"/>
      <c r="C198" s="19"/>
      <c r="D198" s="19"/>
      <c r="E198" s="19"/>
    </row>
    <row r="199" ht="15.75" customHeight="1">
      <c r="B199" s="19"/>
      <c r="C199" s="19"/>
      <c r="D199" s="19"/>
      <c r="E199" s="19"/>
    </row>
    <row r="200" ht="15.75" customHeight="1">
      <c r="B200" s="19"/>
      <c r="C200" s="19"/>
      <c r="D200" s="19"/>
      <c r="E200" s="19"/>
    </row>
    <row r="201" ht="15.75" customHeight="1">
      <c r="B201" s="19"/>
      <c r="C201" s="19"/>
      <c r="D201" s="19"/>
      <c r="E201" s="19"/>
    </row>
    <row r="202" ht="15.75" customHeight="1">
      <c r="B202" s="19"/>
      <c r="C202" s="19"/>
      <c r="D202" s="19"/>
      <c r="E202" s="19"/>
    </row>
    <row r="203" ht="15.75" customHeight="1">
      <c r="B203" s="19"/>
      <c r="C203" s="19"/>
      <c r="D203" s="19"/>
      <c r="E203" s="19"/>
    </row>
    <row r="204" ht="15.75" customHeight="1">
      <c r="B204" s="19"/>
      <c r="C204" s="19"/>
      <c r="D204" s="19"/>
      <c r="E204" s="19"/>
    </row>
    <row r="205" ht="15.75" customHeight="1">
      <c r="B205" s="19"/>
      <c r="C205" s="19"/>
      <c r="D205" s="19"/>
      <c r="E205" s="19"/>
    </row>
    <row r="206" ht="15.75" customHeight="1">
      <c r="B206" s="19"/>
      <c r="C206" s="19"/>
      <c r="D206" s="19"/>
      <c r="E206" s="19"/>
    </row>
    <row r="207" ht="15.75" customHeight="1">
      <c r="B207" s="19"/>
      <c r="C207" s="19"/>
      <c r="D207" s="19"/>
      <c r="E207" s="19"/>
    </row>
    <row r="208" ht="15.75" customHeight="1">
      <c r="B208" s="19"/>
      <c r="C208" s="19"/>
      <c r="D208" s="19"/>
      <c r="E208" s="19"/>
    </row>
    <row r="209" ht="15.75" customHeight="1">
      <c r="B209" s="19"/>
      <c r="C209" s="19"/>
      <c r="D209" s="19"/>
      <c r="E209" s="19"/>
    </row>
    <row r="210" ht="15.75" customHeight="1">
      <c r="B210" s="19"/>
      <c r="C210" s="19"/>
      <c r="D210" s="19"/>
      <c r="E210" s="19"/>
    </row>
    <row r="211" ht="15.75" customHeight="1">
      <c r="B211" s="19"/>
      <c r="C211" s="19"/>
      <c r="D211" s="19"/>
      <c r="E211" s="19"/>
    </row>
    <row r="212" ht="15.75" customHeight="1">
      <c r="B212" s="19"/>
      <c r="C212" s="19"/>
      <c r="D212" s="19"/>
      <c r="E212" s="19"/>
    </row>
    <row r="213" ht="15.75" customHeight="1">
      <c r="B213" s="19"/>
      <c r="C213" s="19"/>
      <c r="D213" s="19"/>
      <c r="E213" s="19"/>
    </row>
    <row r="214" ht="15.75" customHeight="1">
      <c r="B214" s="19"/>
      <c r="C214" s="19"/>
      <c r="D214" s="19"/>
      <c r="E214" s="19"/>
    </row>
    <row r="215" ht="15.75" customHeight="1">
      <c r="B215" s="19"/>
      <c r="C215" s="19"/>
      <c r="D215" s="19"/>
      <c r="E215" s="19"/>
    </row>
    <row r="216" ht="15.75" customHeight="1">
      <c r="B216" s="19"/>
      <c r="C216" s="19"/>
      <c r="D216" s="19"/>
      <c r="E216" s="19"/>
    </row>
    <row r="217" ht="15.75" customHeight="1">
      <c r="B217" s="19"/>
      <c r="C217" s="19"/>
      <c r="D217" s="19"/>
      <c r="E217" s="19"/>
    </row>
    <row r="218" ht="15.75" customHeight="1">
      <c r="B218" s="19"/>
      <c r="C218" s="19"/>
      <c r="D218" s="19"/>
      <c r="E218" s="19"/>
    </row>
    <row r="219" ht="15.75" customHeight="1">
      <c r="B219" s="19"/>
      <c r="C219" s="19"/>
      <c r="D219" s="19"/>
      <c r="E219" s="19"/>
    </row>
    <row r="220" ht="15.75" customHeight="1">
      <c r="B220" s="19"/>
      <c r="C220" s="19"/>
      <c r="D220" s="19"/>
      <c r="E220" s="1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1" width="23.5"/>
    <col customWidth="1" min="12" max="12" width="45.88"/>
    <col customWidth="1" min="13" max="19" width="23.5"/>
  </cols>
  <sheetData>
    <row r="1" ht="15.75" customHeight="1">
      <c r="A1" s="22" t="s">
        <v>539</v>
      </c>
      <c r="B1" s="22" t="s">
        <v>540</v>
      </c>
      <c r="C1" s="22" t="s">
        <v>541</v>
      </c>
      <c r="D1" s="22" t="s">
        <v>542</v>
      </c>
      <c r="E1" s="22" t="s">
        <v>543</v>
      </c>
      <c r="F1" s="22" t="s">
        <v>544</v>
      </c>
      <c r="G1" s="22" t="s">
        <v>545</v>
      </c>
      <c r="H1" s="22" t="s">
        <v>10</v>
      </c>
      <c r="I1" s="22" t="s">
        <v>546</v>
      </c>
      <c r="J1" s="22" t="s">
        <v>547</v>
      </c>
      <c r="L1" s="23"/>
      <c r="M1" s="24"/>
      <c r="N1" s="24"/>
      <c r="O1" s="24"/>
      <c r="P1" s="24"/>
      <c r="Q1" s="24"/>
      <c r="R1" s="24"/>
      <c r="S1" s="24"/>
    </row>
    <row r="2" ht="15.75" customHeight="1">
      <c r="A2" s="25" t="s">
        <v>548</v>
      </c>
      <c r="B2" s="25" t="s">
        <v>38</v>
      </c>
      <c r="C2" s="26">
        <v>43831.0</v>
      </c>
      <c r="D2" s="27" t="s">
        <v>41</v>
      </c>
      <c r="E2" s="21">
        <v>10.0</v>
      </c>
      <c r="F2" s="21">
        <v>45000.0</v>
      </c>
      <c r="G2" s="21">
        <f t="shared" ref="G2:G793" si="1">E2*F2</f>
        <v>450000</v>
      </c>
      <c r="H2" s="21" t="s">
        <v>549</v>
      </c>
      <c r="I2" s="21" t="s">
        <v>550</v>
      </c>
      <c r="J2" s="25" t="s">
        <v>71</v>
      </c>
      <c r="L2" s="28"/>
      <c r="M2" s="23"/>
      <c r="N2" s="23"/>
      <c r="O2" s="23"/>
      <c r="P2" s="23"/>
      <c r="Q2" s="23"/>
      <c r="R2" s="23"/>
      <c r="S2" s="23"/>
    </row>
    <row r="3" ht="15.75" customHeight="1">
      <c r="A3" s="25" t="s">
        <v>551</v>
      </c>
      <c r="B3" s="25" t="s">
        <v>38</v>
      </c>
      <c r="C3" s="26">
        <v>43862.0</v>
      </c>
      <c r="D3" s="27" t="s">
        <v>41</v>
      </c>
      <c r="E3" s="21">
        <v>13.0</v>
      </c>
      <c r="F3" s="21">
        <v>45000.0</v>
      </c>
      <c r="G3" s="21">
        <f t="shared" si="1"/>
        <v>585000</v>
      </c>
      <c r="H3" s="21" t="s">
        <v>549</v>
      </c>
      <c r="I3" s="21" t="s">
        <v>550</v>
      </c>
      <c r="J3" s="25" t="s">
        <v>71</v>
      </c>
      <c r="L3" s="28"/>
      <c r="M3" s="23"/>
      <c r="N3" s="23"/>
      <c r="O3" s="23"/>
      <c r="P3" s="23"/>
      <c r="Q3" s="23"/>
      <c r="R3" s="23"/>
      <c r="S3" s="23"/>
    </row>
    <row r="4" ht="15.75" customHeight="1">
      <c r="A4" s="25" t="s">
        <v>552</v>
      </c>
      <c r="B4" s="25" t="s">
        <v>38</v>
      </c>
      <c r="C4" s="26">
        <v>43891.0</v>
      </c>
      <c r="D4" s="27" t="s">
        <v>41</v>
      </c>
      <c r="E4" s="21">
        <v>14.0</v>
      </c>
      <c r="F4" s="21">
        <v>45000.0</v>
      </c>
      <c r="G4" s="21">
        <f t="shared" si="1"/>
        <v>630000</v>
      </c>
      <c r="H4" s="21" t="s">
        <v>549</v>
      </c>
      <c r="I4" s="21" t="s">
        <v>550</v>
      </c>
      <c r="J4" s="25" t="s">
        <v>71</v>
      </c>
      <c r="L4" s="28"/>
      <c r="M4" s="23"/>
      <c r="N4" s="23"/>
      <c r="O4" s="23"/>
      <c r="P4" s="23"/>
      <c r="Q4" s="23"/>
      <c r="R4" s="23"/>
      <c r="S4" s="23"/>
    </row>
    <row r="5" ht="15.75" customHeight="1">
      <c r="A5" s="25" t="s">
        <v>553</v>
      </c>
      <c r="B5" s="25" t="s">
        <v>38</v>
      </c>
      <c r="C5" s="26">
        <v>43922.0</v>
      </c>
      <c r="D5" s="27" t="s">
        <v>41</v>
      </c>
      <c r="E5" s="21">
        <v>13.0</v>
      </c>
      <c r="F5" s="21">
        <v>45000.0</v>
      </c>
      <c r="G5" s="21">
        <f t="shared" si="1"/>
        <v>585000</v>
      </c>
      <c r="H5" s="21" t="s">
        <v>549</v>
      </c>
      <c r="I5" s="21" t="s">
        <v>550</v>
      </c>
      <c r="J5" s="25" t="s">
        <v>71</v>
      </c>
      <c r="L5" s="28"/>
      <c r="M5" s="23"/>
      <c r="N5" s="23"/>
      <c r="O5" s="23"/>
      <c r="P5" s="23"/>
      <c r="Q5" s="23"/>
      <c r="R5" s="23"/>
      <c r="S5" s="23"/>
    </row>
    <row r="6" ht="15.75" customHeight="1">
      <c r="A6" s="25" t="s">
        <v>554</v>
      </c>
      <c r="B6" s="25" t="s">
        <v>38</v>
      </c>
      <c r="C6" s="26">
        <v>43952.0</v>
      </c>
      <c r="D6" s="27" t="s">
        <v>41</v>
      </c>
      <c r="E6" s="21">
        <v>15.0</v>
      </c>
      <c r="F6" s="21">
        <v>45000.0</v>
      </c>
      <c r="G6" s="21">
        <f t="shared" si="1"/>
        <v>675000</v>
      </c>
      <c r="H6" s="21" t="s">
        <v>549</v>
      </c>
      <c r="I6" s="21" t="s">
        <v>550</v>
      </c>
      <c r="J6" s="25" t="s">
        <v>71</v>
      </c>
      <c r="L6" s="28"/>
      <c r="M6" s="23"/>
      <c r="N6" s="23"/>
      <c r="O6" s="23"/>
      <c r="P6" s="23"/>
      <c r="Q6" s="23"/>
      <c r="R6" s="23"/>
      <c r="S6" s="23"/>
    </row>
    <row r="7" ht="15.75" customHeight="1">
      <c r="A7" s="25" t="s">
        <v>555</v>
      </c>
      <c r="B7" s="25" t="s">
        <v>38</v>
      </c>
      <c r="C7" s="26">
        <v>43983.0</v>
      </c>
      <c r="D7" s="27" t="s">
        <v>41</v>
      </c>
      <c r="E7" s="21">
        <v>13.0</v>
      </c>
      <c r="F7" s="21">
        <v>45000.0</v>
      </c>
      <c r="G7" s="21">
        <f t="shared" si="1"/>
        <v>585000</v>
      </c>
      <c r="H7" s="21" t="s">
        <v>549</v>
      </c>
      <c r="I7" s="21" t="s">
        <v>550</v>
      </c>
      <c r="J7" s="25" t="s">
        <v>71</v>
      </c>
      <c r="L7" s="28"/>
      <c r="M7" s="23"/>
      <c r="N7" s="23"/>
      <c r="O7" s="23"/>
      <c r="P7" s="23"/>
      <c r="Q7" s="23"/>
      <c r="R7" s="23"/>
      <c r="S7" s="23"/>
    </row>
    <row r="8" ht="15.75" customHeight="1">
      <c r="A8" s="25" t="s">
        <v>556</v>
      </c>
      <c r="B8" s="25" t="s">
        <v>38</v>
      </c>
      <c r="C8" s="26">
        <v>44013.0</v>
      </c>
      <c r="D8" s="27" t="s">
        <v>41</v>
      </c>
      <c r="E8" s="21">
        <v>14.0</v>
      </c>
      <c r="F8" s="21">
        <v>45000.0</v>
      </c>
      <c r="G8" s="21">
        <f t="shared" si="1"/>
        <v>630000</v>
      </c>
      <c r="H8" s="21" t="s">
        <v>549</v>
      </c>
      <c r="I8" s="21" t="s">
        <v>550</v>
      </c>
      <c r="J8" s="25" t="s">
        <v>71</v>
      </c>
      <c r="L8" s="28"/>
      <c r="M8" s="23"/>
      <c r="N8" s="23"/>
      <c r="O8" s="23"/>
      <c r="P8" s="23"/>
      <c r="Q8" s="23"/>
      <c r="R8" s="23"/>
      <c r="S8" s="23"/>
    </row>
    <row r="9" ht="15.75" customHeight="1">
      <c r="A9" s="25" t="s">
        <v>557</v>
      </c>
      <c r="B9" s="25" t="s">
        <v>38</v>
      </c>
      <c r="C9" s="26">
        <v>44044.0</v>
      </c>
      <c r="D9" s="27" t="s">
        <v>41</v>
      </c>
      <c r="E9" s="21">
        <v>20.0</v>
      </c>
      <c r="F9" s="21">
        <v>45000.0</v>
      </c>
      <c r="G9" s="21">
        <f t="shared" si="1"/>
        <v>900000</v>
      </c>
      <c r="H9" s="21" t="s">
        <v>549</v>
      </c>
      <c r="I9" s="21" t="s">
        <v>550</v>
      </c>
      <c r="J9" s="25" t="s">
        <v>71</v>
      </c>
      <c r="L9" s="28"/>
      <c r="M9" s="23"/>
      <c r="N9" s="23"/>
      <c r="O9" s="23"/>
      <c r="P9" s="23"/>
      <c r="Q9" s="23"/>
      <c r="R9" s="23"/>
      <c r="S9" s="23"/>
    </row>
    <row r="10" ht="15.75" customHeight="1">
      <c r="A10" s="25" t="s">
        <v>561</v>
      </c>
      <c r="B10" s="25" t="s">
        <v>38</v>
      </c>
      <c r="C10" s="26">
        <v>44075.0</v>
      </c>
      <c r="D10" s="27" t="s">
        <v>41</v>
      </c>
      <c r="E10" s="21">
        <v>13.0</v>
      </c>
      <c r="F10" s="21">
        <v>45000.0</v>
      </c>
      <c r="G10" s="21">
        <f t="shared" si="1"/>
        <v>585000</v>
      </c>
      <c r="H10" s="21" t="s">
        <v>549</v>
      </c>
      <c r="I10" s="21" t="s">
        <v>550</v>
      </c>
      <c r="J10" s="25" t="s">
        <v>71</v>
      </c>
      <c r="L10" s="28"/>
      <c r="M10" s="23"/>
      <c r="N10" s="23"/>
      <c r="O10" s="23"/>
      <c r="P10" s="23"/>
      <c r="Q10" s="23"/>
      <c r="R10" s="23"/>
      <c r="S10" s="23"/>
    </row>
    <row r="11" ht="15.75" customHeight="1">
      <c r="A11" s="25" t="s">
        <v>571</v>
      </c>
      <c r="B11" s="25" t="s">
        <v>38</v>
      </c>
      <c r="C11" s="26">
        <v>44105.0</v>
      </c>
      <c r="D11" s="27" t="s">
        <v>41</v>
      </c>
      <c r="E11" s="21">
        <v>25.0</v>
      </c>
      <c r="F11" s="21">
        <v>45000.0</v>
      </c>
      <c r="G11" s="21">
        <f t="shared" si="1"/>
        <v>1125000</v>
      </c>
      <c r="H11" s="21" t="s">
        <v>549</v>
      </c>
      <c r="I11" s="21" t="s">
        <v>550</v>
      </c>
      <c r="J11" s="25" t="s">
        <v>71</v>
      </c>
      <c r="L11" s="28"/>
      <c r="M11" s="23"/>
      <c r="N11" s="23"/>
      <c r="O11" s="23"/>
      <c r="P11" s="23"/>
      <c r="Q11" s="23"/>
      <c r="R11" s="23"/>
      <c r="S11" s="23"/>
    </row>
    <row r="12" ht="15.75" customHeight="1">
      <c r="A12" s="25" t="s">
        <v>578</v>
      </c>
      <c r="B12" s="25" t="s">
        <v>38</v>
      </c>
      <c r="C12" s="26">
        <v>44136.0</v>
      </c>
      <c r="D12" s="27" t="s">
        <v>41</v>
      </c>
      <c r="E12" s="21">
        <v>27.0</v>
      </c>
      <c r="F12" s="21">
        <v>45000.0</v>
      </c>
      <c r="G12" s="21">
        <f t="shared" si="1"/>
        <v>1215000</v>
      </c>
      <c r="H12" s="21" t="s">
        <v>549</v>
      </c>
      <c r="I12" s="21" t="s">
        <v>550</v>
      </c>
      <c r="J12" s="25" t="s">
        <v>71</v>
      </c>
      <c r="L12" s="28"/>
      <c r="M12" s="23"/>
      <c r="N12" s="23"/>
      <c r="O12" s="23"/>
      <c r="P12" s="23"/>
      <c r="Q12" s="23"/>
      <c r="R12" s="23"/>
      <c r="S12" s="23"/>
    </row>
    <row r="13" ht="15.75" customHeight="1">
      <c r="A13" s="25" t="s">
        <v>585</v>
      </c>
      <c r="B13" s="25" t="s">
        <v>38</v>
      </c>
      <c r="C13" s="26">
        <v>44166.0</v>
      </c>
      <c r="D13" s="27" t="s">
        <v>41</v>
      </c>
      <c r="E13" s="21">
        <v>14.0</v>
      </c>
      <c r="F13" s="21">
        <v>45000.0</v>
      </c>
      <c r="G13" s="21">
        <f t="shared" si="1"/>
        <v>630000</v>
      </c>
      <c r="H13" s="21" t="s">
        <v>549</v>
      </c>
      <c r="I13" s="21" t="s">
        <v>550</v>
      </c>
      <c r="J13" s="25" t="s">
        <v>71</v>
      </c>
      <c r="L13" s="24"/>
      <c r="M13" s="23"/>
      <c r="N13" s="23"/>
      <c r="O13" s="23"/>
      <c r="P13" s="23"/>
      <c r="Q13" s="23"/>
      <c r="R13" s="23"/>
      <c r="S13" s="23"/>
    </row>
    <row r="14" ht="15.75" customHeight="1">
      <c r="A14" s="25" t="s">
        <v>593</v>
      </c>
      <c r="B14" s="25" t="s">
        <v>40</v>
      </c>
      <c r="C14" s="26">
        <v>43831.0</v>
      </c>
      <c r="D14" s="27" t="s">
        <v>42</v>
      </c>
      <c r="E14" s="21">
        <v>3.0</v>
      </c>
      <c r="F14" s="21">
        <v>45500.0</v>
      </c>
      <c r="G14" s="21">
        <f t="shared" si="1"/>
        <v>136500</v>
      </c>
      <c r="H14" s="21" t="s">
        <v>549</v>
      </c>
      <c r="I14" s="21" t="s">
        <v>550</v>
      </c>
      <c r="J14" s="25" t="s">
        <v>71</v>
      </c>
    </row>
    <row r="15" ht="15.75" customHeight="1">
      <c r="A15" s="25" t="s">
        <v>604</v>
      </c>
      <c r="B15" s="25" t="s">
        <v>40</v>
      </c>
      <c r="C15" s="26">
        <v>43862.0</v>
      </c>
      <c r="D15" s="27" t="s">
        <v>42</v>
      </c>
      <c r="E15" s="21">
        <v>2.0</v>
      </c>
      <c r="F15" s="21">
        <v>45500.0</v>
      </c>
      <c r="G15" s="21">
        <f t="shared" si="1"/>
        <v>91000</v>
      </c>
      <c r="H15" s="21" t="s">
        <v>549</v>
      </c>
      <c r="I15" s="21" t="s">
        <v>550</v>
      </c>
      <c r="J15" s="25" t="s">
        <v>71</v>
      </c>
      <c r="L15" s="34"/>
    </row>
    <row r="16" ht="15.75" customHeight="1">
      <c r="A16" s="25" t="s">
        <v>612</v>
      </c>
      <c r="B16" s="25" t="s">
        <v>40</v>
      </c>
      <c r="C16" s="26">
        <v>43891.0</v>
      </c>
      <c r="D16" s="27" t="s">
        <v>42</v>
      </c>
      <c r="E16" s="21">
        <v>3.0</v>
      </c>
      <c r="F16" s="21">
        <v>45500.0</v>
      </c>
      <c r="G16" s="21">
        <f t="shared" si="1"/>
        <v>136500</v>
      </c>
      <c r="H16" s="21" t="s">
        <v>549</v>
      </c>
      <c r="I16" s="21" t="s">
        <v>550</v>
      </c>
      <c r="J16" s="25" t="s">
        <v>71</v>
      </c>
    </row>
    <row r="17" ht="15.75" customHeight="1">
      <c r="A17" s="25" t="s">
        <v>613</v>
      </c>
      <c r="B17" s="25" t="s">
        <v>40</v>
      </c>
      <c r="C17" s="26">
        <v>43922.0</v>
      </c>
      <c r="D17" s="27" t="s">
        <v>42</v>
      </c>
      <c r="E17" s="21">
        <v>3.0</v>
      </c>
      <c r="F17" s="21">
        <v>45500.0</v>
      </c>
      <c r="G17" s="21">
        <f t="shared" si="1"/>
        <v>136500</v>
      </c>
      <c r="H17" s="21" t="s">
        <v>549</v>
      </c>
      <c r="I17" s="21" t="s">
        <v>550</v>
      </c>
      <c r="J17" s="25" t="s">
        <v>71</v>
      </c>
    </row>
    <row r="18" ht="15.75" customHeight="1">
      <c r="A18" s="25" t="s">
        <v>614</v>
      </c>
      <c r="B18" s="25" t="s">
        <v>40</v>
      </c>
      <c r="C18" s="26">
        <v>43952.0</v>
      </c>
      <c r="D18" s="27" t="s">
        <v>42</v>
      </c>
      <c r="E18" s="21">
        <v>5.0</v>
      </c>
      <c r="F18" s="21">
        <v>45500.0</v>
      </c>
      <c r="G18" s="21">
        <f t="shared" si="1"/>
        <v>227500</v>
      </c>
      <c r="H18" s="21" t="s">
        <v>549</v>
      </c>
      <c r="I18" s="21" t="s">
        <v>550</v>
      </c>
      <c r="J18" s="25" t="s">
        <v>71</v>
      </c>
    </row>
    <row r="19" ht="15.75" customHeight="1">
      <c r="A19" s="25" t="s">
        <v>615</v>
      </c>
      <c r="B19" s="25" t="s">
        <v>40</v>
      </c>
      <c r="C19" s="26">
        <v>43983.0</v>
      </c>
      <c r="D19" s="27" t="s">
        <v>42</v>
      </c>
      <c r="E19" s="21">
        <v>2.0</v>
      </c>
      <c r="F19" s="21">
        <v>45500.0</v>
      </c>
      <c r="G19" s="21">
        <f t="shared" si="1"/>
        <v>91000</v>
      </c>
      <c r="H19" s="21" t="s">
        <v>549</v>
      </c>
      <c r="I19" s="21" t="s">
        <v>550</v>
      </c>
      <c r="J19" s="25" t="s">
        <v>71</v>
      </c>
    </row>
    <row r="20" ht="15.75" customHeight="1">
      <c r="A20" s="25" t="s">
        <v>616</v>
      </c>
      <c r="B20" s="25" t="s">
        <v>40</v>
      </c>
      <c r="C20" s="26">
        <v>44013.0</v>
      </c>
      <c r="D20" s="27" t="s">
        <v>42</v>
      </c>
      <c r="E20" s="21">
        <v>3.0</v>
      </c>
      <c r="F20" s="21">
        <v>45500.0</v>
      </c>
      <c r="G20" s="21">
        <f t="shared" si="1"/>
        <v>136500</v>
      </c>
      <c r="H20" s="21" t="s">
        <v>549</v>
      </c>
      <c r="I20" s="21" t="s">
        <v>550</v>
      </c>
      <c r="J20" s="25" t="s">
        <v>71</v>
      </c>
    </row>
    <row r="21" ht="15.75" customHeight="1">
      <c r="A21" s="25" t="s">
        <v>617</v>
      </c>
      <c r="B21" s="25" t="s">
        <v>40</v>
      </c>
      <c r="C21" s="26">
        <v>44044.0</v>
      </c>
      <c r="D21" s="27" t="s">
        <v>42</v>
      </c>
      <c r="E21" s="21">
        <v>2.0</v>
      </c>
      <c r="F21" s="21">
        <v>45500.0</v>
      </c>
      <c r="G21" s="21">
        <f t="shared" si="1"/>
        <v>91000</v>
      </c>
      <c r="H21" s="21" t="s">
        <v>549</v>
      </c>
      <c r="I21" s="21" t="s">
        <v>550</v>
      </c>
      <c r="J21" s="25" t="s">
        <v>71</v>
      </c>
    </row>
    <row r="22" ht="15.75" customHeight="1">
      <c r="A22" s="25" t="s">
        <v>619</v>
      </c>
      <c r="B22" s="25" t="s">
        <v>40</v>
      </c>
      <c r="C22" s="26">
        <v>44075.0</v>
      </c>
      <c r="D22" s="27" t="s">
        <v>42</v>
      </c>
      <c r="E22" s="21">
        <v>3.0</v>
      </c>
      <c r="F22" s="21">
        <v>45500.0</v>
      </c>
      <c r="G22" s="21">
        <f t="shared" si="1"/>
        <v>136500</v>
      </c>
      <c r="H22" s="21" t="s">
        <v>549</v>
      </c>
      <c r="I22" s="21" t="s">
        <v>550</v>
      </c>
      <c r="J22" s="25" t="s">
        <v>71</v>
      </c>
    </row>
    <row r="23" ht="15.75" customHeight="1">
      <c r="A23" s="25" t="s">
        <v>620</v>
      </c>
      <c r="B23" s="25" t="s">
        <v>40</v>
      </c>
      <c r="C23" s="26">
        <v>44105.0</v>
      </c>
      <c r="D23" s="27" t="s">
        <v>42</v>
      </c>
      <c r="E23" s="21">
        <v>5.0</v>
      </c>
      <c r="F23" s="21">
        <v>45500.0</v>
      </c>
      <c r="G23" s="21">
        <f t="shared" si="1"/>
        <v>227500</v>
      </c>
      <c r="H23" s="21" t="s">
        <v>549</v>
      </c>
      <c r="I23" s="21" t="s">
        <v>550</v>
      </c>
      <c r="J23" s="25" t="s">
        <v>71</v>
      </c>
    </row>
    <row r="24" ht="15.75" customHeight="1">
      <c r="A24" s="25" t="s">
        <v>622</v>
      </c>
      <c r="B24" s="25" t="s">
        <v>40</v>
      </c>
      <c r="C24" s="26">
        <v>44136.0</v>
      </c>
      <c r="D24" s="27" t="s">
        <v>42</v>
      </c>
      <c r="E24" s="21">
        <v>3.0</v>
      </c>
      <c r="F24" s="21">
        <v>45500.0</v>
      </c>
      <c r="G24" s="21">
        <f t="shared" si="1"/>
        <v>136500</v>
      </c>
      <c r="H24" s="21" t="s">
        <v>549</v>
      </c>
      <c r="I24" s="21" t="s">
        <v>550</v>
      </c>
      <c r="J24" s="25" t="s">
        <v>71</v>
      </c>
    </row>
    <row r="25" ht="15.75" customHeight="1">
      <c r="A25" s="25" t="s">
        <v>624</v>
      </c>
      <c r="B25" s="25" t="s">
        <v>40</v>
      </c>
      <c r="C25" s="26">
        <v>44166.0</v>
      </c>
      <c r="D25" s="27" t="s">
        <v>42</v>
      </c>
      <c r="E25" s="21">
        <v>3.0</v>
      </c>
      <c r="F25" s="21">
        <v>45500.0</v>
      </c>
      <c r="G25" s="21">
        <f t="shared" si="1"/>
        <v>136500</v>
      </c>
      <c r="H25" s="21" t="s">
        <v>549</v>
      </c>
      <c r="I25" s="21" t="s">
        <v>550</v>
      </c>
      <c r="J25" s="25" t="s">
        <v>71</v>
      </c>
    </row>
    <row r="26" ht="15.75" customHeight="1">
      <c r="A26" s="25" t="s">
        <v>629</v>
      </c>
      <c r="B26" s="25" t="s">
        <v>82</v>
      </c>
      <c r="C26" s="26">
        <v>43831.0</v>
      </c>
      <c r="D26" s="27" t="s">
        <v>84</v>
      </c>
      <c r="E26" s="21">
        <v>7.0</v>
      </c>
      <c r="F26" s="21">
        <v>45000.0</v>
      </c>
      <c r="G26" s="21">
        <f t="shared" si="1"/>
        <v>315000</v>
      </c>
      <c r="H26" s="21" t="s">
        <v>549</v>
      </c>
      <c r="I26" s="21" t="s">
        <v>550</v>
      </c>
      <c r="J26" s="25" t="s">
        <v>71</v>
      </c>
    </row>
    <row r="27" ht="15.75" customHeight="1">
      <c r="A27" s="25" t="s">
        <v>633</v>
      </c>
      <c r="B27" s="25" t="s">
        <v>82</v>
      </c>
      <c r="C27" s="26">
        <v>43862.0</v>
      </c>
      <c r="D27" s="27" t="s">
        <v>84</v>
      </c>
      <c r="E27" s="21">
        <v>6.0</v>
      </c>
      <c r="F27" s="21">
        <v>45000.0</v>
      </c>
      <c r="G27" s="21">
        <f t="shared" si="1"/>
        <v>270000</v>
      </c>
      <c r="H27" s="21" t="s">
        <v>549</v>
      </c>
      <c r="I27" s="21" t="s">
        <v>550</v>
      </c>
      <c r="J27" s="25" t="s">
        <v>71</v>
      </c>
    </row>
    <row r="28" ht="15.75" customHeight="1">
      <c r="A28" s="25" t="s">
        <v>638</v>
      </c>
      <c r="B28" s="25" t="s">
        <v>82</v>
      </c>
      <c r="C28" s="26">
        <v>43891.0</v>
      </c>
      <c r="D28" s="27" t="s">
        <v>84</v>
      </c>
      <c r="E28" s="21">
        <v>7.0</v>
      </c>
      <c r="F28" s="21">
        <v>45000.0</v>
      </c>
      <c r="G28" s="21">
        <f t="shared" si="1"/>
        <v>315000</v>
      </c>
      <c r="H28" s="21" t="s">
        <v>549</v>
      </c>
      <c r="I28" s="21" t="s">
        <v>550</v>
      </c>
      <c r="J28" s="25" t="s">
        <v>71</v>
      </c>
    </row>
    <row r="29" ht="15.75" customHeight="1">
      <c r="A29" s="25" t="s">
        <v>643</v>
      </c>
      <c r="B29" s="25" t="s">
        <v>82</v>
      </c>
      <c r="C29" s="26">
        <v>43922.0</v>
      </c>
      <c r="D29" s="27" t="s">
        <v>84</v>
      </c>
      <c r="E29" s="21">
        <v>10.0</v>
      </c>
      <c r="F29" s="21">
        <v>45000.0</v>
      </c>
      <c r="G29" s="21">
        <f t="shared" si="1"/>
        <v>450000</v>
      </c>
      <c r="H29" s="21" t="s">
        <v>549</v>
      </c>
      <c r="I29" s="21" t="s">
        <v>550</v>
      </c>
      <c r="J29" s="25" t="s">
        <v>71</v>
      </c>
    </row>
    <row r="30" ht="15.75" customHeight="1">
      <c r="A30" s="25" t="s">
        <v>648</v>
      </c>
      <c r="B30" s="25" t="s">
        <v>82</v>
      </c>
      <c r="C30" s="26">
        <v>43952.0</v>
      </c>
      <c r="D30" s="27" t="s">
        <v>84</v>
      </c>
      <c r="E30" s="21">
        <v>7.0</v>
      </c>
      <c r="F30" s="21">
        <v>45000.0</v>
      </c>
      <c r="G30" s="21">
        <f t="shared" si="1"/>
        <v>315000</v>
      </c>
      <c r="H30" s="21" t="s">
        <v>549</v>
      </c>
      <c r="I30" s="21" t="s">
        <v>550</v>
      </c>
      <c r="J30" s="25" t="s">
        <v>71</v>
      </c>
    </row>
    <row r="31" ht="15.75" customHeight="1">
      <c r="A31" s="25" t="s">
        <v>654</v>
      </c>
      <c r="B31" s="25" t="s">
        <v>82</v>
      </c>
      <c r="C31" s="26">
        <v>43983.0</v>
      </c>
      <c r="D31" s="27" t="s">
        <v>84</v>
      </c>
      <c r="E31" s="21">
        <v>6.0</v>
      </c>
      <c r="F31" s="21">
        <v>45000.0</v>
      </c>
      <c r="G31" s="21">
        <f t="shared" si="1"/>
        <v>270000</v>
      </c>
      <c r="H31" s="21" t="s">
        <v>549</v>
      </c>
      <c r="I31" s="21" t="s">
        <v>550</v>
      </c>
      <c r="J31" s="25" t="s">
        <v>71</v>
      </c>
    </row>
    <row r="32" ht="15.75" customHeight="1">
      <c r="A32" s="25" t="s">
        <v>659</v>
      </c>
      <c r="B32" s="25" t="s">
        <v>82</v>
      </c>
      <c r="C32" s="26">
        <v>44013.0</v>
      </c>
      <c r="D32" s="27" t="s">
        <v>84</v>
      </c>
      <c r="E32" s="21">
        <v>7.0</v>
      </c>
      <c r="F32" s="21">
        <v>45000.0</v>
      </c>
      <c r="G32" s="21">
        <f t="shared" si="1"/>
        <v>315000</v>
      </c>
      <c r="H32" s="21" t="s">
        <v>549</v>
      </c>
      <c r="I32" s="21" t="s">
        <v>550</v>
      </c>
      <c r="J32" s="25" t="s">
        <v>71</v>
      </c>
    </row>
    <row r="33" ht="15.75" customHeight="1">
      <c r="A33" s="25" t="s">
        <v>665</v>
      </c>
      <c r="B33" s="25" t="s">
        <v>82</v>
      </c>
      <c r="C33" s="26">
        <v>44044.0</v>
      </c>
      <c r="D33" s="27" t="s">
        <v>84</v>
      </c>
      <c r="E33" s="21">
        <v>6.0</v>
      </c>
      <c r="F33" s="21">
        <v>45000.0</v>
      </c>
      <c r="G33" s="21">
        <f t="shared" si="1"/>
        <v>270000</v>
      </c>
      <c r="H33" s="21" t="s">
        <v>549</v>
      </c>
      <c r="I33" s="21" t="s">
        <v>550</v>
      </c>
      <c r="J33" s="25" t="s">
        <v>71</v>
      </c>
    </row>
    <row r="34" ht="15.75" customHeight="1">
      <c r="A34" s="25" t="s">
        <v>670</v>
      </c>
      <c r="B34" s="25" t="s">
        <v>82</v>
      </c>
      <c r="C34" s="26">
        <v>44075.0</v>
      </c>
      <c r="D34" s="27" t="s">
        <v>84</v>
      </c>
      <c r="E34" s="21">
        <v>7.0</v>
      </c>
      <c r="F34" s="21">
        <v>45000.0</v>
      </c>
      <c r="G34" s="21">
        <f t="shared" si="1"/>
        <v>315000</v>
      </c>
      <c r="H34" s="21" t="s">
        <v>549</v>
      </c>
      <c r="I34" s="21" t="s">
        <v>550</v>
      </c>
      <c r="J34" s="25" t="s">
        <v>71</v>
      </c>
    </row>
    <row r="35" ht="15.75" customHeight="1">
      <c r="A35" s="25" t="s">
        <v>676</v>
      </c>
      <c r="B35" s="25" t="s">
        <v>82</v>
      </c>
      <c r="C35" s="26">
        <v>44105.0</v>
      </c>
      <c r="D35" s="27" t="s">
        <v>84</v>
      </c>
      <c r="E35" s="21">
        <v>7.0</v>
      </c>
      <c r="F35" s="21">
        <v>45000.0</v>
      </c>
      <c r="G35" s="21">
        <f t="shared" si="1"/>
        <v>315000</v>
      </c>
      <c r="H35" s="21" t="s">
        <v>549</v>
      </c>
      <c r="I35" s="21" t="s">
        <v>550</v>
      </c>
      <c r="J35" s="25" t="s">
        <v>71</v>
      </c>
    </row>
    <row r="36" ht="15.75" customHeight="1">
      <c r="A36" s="25" t="s">
        <v>681</v>
      </c>
      <c r="B36" s="25" t="s">
        <v>82</v>
      </c>
      <c r="C36" s="26">
        <v>44136.0</v>
      </c>
      <c r="D36" s="27" t="s">
        <v>84</v>
      </c>
      <c r="E36" s="21">
        <v>7.0</v>
      </c>
      <c r="F36" s="21">
        <v>45000.0</v>
      </c>
      <c r="G36" s="21">
        <f t="shared" si="1"/>
        <v>315000</v>
      </c>
      <c r="H36" s="21" t="s">
        <v>549</v>
      </c>
      <c r="I36" s="21" t="s">
        <v>550</v>
      </c>
      <c r="J36" s="25" t="s">
        <v>71</v>
      </c>
    </row>
    <row r="37" ht="15.75" customHeight="1">
      <c r="A37" s="25" t="s">
        <v>687</v>
      </c>
      <c r="B37" s="25" t="s">
        <v>82</v>
      </c>
      <c r="C37" s="26">
        <v>44166.0</v>
      </c>
      <c r="D37" s="27" t="s">
        <v>84</v>
      </c>
      <c r="E37" s="21">
        <v>10.0</v>
      </c>
      <c r="F37" s="21">
        <v>45000.0</v>
      </c>
      <c r="G37" s="21">
        <f t="shared" si="1"/>
        <v>450000</v>
      </c>
      <c r="H37" s="21" t="s">
        <v>549</v>
      </c>
      <c r="I37" s="21" t="s">
        <v>550</v>
      </c>
      <c r="J37" s="25" t="s">
        <v>71</v>
      </c>
    </row>
    <row r="38" ht="15.75" customHeight="1">
      <c r="A38" s="25" t="s">
        <v>692</v>
      </c>
      <c r="B38" s="25" t="s">
        <v>97</v>
      </c>
      <c r="C38" s="26">
        <v>43831.0</v>
      </c>
      <c r="D38" s="27" t="s">
        <v>99</v>
      </c>
      <c r="E38" s="21">
        <v>1.0</v>
      </c>
      <c r="F38" s="21">
        <v>36000.0</v>
      </c>
      <c r="G38" s="21">
        <f t="shared" si="1"/>
        <v>36000</v>
      </c>
      <c r="H38" s="21" t="s">
        <v>424</v>
      </c>
      <c r="I38" s="21" t="s">
        <v>550</v>
      </c>
      <c r="J38" s="25" t="s">
        <v>71</v>
      </c>
    </row>
    <row r="39" ht="15.75" customHeight="1">
      <c r="A39" s="25" t="s">
        <v>698</v>
      </c>
      <c r="B39" s="25" t="s">
        <v>97</v>
      </c>
      <c r="C39" s="26">
        <v>43862.0</v>
      </c>
      <c r="D39" s="27" t="s">
        <v>99</v>
      </c>
      <c r="E39" s="21">
        <v>0.0</v>
      </c>
      <c r="F39" s="21">
        <v>36000.0</v>
      </c>
      <c r="G39" s="21">
        <f t="shared" si="1"/>
        <v>0</v>
      </c>
      <c r="H39" s="21" t="s">
        <v>424</v>
      </c>
      <c r="I39" s="21" t="s">
        <v>550</v>
      </c>
      <c r="J39" s="25" t="s">
        <v>71</v>
      </c>
    </row>
    <row r="40" ht="15.75" customHeight="1">
      <c r="A40" s="25" t="s">
        <v>702</v>
      </c>
      <c r="B40" s="25" t="s">
        <v>97</v>
      </c>
      <c r="C40" s="26">
        <v>43891.0</v>
      </c>
      <c r="D40" s="27" t="s">
        <v>99</v>
      </c>
      <c r="E40" s="21">
        <v>1.0</v>
      </c>
      <c r="F40" s="21">
        <v>36000.0</v>
      </c>
      <c r="G40" s="21">
        <f t="shared" si="1"/>
        <v>36000</v>
      </c>
      <c r="H40" s="21" t="s">
        <v>424</v>
      </c>
      <c r="I40" s="21" t="s">
        <v>550</v>
      </c>
      <c r="J40" s="25" t="s">
        <v>71</v>
      </c>
    </row>
    <row r="41" ht="15.75" customHeight="1">
      <c r="A41" s="25" t="s">
        <v>704</v>
      </c>
      <c r="B41" s="25" t="s">
        <v>97</v>
      </c>
      <c r="C41" s="26">
        <v>43922.0</v>
      </c>
      <c r="D41" s="27" t="s">
        <v>99</v>
      </c>
      <c r="E41" s="21">
        <v>0.0</v>
      </c>
      <c r="F41" s="21">
        <v>36000.0</v>
      </c>
      <c r="G41" s="21">
        <f t="shared" si="1"/>
        <v>0</v>
      </c>
      <c r="H41" s="21" t="s">
        <v>424</v>
      </c>
      <c r="I41" s="21" t="s">
        <v>550</v>
      </c>
      <c r="J41" s="25" t="s">
        <v>71</v>
      </c>
    </row>
    <row r="42" ht="15.75" customHeight="1">
      <c r="A42" s="25" t="s">
        <v>706</v>
      </c>
      <c r="B42" s="25" t="s">
        <v>97</v>
      </c>
      <c r="C42" s="26">
        <v>43952.0</v>
      </c>
      <c r="D42" s="27" t="s">
        <v>99</v>
      </c>
      <c r="E42" s="21">
        <v>1.0</v>
      </c>
      <c r="F42" s="21">
        <v>36000.0</v>
      </c>
      <c r="G42" s="21">
        <f t="shared" si="1"/>
        <v>36000</v>
      </c>
      <c r="H42" s="21" t="s">
        <v>424</v>
      </c>
      <c r="I42" s="21" t="s">
        <v>550</v>
      </c>
      <c r="J42" s="25" t="s">
        <v>71</v>
      </c>
    </row>
    <row r="43" ht="15.75" customHeight="1">
      <c r="A43" s="25" t="s">
        <v>708</v>
      </c>
      <c r="B43" s="25" t="s">
        <v>97</v>
      </c>
      <c r="C43" s="26">
        <v>43983.0</v>
      </c>
      <c r="D43" s="27" t="s">
        <v>99</v>
      </c>
      <c r="E43" s="21">
        <v>0.0</v>
      </c>
      <c r="F43" s="21">
        <v>36000.0</v>
      </c>
      <c r="G43" s="21">
        <f t="shared" si="1"/>
        <v>0</v>
      </c>
      <c r="H43" s="21" t="s">
        <v>424</v>
      </c>
      <c r="I43" s="21" t="s">
        <v>550</v>
      </c>
      <c r="J43" s="25" t="s">
        <v>71</v>
      </c>
    </row>
    <row r="44" ht="15.75" customHeight="1">
      <c r="A44" s="25" t="s">
        <v>713</v>
      </c>
      <c r="B44" s="25" t="s">
        <v>97</v>
      </c>
      <c r="C44" s="26">
        <v>44013.0</v>
      </c>
      <c r="D44" s="27" t="s">
        <v>99</v>
      </c>
      <c r="E44" s="21">
        <v>1.0</v>
      </c>
      <c r="F44" s="21">
        <v>36000.0</v>
      </c>
      <c r="G44" s="21">
        <f t="shared" si="1"/>
        <v>36000</v>
      </c>
      <c r="H44" s="21" t="s">
        <v>424</v>
      </c>
      <c r="I44" s="21" t="s">
        <v>550</v>
      </c>
      <c r="J44" s="25" t="s">
        <v>71</v>
      </c>
    </row>
    <row r="45" ht="15.75" customHeight="1">
      <c r="A45" s="25" t="s">
        <v>717</v>
      </c>
      <c r="B45" s="25" t="s">
        <v>97</v>
      </c>
      <c r="C45" s="26">
        <v>44044.0</v>
      </c>
      <c r="D45" s="27" t="s">
        <v>99</v>
      </c>
      <c r="E45" s="21">
        <v>0.0</v>
      </c>
      <c r="F45" s="21">
        <v>36000.0</v>
      </c>
      <c r="G45" s="21">
        <f t="shared" si="1"/>
        <v>0</v>
      </c>
      <c r="H45" s="21" t="s">
        <v>424</v>
      </c>
      <c r="I45" s="21" t="s">
        <v>550</v>
      </c>
      <c r="J45" s="25" t="s">
        <v>71</v>
      </c>
    </row>
    <row r="46" ht="15.75" customHeight="1">
      <c r="A46" s="25" t="s">
        <v>723</v>
      </c>
      <c r="B46" s="25" t="s">
        <v>97</v>
      </c>
      <c r="C46" s="26">
        <v>44075.0</v>
      </c>
      <c r="D46" s="27" t="s">
        <v>99</v>
      </c>
      <c r="E46" s="21">
        <v>1.0</v>
      </c>
      <c r="F46" s="21">
        <v>36000.0</v>
      </c>
      <c r="G46" s="21">
        <f t="shared" si="1"/>
        <v>36000</v>
      </c>
      <c r="H46" s="21" t="s">
        <v>424</v>
      </c>
      <c r="I46" s="21" t="s">
        <v>550</v>
      </c>
      <c r="J46" s="25" t="s">
        <v>71</v>
      </c>
    </row>
    <row r="47" ht="15.75" customHeight="1">
      <c r="A47" s="25" t="s">
        <v>734</v>
      </c>
      <c r="B47" s="25" t="s">
        <v>97</v>
      </c>
      <c r="C47" s="26">
        <v>44105.0</v>
      </c>
      <c r="D47" s="27" t="s">
        <v>99</v>
      </c>
      <c r="E47" s="21">
        <v>1.0</v>
      </c>
      <c r="F47" s="21">
        <v>36000.0</v>
      </c>
      <c r="G47" s="21">
        <f t="shared" si="1"/>
        <v>36000</v>
      </c>
      <c r="H47" s="21" t="s">
        <v>424</v>
      </c>
      <c r="I47" s="21" t="s">
        <v>550</v>
      </c>
      <c r="J47" s="25" t="s">
        <v>71</v>
      </c>
    </row>
    <row r="48" ht="15.75" customHeight="1">
      <c r="A48" s="25" t="s">
        <v>740</v>
      </c>
      <c r="B48" s="25" t="s">
        <v>97</v>
      </c>
      <c r="C48" s="26">
        <v>44136.0</v>
      </c>
      <c r="D48" s="27" t="s">
        <v>99</v>
      </c>
      <c r="E48" s="21">
        <v>1.0</v>
      </c>
      <c r="F48" s="21">
        <v>36000.0</v>
      </c>
      <c r="G48" s="21">
        <f t="shared" si="1"/>
        <v>36000</v>
      </c>
      <c r="H48" s="21" t="s">
        <v>424</v>
      </c>
      <c r="I48" s="21" t="s">
        <v>550</v>
      </c>
      <c r="J48" s="25" t="s">
        <v>71</v>
      </c>
    </row>
    <row r="49" ht="15.75" customHeight="1">
      <c r="A49" s="25" t="s">
        <v>747</v>
      </c>
      <c r="B49" s="25" t="s">
        <v>97</v>
      </c>
      <c r="C49" s="26">
        <v>44166.0</v>
      </c>
      <c r="D49" s="27" t="s">
        <v>99</v>
      </c>
      <c r="E49" s="21">
        <v>1.0</v>
      </c>
      <c r="F49" s="21">
        <v>36000.0</v>
      </c>
      <c r="G49" s="21">
        <f t="shared" si="1"/>
        <v>36000</v>
      </c>
      <c r="H49" s="21" t="s">
        <v>424</v>
      </c>
      <c r="I49" s="21" t="s">
        <v>550</v>
      </c>
      <c r="J49" s="25" t="s">
        <v>71</v>
      </c>
    </row>
    <row r="50" ht="15.75" customHeight="1">
      <c r="A50" s="25" t="s">
        <v>754</v>
      </c>
      <c r="B50" s="25" t="s">
        <v>110</v>
      </c>
      <c r="C50" s="26">
        <v>43831.0</v>
      </c>
      <c r="D50" s="27" t="s">
        <v>112</v>
      </c>
      <c r="E50" s="21">
        <v>1.0</v>
      </c>
      <c r="F50" s="21">
        <v>30000.0</v>
      </c>
      <c r="G50" s="21">
        <f t="shared" si="1"/>
        <v>30000</v>
      </c>
      <c r="H50" s="21" t="s">
        <v>758</v>
      </c>
      <c r="I50" s="21" t="s">
        <v>550</v>
      </c>
      <c r="J50" s="25" t="s">
        <v>71</v>
      </c>
    </row>
    <row r="51" ht="15.75" customHeight="1">
      <c r="A51" s="25" t="s">
        <v>761</v>
      </c>
      <c r="B51" s="25" t="s">
        <v>110</v>
      </c>
      <c r="C51" s="26">
        <v>43862.0</v>
      </c>
      <c r="D51" s="27" t="s">
        <v>112</v>
      </c>
      <c r="E51" s="21">
        <v>1.0</v>
      </c>
      <c r="F51" s="21">
        <v>30000.0</v>
      </c>
      <c r="G51" s="21">
        <f t="shared" si="1"/>
        <v>30000</v>
      </c>
      <c r="H51" s="21" t="s">
        <v>758</v>
      </c>
      <c r="I51" s="21" t="s">
        <v>550</v>
      </c>
      <c r="J51" s="25" t="s">
        <v>71</v>
      </c>
    </row>
    <row r="52" ht="15.75" customHeight="1">
      <c r="A52" s="25" t="s">
        <v>768</v>
      </c>
      <c r="B52" s="25" t="s">
        <v>110</v>
      </c>
      <c r="C52" s="26">
        <v>43891.0</v>
      </c>
      <c r="D52" s="27" t="s">
        <v>112</v>
      </c>
      <c r="E52" s="21">
        <v>1.0</v>
      </c>
      <c r="F52" s="21">
        <v>30000.0</v>
      </c>
      <c r="G52" s="21">
        <f t="shared" si="1"/>
        <v>30000</v>
      </c>
      <c r="H52" s="21" t="s">
        <v>758</v>
      </c>
      <c r="I52" s="21" t="s">
        <v>550</v>
      </c>
      <c r="J52" s="25" t="s">
        <v>71</v>
      </c>
    </row>
    <row r="53" ht="15.75" customHeight="1">
      <c r="A53" s="25" t="s">
        <v>772</v>
      </c>
      <c r="B53" s="25" t="s">
        <v>110</v>
      </c>
      <c r="C53" s="26">
        <v>43922.0</v>
      </c>
      <c r="D53" s="27" t="s">
        <v>112</v>
      </c>
      <c r="E53" s="21">
        <v>1.0</v>
      </c>
      <c r="F53" s="21">
        <v>30000.0</v>
      </c>
      <c r="G53" s="21">
        <f t="shared" si="1"/>
        <v>30000</v>
      </c>
      <c r="H53" s="21" t="s">
        <v>758</v>
      </c>
      <c r="I53" s="21" t="s">
        <v>550</v>
      </c>
      <c r="J53" s="25" t="s">
        <v>71</v>
      </c>
    </row>
    <row r="54" ht="15.75" customHeight="1">
      <c r="A54" s="25" t="s">
        <v>778</v>
      </c>
      <c r="B54" s="25" t="s">
        <v>110</v>
      </c>
      <c r="C54" s="26">
        <v>43952.0</v>
      </c>
      <c r="D54" s="27" t="s">
        <v>112</v>
      </c>
      <c r="E54" s="21">
        <v>1.0</v>
      </c>
      <c r="F54" s="21">
        <v>30000.0</v>
      </c>
      <c r="G54" s="21">
        <f t="shared" si="1"/>
        <v>30000</v>
      </c>
      <c r="H54" s="21" t="s">
        <v>758</v>
      </c>
      <c r="I54" s="21" t="s">
        <v>550</v>
      </c>
      <c r="J54" s="25" t="s">
        <v>71</v>
      </c>
    </row>
    <row r="55" ht="15.75" customHeight="1">
      <c r="A55" s="25" t="s">
        <v>787</v>
      </c>
      <c r="B55" s="25" t="s">
        <v>110</v>
      </c>
      <c r="C55" s="26">
        <v>43983.0</v>
      </c>
      <c r="D55" s="27" t="s">
        <v>112</v>
      </c>
      <c r="E55" s="21">
        <v>2.0</v>
      </c>
      <c r="F55" s="21">
        <v>30000.0</v>
      </c>
      <c r="G55" s="21">
        <f t="shared" si="1"/>
        <v>60000</v>
      </c>
      <c r="H55" s="21" t="s">
        <v>758</v>
      </c>
      <c r="I55" s="21" t="s">
        <v>550</v>
      </c>
      <c r="J55" s="25" t="s">
        <v>71</v>
      </c>
    </row>
    <row r="56" ht="15.75" customHeight="1">
      <c r="A56" s="25" t="s">
        <v>792</v>
      </c>
      <c r="B56" s="25" t="s">
        <v>110</v>
      </c>
      <c r="C56" s="26">
        <v>44013.0</v>
      </c>
      <c r="D56" s="27" t="s">
        <v>112</v>
      </c>
      <c r="E56" s="21">
        <v>1.0</v>
      </c>
      <c r="F56" s="21">
        <v>30000.0</v>
      </c>
      <c r="G56" s="21">
        <f t="shared" si="1"/>
        <v>30000</v>
      </c>
      <c r="H56" s="21" t="s">
        <v>758</v>
      </c>
      <c r="I56" s="21" t="s">
        <v>550</v>
      </c>
      <c r="J56" s="25" t="s">
        <v>71</v>
      </c>
    </row>
    <row r="57" ht="15.75" customHeight="1">
      <c r="A57" s="25" t="s">
        <v>800</v>
      </c>
      <c r="B57" s="25" t="s">
        <v>110</v>
      </c>
      <c r="C57" s="26">
        <v>44044.0</v>
      </c>
      <c r="D57" s="27" t="s">
        <v>112</v>
      </c>
      <c r="E57" s="21">
        <v>1.0</v>
      </c>
      <c r="F57" s="21">
        <v>30000.0</v>
      </c>
      <c r="G57" s="21">
        <f t="shared" si="1"/>
        <v>30000</v>
      </c>
      <c r="H57" s="21" t="s">
        <v>758</v>
      </c>
      <c r="I57" s="21" t="s">
        <v>550</v>
      </c>
      <c r="J57" s="25" t="s">
        <v>71</v>
      </c>
    </row>
    <row r="58" ht="15.75" customHeight="1">
      <c r="A58" s="25" t="s">
        <v>806</v>
      </c>
      <c r="B58" s="25" t="s">
        <v>110</v>
      </c>
      <c r="C58" s="26">
        <v>44075.0</v>
      </c>
      <c r="D58" s="27" t="s">
        <v>112</v>
      </c>
      <c r="E58" s="21">
        <v>2.0</v>
      </c>
      <c r="F58" s="21">
        <v>30000.0</v>
      </c>
      <c r="G58" s="21">
        <f t="shared" si="1"/>
        <v>60000</v>
      </c>
      <c r="H58" s="21" t="s">
        <v>758</v>
      </c>
      <c r="I58" s="21" t="s">
        <v>550</v>
      </c>
      <c r="J58" s="25" t="s">
        <v>71</v>
      </c>
    </row>
    <row r="59" ht="15.75" customHeight="1">
      <c r="A59" s="25" t="s">
        <v>810</v>
      </c>
      <c r="B59" s="25" t="s">
        <v>110</v>
      </c>
      <c r="C59" s="26">
        <v>44105.0</v>
      </c>
      <c r="D59" s="27" t="s">
        <v>112</v>
      </c>
      <c r="E59" s="21">
        <v>1.0</v>
      </c>
      <c r="F59" s="21">
        <v>30000.0</v>
      </c>
      <c r="G59" s="21">
        <f t="shared" si="1"/>
        <v>30000</v>
      </c>
      <c r="H59" s="21" t="s">
        <v>758</v>
      </c>
      <c r="I59" s="21" t="s">
        <v>550</v>
      </c>
      <c r="J59" s="25" t="s">
        <v>71</v>
      </c>
    </row>
    <row r="60" ht="15.75" customHeight="1">
      <c r="A60" s="25" t="s">
        <v>816</v>
      </c>
      <c r="B60" s="25" t="s">
        <v>110</v>
      </c>
      <c r="C60" s="26">
        <v>44136.0</v>
      </c>
      <c r="D60" s="27" t="s">
        <v>112</v>
      </c>
      <c r="E60" s="21">
        <v>1.0</v>
      </c>
      <c r="F60" s="21">
        <v>30000.0</v>
      </c>
      <c r="G60" s="21">
        <f t="shared" si="1"/>
        <v>30000</v>
      </c>
      <c r="H60" s="21" t="s">
        <v>758</v>
      </c>
      <c r="I60" s="21" t="s">
        <v>550</v>
      </c>
      <c r="J60" s="25" t="s">
        <v>71</v>
      </c>
    </row>
    <row r="61" ht="15.75" customHeight="1">
      <c r="A61" s="25" t="s">
        <v>819</v>
      </c>
      <c r="B61" s="25" t="s">
        <v>110</v>
      </c>
      <c r="C61" s="26">
        <v>44166.0</v>
      </c>
      <c r="D61" s="27" t="s">
        <v>112</v>
      </c>
      <c r="E61" s="21">
        <v>1.0</v>
      </c>
      <c r="F61" s="21">
        <v>30000.0</v>
      </c>
      <c r="G61" s="21">
        <f t="shared" si="1"/>
        <v>30000</v>
      </c>
      <c r="H61" s="21" t="s">
        <v>758</v>
      </c>
      <c r="I61" s="21" t="s">
        <v>550</v>
      </c>
      <c r="J61" s="25" t="s">
        <v>71</v>
      </c>
    </row>
    <row r="62" ht="15.75" customHeight="1">
      <c r="A62" s="25" t="s">
        <v>824</v>
      </c>
      <c r="B62" s="25" t="s">
        <v>124</v>
      </c>
      <c r="C62" s="26">
        <v>43831.0</v>
      </c>
      <c r="D62" s="27" t="s">
        <v>125</v>
      </c>
      <c r="E62" s="21">
        <v>1.0</v>
      </c>
      <c r="F62" s="21">
        <v>49500.0</v>
      </c>
      <c r="G62" s="21">
        <f t="shared" si="1"/>
        <v>49500</v>
      </c>
      <c r="H62" s="21" t="s">
        <v>549</v>
      </c>
      <c r="I62" s="21" t="s">
        <v>550</v>
      </c>
      <c r="J62" s="25" t="s">
        <v>71</v>
      </c>
    </row>
    <row r="63" ht="15.75" customHeight="1">
      <c r="A63" s="25" t="s">
        <v>827</v>
      </c>
      <c r="B63" s="25" t="s">
        <v>124</v>
      </c>
      <c r="C63" s="26">
        <v>43862.0</v>
      </c>
      <c r="D63" s="27" t="s">
        <v>125</v>
      </c>
      <c r="E63" s="21">
        <v>0.0</v>
      </c>
      <c r="F63" s="21">
        <v>49500.0</v>
      </c>
      <c r="G63" s="21">
        <f t="shared" si="1"/>
        <v>0</v>
      </c>
      <c r="H63" s="21" t="s">
        <v>549</v>
      </c>
      <c r="I63" s="21" t="s">
        <v>550</v>
      </c>
      <c r="J63" s="25" t="s">
        <v>71</v>
      </c>
    </row>
    <row r="64" ht="15.75" customHeight="1">
      <c r="A64" s="25" t="s">
        <v>831</v>
      </c>
      <c r="B64" s="25" t="s">
        <v>124</v>
      </c>
      <c r="C64" s="26">
        <v>43891.0</v>
      </c>
      <c r="D64" s="27" t="s">
        <v>125</v>
      </c>
      <c r="E64" s="21">
        <v>1.0</v>
      </c>
      <c r="F64" s="21">
        <v>49500.0</v>
      </c>
      <c r="G64" s="21">
        <f t="shared" si="1"/>
        <v>49500</v>
      </c>
      <c r="H64" s="21" t="s">
        <v>549</v>
      </c>
      <c r="I64" s="21" t="s">
        <v>550</v>
      </c>
      <c r="J64" s="25" t="s">
        <v>71</v>
      </c>
    </row>
    <row r="65" ht="15.75" customHeight="1">
      <c r="A65" s="25" t="s">
        <v>834</v>
      </c>
      <c r="B65" s="25" t="s">
        <v>124</v>
      </c>
      <c r="C65" s="26">
        <v>43922.0</v>
      </c>
      <c r="D65" s="27" t="s">
        <v>125</v>
      </c>
      <c r="E65" s="21">
        <v>1.0</v>
      </c>
      <c r="F65" s="21">
        <v>49500.0</v>
      </c>
      <c r="G65" s="21">
        <f t="shared" si="1"/>
        <v>49500</v>
      </c>
      <c r="H65" s="21" t="s">
        <v>549</v>
      </c>
      <c r="I65" s="21" t="s">
        <v>550</v>
      </c>
      <c r="J65" s="25" t="s">
        <v>71</v>
      </c>
    </row>
    <row r="66" ht="15.75" customHeight="1">
      <c r="A66" s="25" t="s">
        <v>839</v>
      </c>
      <c r="B66" s="25" t="s">
        <v>124</v>
      </c>
      <c r="C66" s="26">
        <v>43952.0</v>
      </c>
      <c r="D66" s="27" t="s">
        <v>125</v>
      </c>
      <c r="E66" s="21">
        <v>1.0</v>
      </c>
      <c r="F66" s="21">
        <v>49500.0</v>
      </c>
      <c r="G66" s="21">
        <f t="shared" si="1"/>
        <v>49500</v>
      </c>
      <c r="H66" s="21" t="s">
        <v>549</v>
      </c>
      <c r="I66" s="21" t="s">
        <v>550</v>
      </c>
      <c r="J66" s="25" t="s">
        <v>71</v>
      </c>
    </row>
    <row r="67" ht="15.75" customHeight="1">
      <c r="A67" s="25" t="s">
        <v>845</v>
      </c>
      <c r="B67" s="25" t="s">
        <v>124</v>
      </c>
      <c r="C67" s="26">
        <v>43983.0</v>
      </c>
      <c r="D67" s="27" t="s">
        <v>125</v>
      </c>
      <c r="E67" s="21">
        <v>0.0</v>
      </c>
      <c r="F67" s="21">
        <v>49500.0</v>
      </c>
      <c r="G67" s="21">
        <f t="shared" si="1"/>
        <v>0</v>
      </c>
      <c r="H67" s="21" t="s">
        <v>549</v>
      </c>
      <c r="I67" s="21" t="s">
        <v>550</v>
      </c>
      <c r="J67" s="25" t="s">
        <v>71</v>
      </c>
    </row>
    <row r="68" ht="15.75" customHeight="1">
      <c r="A68" s="25" t="s">
        <v>851</v>
      </c>
      <c r="B68" s="25" t="s">
        <v>124</v>
      </c>
      <c r="C68" s="26">
        <v>44013.0</v>
      </c>
      <c r="D68" s="27" t="s">
        <v>125</v>
      </c>
      <c r="E68" s="21">
        <v>1.0</v>
      </c>
      <c r="F68" s="21">
        <v>49500.0</v>
      </c>
      <c r="G68" s="21">
        <f t="shared" si="1"/>
        <v>49500</v>
      </c>
      <c r="H68" s="21" t="s">
        <v>549</v>
      </c>
      <c r="I68" s="21" t="s">
        <v>550</v>
      </c>
      <c r="J68" s="25" t="s">
        <v>71</v>
      </c>
    </row>
    <row r="69" ht="15.75" customHeight="1">
      <c r="A69" s="25" t="s">
        <v>856</v>
      </c>
      <c r="B69" s="25" t="s">
        <v>124</v>
      </c>
      <c r="C69" s="26">
        <v>44044.0</v>
      </c>
      <c r="D69" s="27" t="s">
        <v>125</v>
      </c>
      <c r="E69" s="21">
        <v>0.0</v>
      </c>
      <c r="F69" s="21">
        <v>49500.0</v>
      </c>
      <c r="G69" s="21">
        <f t="shared" si="1"/>
        <v>0</v>
      </c>
      <c r="H69" s="21" t="s">
        <v>549</v>
      </c>
      <c r="I69" s="21" t="s">
        <v>550</v>
      </c>
      <c r="J69" s="25" t="s">
        <v>71</v>
      </c>
    </row>
    <row r="70" ht="15.75" customHeight="1">
      <c r="A70" s="25" t="s">
        <v>861</v>
      </c>
      <c r="B70" s="25" t="s">
        <v>124</v>
      </c>
      <c r="C70" s="26">
        <v>44075.0</v>
      </c>
      <c r="D70" s="27" t="s">
        <v>125</v>
      </c>
      <c r="E70" s="21">
        <v>1.0</v>
      </c>
      <c r="F70" s="21">
        <v>49500.0</v>
      </c>
      <c r="G70" s="21">
        <f t="shared" si="1"/>
        <v>49500</v>
      </c>
      <c r="H70" s="21" t="s">
        <v>549</v>
      </c>
      <c r="I70" s="21" t="s">
        <v>550</v>
      </c>
      <c r="J70" s="25" t="s">
        <v>71</v>
      </c>
    </row>
    <row r="71" ht="15.75" customHeight="1">
      <c r="A71" s="25" t="s">
        <v>867</v>
      </c>
      <c r="B71" s="25" t="s">
        <v>124</v>
      </c>
      <c r="C71" s="26">
        <v>44105.0</v>
      </c>
      <c r="D71" s="27" t="s">
        <v>125</v>
      </c>
      <c r="E71" s="21">
        <v>1.0</v>
      </c>
      <c r="F71" s="21">
        <v>49500.0</v>
      </c>
      <c r="G71" s="21">
        <f t="shared" si="1"/>
        <v>49500</v>
      </c>
      <c r="H71" s="21" t="s">
        <v>549</v>
      </c>
      <c r="I71" s="21" t="s">
        <v>550</v>
      </c>
      <c r="J71" s="25" t="s">
        <v>71</v>
      </c>
    </row>
    <row r="72" ht="15.75" customHeight="1">
      <c r="A72" s="25" t="s">
        <v>875</v>
      </c>
      <c r="B72" s="25" t="s">
        <v>124</v>
      </c>
      <c r="C72" s="26">
        <v>44136.0</v>
      </c>
      <c r="D72" s="27" t="s">
        <v>125</v>
      </c>
      <c r="E72" s="21">
        <v>1.0</v>
      </c>
      <c r="F72" s="21">
        <v>49500.0</v>
      </c>
      <c r="G72" s="21">
        <f t="shared" si="1"/>
        <v>49500</v>
      </c>
      <c r="H72" s="21" t="s">
        <v>549</v>
      </c>
      <c r="I72" s="21" t="s">
        <v>550</v>
      </c>
      <c r="J72" s="25" t="s">
        <v>71</v>
      </c>
    </row>
    <row r="73" ht="15.75" customHeight="1">
      <c r="A73" s="25" t="s">
        <v>880</v>
      </c>
      <c r="B73" s="25" t="s">
        <v>124</v>
      </c>
      <c r="C73" s="26">
        <v>44166.0</v>
      </c>
      <c r="D73" s="27" t="s">
        <v>125</v>
      </c>
      <c r="E73" s="21">
        <v>1.0</v>
      </c>
      <c r="F73" s="21">
        <v>49500.0</v>
      </c>
      <c r="G73" s="21">
        <f t="shared" si="1"/>
        <v>49500</v>
      </c>
      <c r="H73" s="21" t="s">
        <v>549</v>
      </c>
      <c r="I73" s="21" t="s">
        <v>550</v>
      </c>
      <c r="J73" s="25" t="s">
        <v>71</v>
      </c>
    </row>
    <row r="74" ht="15.75" customHeight="1">
      <c r="A74" s="25" t="s">
        <v>883</v>
      </c>
      <c r="B74" s="25" t="s">
        <v>139</v>
      </c>
      <c r="C74" s="26">
        <v>43831.0</v>
      </c>
      <c r="D74" s="27" t="s">
        <v>140</v>
      </c>
      <c r="E74" s="21">
        <v>0.0</v>
      </c>
      <c r="F74" s="21">
        <v>30000.0</v>
      </c>
      <c r="G74" s="21">
        <f t="shared" si="1"/>
        <v>0</v>
      </c>
      <c r="H74" s="21" t="s">
        <v>758</v>
      </c>
      <c r="I74" s="21" t="s">
        <v>550</v>
      </c>
      <c r="J74" s="25" t="s">
        <v>71</v>
      </c>
    </row>
    <row r="75" ht="15.75" customHeight="1">
      <c r="A75" s="25" t="s">
        <v>886</v>
      </c>
      <c r="B75" s="25" t="s">
        <v>139</v>
      </c>
      <c r="C75" s="26">
        <v>43862.0</v>
      </c>
      <c r="D75" s="27" t="s">
        <v>140</v>
      </c>
      <c r="E75" s="21">
        <v>0.0</v>
      </c>
      <c r="F75" s="21">
        <v>30000.0</v>
      </c>
      <c r="G75" s="21">
        <f t="shared" si="1"/>
        <v>0</v>
      </c>
      <c r="H75" s="21" t="s">
        <v>758</v>
      </c>
      <c r="I75" s="21" t="s">
        <v>550</v>
      </c>
      <c r="J75" s="25" t="s">
        <v>71</v>
      </c>
    </row>
    <row r="76" ht="15.75" customHeight="1">
      <c r="A76" s="25" t="s">
        <v>890</v>
      </c>
      <c r="B76" s="25" t="s">
        <v>139</v>
      </c>
      <c r="C76" s="26">
        <v>43891.0</v>
      </c>
      <c r="D76" s="27" t="s">
        <v>140</v>
      </c>
      <c r="E76" s="21">
        <v>1.0</v>
      </c>
      <c r="F76" s="21">
        <v>30000.0</v>
      </c>
      <c r="G76" s="21">
        <f t="shared" si="1"/>
        <v>30000</v>
      </c>
      <c r="H76" s="21" t="s">
        <v>758</v>
      </c>
      <c r="I76" s="21" t="s">
        <v>550</v>
      </c>
      <c r="J76" s="25" t="s">
        <v>71</v>
      </c>
    </row>
    <row r="77" ht="15.75" customHeight="1">
      <c r="A77" s="25" t="s">
        <v>897</v>
      </c>
      <c r="B77" s="25" t="s">
        <v>139</v>
      </c>
      <c r="C77" s="26">
        <v>43922.0</v>
      </c>
      <c r="D77" s="27" t="s">
        <v>140</v>
      </c>
      <c r="E77" s="21">
        <v>0.0</v>
      </c>
      <c r="F77" s="21">
        <v>30000.0</v>
      </c>
      <c r="G77" s="21">
        <f t="shared" si="1"/>
        <v>0</v>
      </c>
      <c r="H77" s="21" t="s">
        <v>758</v>
      </c>
      <c r="I77" s="21" t="s">
        <v>550</v>
      </c>
      <c r="J77" s="25" t="s">
        <v>71</v>
      </c>
    </row>
    <row r="78" ht="15.75" customHeight="1">
      <c r="A78" s="25" t="s">
        <v>904</v>
      </c>
      <c r="B78" s="25" t="s">
        <v>139</v>
      </c>
      <c r="C78" s="26">
        <v>43952.0</v>
      </c>
      <c r="D78" s="27" t="s">
        <v>140</v>
      </c>
      <c r="E78" s="21">
        <v>0.0</v>
      </c>
      <c r="F78" s="21">
        <v>30000.0</v>
      </c>
      <c r="G78" s="21">
        <f t="shared" si="1"/>
        <v>0</v>
      </c>
      <c r="H78" s="21" t="s">
        <v>758</v>
      </c>
      <c r="I78" s="21" t="s">
        <v>550</v>
      </c>
      <c r="J78" s="25" t="s">
        <v>71</v>
      </c>
    </row>
    <row r="79" ht="15.75" customHeight="1">
      <c r="A79" s="25" t="s">
        <v>910</v>
      </c>
      <c r="B79" s="25" t="s">
        <v>139</v>
      </c>
      <c r="C79" s="26">
        <v>43983.0</v>
      </c>
      <c r="D79" s="27" t="s">
        <v>140</v>
      </c>
      <c r="E79" s="21">
        <v>0.0</v>
      </c>
      <c r="F79" s="21">
        <v>30000.0</v>
      </c>
      <c r="G79" s="21">
        <f t="shared" si="1"/>
        <v>0</v>
      </c>
      <c r="H79" s="21" t="s">
        <v>758</v>
      </c>
      <c r="I79" s="21" t="s">
        <v>550</v>
      </c>
      <c r="J79" s="25" t="s">
        <v>71</v>
      </c>
    </row>
    <row r="80" ht="15.75" customHeight="1">
      <c r="A80" s="25" t="s">
        <v>913</v>
      </c>
      <c r="B80" s="25" t="s">
        <v>139</v>
      </c>
      <c r="C80" s="26">
        <v>44013.0</v>
      </c>
      <c r="D80" s="27" t="s">
        <v>140</v>
      </c>
      <c r="E80" s="21">
        <v>1.0</v>
      </c>
      <c r="F80" s="21">
        <v>30000.0</v>
      </c>
      <c r="G80" s="21">
        <f t="shared" si="1"/>
        <v>30000</v>
      </c>
      <c r="H80" s="21" t="s">
        <v>758</v>
      </c>
      <c r="I80" s="21" t="s">
        <v>550</v>
      </c>
      <c r="J80" s="25" t="s">
        <v>71</v>
      </c>
    </row>
    <row r="81" ht="15.75" customHeight="1">
      <c r="A81" s="25" t="s">
        <v>915</v>
      </c>
      <c r="B81" s="25" t="s">
        <v>139</v>
      </c>
      <c r="C81" s="26">
        <v>44044.0</v>
      </c>
      <c r="D81" s="27" t="s">
        <v>140</v>
      </c>
      <c r="E81" s="21">
        <v>0.0</v>
      </c>
      <c r="F81" s="21">
        <v>30000.0</v>
      </c>
      <c r="G81" s="21">
        <f t="shared" si="1"/>
        <v>0</v>
      </c>
      <c r="H81" s="21" t="s">
        <v>758</v>
      </c>
      <c r="I81" s="21" t="s">
        <v>550</v>
      </c>
      <c r="J81" s="25" t="s">
        <v>71</v>
      </c>
    </row>
    <row r="82" ht="15.75" customHeight="1">
      <c r="A82" s="25" t="s">
        <v>918</v>
      </c>
      <c r="B82" s="25" t="s">
        <v>139</v>
      </c>
      <c r="C82" s="26">
        <v>44075.0</v>
      </c>
      <c r="D82" s="27" t="s">
        <v>140</v>
      </c>
      <c r="E82" s="21">
        <v>0.0</v>
      </c>
      <c r="F82" s="21">
        <v>30000.0</v>
      </c>
      <c r="G82" s="21">
        <f t="shared" si="1"/>
        <v>0</v>
      </c>
      <c r="H82" s="21" t="s">
        <v>758</v>
      </c>
      <c r="I82" s="21" t="s">
        <v>550</v>
      </c>
      <c r="J82" s="25" t="s">
        <v>71</v>
      </c>
    </row>
    <row r="83" ht="15.75" customHeight="1">
      <c r="A83" s="25" t="s">
        <v>923</v>
      </c>
      <c r="B83" s="25" t="s">
        <v>139</v>
      </c>
      <c r="C83" s="26">
        <v>44105.0</v>
      </c>
      <c r="D83" s="27" t="s">
        <v>140</v>
      </c>
      <c r="E83" s="21">
        <v>1.0</v>
      </c>
      <c r="F83" s="21">
        <v>30000.0</v>
      </c>
      <c r="G83" s="21">
        <f t="shared" si="1"/>
        <v>30000</v>
      </c>
      <c r="H83" s="21" t="s">
        <v>758</v>
      </c>
      <c r="I83" s="21" t="s">
        <v>550</v>
      </c>
      <c r="J83" s="25" t="s">
        <v>71</v>
      </c>
    </row>
    <row r="84" ht="15.75" customHeight="1">
      <c r="A84" s="25" t="s">
        <v>926</v>
      </c>
      <c r="B84" s="25" t="s">
        <v>139</v>
      </c>
      <c r="C84" s="26">
        <v>44136.0</v>
      </c>
      <c r="D84" s="27" t="s">
        <v>140</v>
      </c>
      <c r="E84" s="21">
        <v>0.0</v>
      </c>
      <c r="F84" s="21">
        <v>30000.0</v>
      </c>
      <c r="G84" s="21">
        <f t="shared" si="1"/>
        <v>0</v>
      </c>
      <c r="H84" s="21" t="s">
        <v>758</v>
      </c>
      <c r="I84" s="21" t="s">
        <v>550</v>
      </c>
      <c r="J84" s="25" t="s">
        <v>71</v>
      </c>
    </row>
    <row r="85" ht="15.75" customHeight="1">
      <c r="A85" s="25" t="s">
        <v>928</v>
      </c>
      <c r="B85" s="25" t="s">
        <v>139</v>
      </c>
      <c r="C85" s="26">
        <v>44166.0</v>
      </c>
      <c r="D85" s="27" t="s">
        <v>140</v>
      </c>
      <c r="E85" s="21">
        <v>0.0</v>
      </c>
      <c r="F85" s="21">
        <v>30000.0</v>
      </c>
      <c r="G85" s="21">
        <f t="shared" si="1"/>
        <v>0</v>
      </c>
      <c r="H85" s="21" t="s">
        <v>758</v>
      </c>
      <c r="I85" s="21" t="s">
        <v>550</v>
      </c>
      <c r="J85" s="25" t="s">
        <v>71</v>
      </c>
    </row>
    <row r="86" ht="15.75" customHeight="1">
      <c r="A86" s="25" t="s">
        <v>930</v>
      </c>
      <c r="B86" s="25" t="s">
        <v>150</v>
      </c>
      <c r="C86" s="26">
        <v>43831.0</v>
      </c>
      <c r="D86" s="27" t="s">
        <v>151</v>
      </c>
      <c r="E86" s="21">
        <v>0.0</v>
      </c>
      <c r="F86" s="21">
        <v>30000.0</v>
      </c>
      <c r="G86" s="21">
        <f t="shared" si="1"/>
        <v>0</v>
      </c>
      <c r="H86" s="21" t="s">
        <v>758</v>
      </c>
      <c r="I86" s="21" t="s">
        <v>550</v>
      </c>
      <c r="J86" s="25" t="s">
        <v>71</v>
      </c>
    </row>
    <row r="87" ht="15.75" customHeight="1">
      <c r="A87" s="25" t="s">
        <v>935</v>
      </c>
      <c r="B87" s="25" t="s">
        <v>150</v>
      </c>
      <c r="C87" s="26">
        <v>43862.0</v>
      </c>
      <c r="D87" s="27" t="s">
        <v>151</v>
      </c>
      <c r="E87" s="21">
        <v>0.0</v>
      </c>
      <c r="F87" s="21">
        <v>30000.0</v>
      </c>
      <c r="G87" s="21">
        <f t="shared" si="1"/>
        <v>0</v>
      </c>
      <c r="H87" s="21" t="s">
        <v>758</v>
      </c>
      <c r="I87" s="21" t="s">
        <v>550</v>
      </c>
      <c r="J87" s="25" t="s">
        <v>71</v>
      </c>
    </row>
    <row r="88" ht="15.75" customHeight="1">
      <c r="A88" s="25" t="s">
        <v>938</v>
      </c>
      <c r="B88" s="25" t="s">
        <v>150</v>
      </c>
      <c r="C88" s="26">
        <v>43891.0</v>
      </c>
      <c r="D88" s="27" t="s">
        <v>151</v>
      </c>
      <c r="E88" s="21">
        <v>1.0</v>
      </c>
      <c r="F88" s="21">
        <v>30000.0</v>
      </c>
      <c r="G88" s="21">
        <f t="shared" si="1"/>
        <v>30000</v>
      </c>
      <c r="H88" s="21" t="s">
        <v>758</v>
      </c>
      <c r="I88" s="21" t="s">
        <v>550</v>
      </c>
      <c r="J88" s="25" t="s">
        <v>71</v>
      </c>
    </row>
    <row r="89" ht="15.75" customHeight="1">
      <c r="A89" s="25" t="s">
        <v>940</v>
      </c>
      <c r="B89" s="25" t="s">
        <v>150</v>
      </c>
      <c r="C89" s="26">
        <v>43922.0</v>
      </c>
      <c r="D89" s="27" t="s">
        <v>151</v>
      </c>
      <c r="E89" s="21">
        <v>0.0</v>
      </c>
      <c r="F89" s="21">
        <v>30000.0</v>
      </c>
      <c r="G89" s="21">
        <f t="shared" si="1"/>
        <v>0</v>
      </c>
      <c r="H89" s="21" t="s">
        <v>758</v>
      </c>
      <c r="I89" s="21" t="s">
        <v>550</v>
      </c>
      <c r="J89" s="25" t="s">
        <v>71</v>
      </c>
    </row>
    <row r="90" ht="15.75" customHeight="1">
      <c r="A90" s="25" t="s">
        <v>944</v>
      </c>
      <c r="B90" s="25" t="s">
        <v>150</v>
      </c>
      <c r="C90" s="26">
        <v>43952.0</v>
      </c>
      <c r="D90" s="27" t="s">
        <v>151</v>
      </c>
      <c r="E90" s="21">
        <v>0.0</v>
      </c>
      <c r="F90" s="21">
        <v>30000.0</v>
      </c>
      <c r="G90" s="21">
        <f t="shared" si="1"/>
        <v>0</v>
      </c>
      <c r="H90" s="21" t="s">
        <v>758</v>
      </c>
      <c r="I90" s="21" t="s">
        <v>550</v>
      </c>
      <c r="J90" s="25" t="s">
        <v>71</v>
      </c>
    </row>
    <row r="91" ht="15.75" customHeight="1">
      <c r="A91" s="25" t="s">
        <v>949</v>
      </c>
      <c r="B91" s="25" t="s">
        <v>150</v>
      </c>
      <c r="C91" s="26">
        <v>43983.0</v>
      </c>
      <c r="D91" s="27" t="s">
        <v>151</v>
      </c>
      <c r="E91" s="21">
        <v>0.0</v>
      </c>
      <c r="F91" s="21">
        <v>30000.0</v>
      </c>
      <c r="G91" s="21">
        <f t="shared" si="1"/>
        <v>0</v>
      </c>
      <c r="H91" s="21" t="s">
        <v>758</v>
      </c>
      <c r="I91" s="21" t="s">
        <v>550</v>
      </c>
      <c r="J91" s="25" t="s">
        <v>71</v>
      </c>
    </row>
    <row r="92" ht="15.75" customHeight="1">
      <c r="A92" s="25" t="s">
        <v>954</v>
      </c>
      <c r="B92" s="25" t="s">
        <v>150</v>
      </c>
      <c r="C92" s="26">
        <v>44013.0</v>
      </c>
      <c r="D92" s="27" t="s">
        <v>151</v>
      </c>
      <c r="E92" s="21">
        <v>1.0</v>
      </c>
      <c r="F92" s="21">
        <v>30000.0</v>
      </c>
      <c r="G92" s="21">
        <f t="shared" si="1"/>
        <v>30000</v>
      </c>
      <c r="H92" s="21" t="s">
        <v>758</v>
      </c>
      <c r="I92" s="21" t="s">
        <v>550</v>
      </c>
      <c r="J92" s="25" t="s">
        <v>71</v>
      </c>
    </row>
    <row r="93" ht="15.75" customHeight="1">
      <c r="A93" s="25" t="s">
        <v>960</v>
      </c>
      <c r="B93" s="25" t="s">
        <v>150</v>
      </c>
      <c r="C93" s="26">
        <v>44044.0</v>
      </c>
      <c r="D93" s="27" t="s">
        <v>151</v>
      </c>
      <c r="E93" s="21">
        <v>0.0</v>
      </c>
      <c r="F93" s="21">
        <v>30000.0</v>
      </c>
      <c r="G93" s="21">
        <f t="shared" si="1"/>
        <v>0</v>
      </c>
      <c r="H93" s="21" t="s">
        <v>758</v>
      </c>
      <c r="I93" s="21" t="s">
        <v>550</v>
      </c>
      <c r="J93" s="25" t="s">
        <v>71</v>
      </c>
    </row>
    <row r="94" ht="15.75" customHeight="1">
      <c r="A94" s="25" t="s">
        <v>965</v>
      </c>
      <c r="B94" s="25" t="s">
        <v>150</v>
      </c>
      <c r="C94" s="26">
        <v>44075.0</v>
      </c>
      <c r="D94" s="27" t="s">
        <v>151</v>
      </c>
      <c r="E94" s="21">
        <v>0.0</v>
      </c>
      <c r="F94" s="21">
        <v>30000.0</v>
      </c>
      <c r="G94" s="21">
        <f t="shared" si="1"/>
        <v>0</v>
      </c>
      <c r="H94" s="21" t="s">
        <v>758</v>
      </c>
      <c r="I94" s="21" t="s">
        <v>550</v>
      </c>
      <c r="J94" s="25" t="s">
        <v>71</v>
      </c>
    </row>
    <row r="95" ht="15.75" customHeight="1">
      <c r="A95" s="25" t="s">
        <v>974</v>
      </c>
      <c r="B95" s="25" t="s">
        <v>150</v>
      </c>
      <c r="C95" s="26">
        <v>44105.0</v>
      </c>
      <c r="D95" s="27" t="s">
        <v>151</v>
      </c>
      <c r="E95" s="21">
        <v>1.0</v>
      </c>
      <c r="F95" s="21">
        <v>30000.0</v>
      </c>
      <c r="G95" s="21">
        <f t="shared" si="1"/>
        <v>30000</v>
      </c>
      <c r="H95" s="21" t="s">
        <v>758</v>
      </c>
      <c r="I95" s="21" t="s">
        <v>550</v>
      </c>
      <c r="J95" s="25" t="s">
        <v>71</v>
      </c>
    </row>
    <row r="96" ht="15.75" customHeight="1">
      <c r="A96" s="25" t="s">
        <v>977</v>
      </c>
      <c r="B96" s="25" t="s">
        <v>150</v>
      </c>
      <c r="C96" s="26">
        <v>44136.0</v>
      </c>
      <c r="D96" s="27" t="s">
        <v>151</v>
      </c>
      <c r="E96" s="21">
        <v>0.0</v>
      </c>
      <c r="F96" s="21">
        <v>30000.0</v>
      </c>
      <c r="G96" s="21">
        <f t="shared" si="1"/>
        <v>0</v>
      </c>
      <c r="H96" s="21" t="s">
        <v>758</v>
      </c>
      <c r="I96" s="21" t="s">
        <v>550</v>
      </c>
      <c r="J96" s="25" t="s">
        <v>71</v>
      </c>
    </row>
    <row r="97" ht="15.75" customHeight="1">
      <c r="A97" s="25" t="s">
        <v>980</v>
      </c>
      <c r="B97" s="25" t="s">
        <v>150</v>
      </c>
      <c r="C97" s="26">
        <v>44166.0</v>
      </c>
      <c r="D97" s="27" t="s">
        <v>151</v>
      </c>
      <c r="E97" s="21">
        <v>0.0</v>
      </c>
      <c r="F97" s="21">
        <v>30000.0</v>
      </c>
      <c r="G97" s="21">
        <f t="shared" si="1"/>
        <v>0</v>
      </c>
      <c r="H97" s="21" t="s">
        <v>758</v>
      </c>
      <c r="I97" s="21" t="s">
        <v>550</v>
      </c>
      <c r="J97" s="25" t="s">
        <v>71</v>
      </c>
    </row>
    <row r="98" ht="15.75" customHeight="1">
      <c r="A98" s="25" t="s">
        <v>981</v>
      </c>
      <c r="B98" s="25" t="s">
        <v>163</v>
      </c>
      <c r="C98" s="26">
        <v>43831.0</v>
      </c>
      <c r="D98" s="27" t="s">
        <v>165</v>
      </c>
      <c r="E98" s="21">
        <v>0.0</v>
      </c>
      <c r="F98" s="21">
        <v>49500.0</v>
      </c>
      <c r="G98" s="21">
        <f t="shared" si="1"/>
        <v>0</v>
      </c>
      <c r="H98" s="21" t="s">
        <v>549</v>
      </c>
      <c r="I98" s="21" t="s">
        <v>550</v>
      </c>
      <c r="J98" s="25" t="s">
        <v>71</v>
      </c>
    </row>
    <row r="99" ht="15.75" customHeight="1">
      <c r="A99" s="25" t="s">
        <v>984</v>
      </c>
      <c r="B99" s="25" t="s">
        <v>163</v>
      </c>
      <c r="C99" s="26">
        <v>43862.0</v>
      </c>
      <c r="D99" s="27" t="s">
        <v>165</v>
      </c>
      <c r="E99" s="21">
        <v>0.0</v>
      </c>
      <c r="F99" s="21">
        <v>49500.0</v>
      </c>
      <c r="G99" s="21">
        <f t="shared" si="1"/>
        <v>0</v>
      </c>
      <c r="H99" s="21" t="s">
        <v>549</v>
      </c>
      <c r="I99" s="21" t="s">
        <v>550</v>
      </c>
      <c r="J99" s="25" t="s">
        <v>71</v>
      </c>
    </row>
    <row r="100" ht="15.75" customHeight="1">
      <c r="A100" s="25" t="s">
        <v>986</v>
      </c>
      <c r="B100" s="25" t="s">
        <v>163</v>
      </c>
      <c r="C100" s="26">
        <v>43891.0</v>
      </c>
      <c r="D100" s="27" t="s">
        <v>165</v>
      </c>
      <c r="E100" s="21">
        <v>1.0</v>
      </c>
      <c r="F100" s="21">
        <v>49500.0</v>
      </c>
      <c r="G100" s="21">
        <f t="shared" si="1"/>
        <v>49500</v>
      </c>
      <c r="H100" s="21" t="s">
        <v>549</v>
      </c>
      <c r="I100" s="21" t="s">
        <v>550</v>
      </c>
      <c r="J100" s="25" t="s">
        <v>71</v>
      </c>
    </row>
    <row r="101" ht="15.75" customHeight="1">
      <c r="A101" s="25" t="s">
        <v>988</v>
      </c>
      <c r="B101" s="25" t="s">
        <v>163</v>
      </c>
      <c r="C101" s="26">
        <v>43922.0</v>
      </c>
      <c r="D101" s="27" t="s">
        <v>165</v>
      </c>
      <c r="E101" s="21">
        <v>0.0</v>
      </c>
      <c r="F101" s="21">
        <v>49500.0</v>
      </c>
      <c r="G101" s="21">
        <f t="shared" si="1"/>
        <v>0</v>
      </c>
      <c r="H101" s="21" t="s">
        <v>549</v>
      </c>
      <c r="I101" s="21" t="s">
        <v>550</v>
      </c>
      <c r="J101" s="25" t="s">
        <v>71</v>
      </c>
    </row>
    <row r="102" ht="15.75" customHeight="1">
      <c r="A102" s="25" t="s">
        <v>990</v>
      </c>
      <c r="B102" s="25" t="s">
        <v>163</v>
      </c>
      <c r="C102" s="26">
        <v>43952.0</v>
      </c>
      <c r="D102" s="27" t="s">
        <v>165</v>
      </c>
      <c r="E102" s="21">
        <v>0.0</v>
      </c>
      <c r="F102" s="21">
        <v>49500.0</v>
      </c>
      <c r="G102" s="21">
        <f t="shared" si="1"/>
        <v>0</v>
      </c>
      <c r="H102" s="21" t="s">
        <v>549</v>
      </c>
      <c r="I102" s="21" t="s">
        <v>550</v>
      </c>
      <c r="J102" s="25" t="s">
        <v>71</v>
      </c>
    </row>
    <row r="103" ht="15.75" customHeight="1">
      <c r="A103" s="25" t="s">
        <v>992</v>
      </c>
      <c r="B103" s="25" t="s">
        <v>163</v>
      </c>
      <c r="C103" s="26">
        <v>43983.0</v>
      </c>
      <c r="D103" s="27" t="s">
        <v>165</v>
      </c>
      <c r="E103" s="21">
        <v>0.0</v>
      </c>
      <c r="F103" s="21">
        <v>49500.0</v>
      </c>
      <c r="G103" s="21">
        <f t="shared" si="1"/>
        <v>0</v>
      </c>
      <c r="H103" s="21" t="s">
        <v>549</v>
      </c>
      <c r="I103" s="21" t="s">
        <v>550</v>
      </c>
      <c r="J103" s="25" t="s">
        <v>71</v>
      </c>
    </row>
    <row r="104" ht="15.75" customHeight="1">
      <c r="A104" s="25" t="s">
        <v>995</v>
      </c>
      <c r="B104" s="25" t="s">
        <v>163</v>
      </c>
      <c r="C104" s="26">
        <v>44013.0</v>
      </c>
      <c r="D104" s="27" t="s">
        <v>165</v>
      </c>
      <c r="E104" s="21">
        <v>0.0</v>
      </c>
      <c r="F104" s="21">
        <v>49500.0</v>
      </c>
      <c r="G104" s="21">
        <f t="shared" si="1"/>
        <v>0</v>
      </c>
      <c r="H104" s="21" t="s">
        <v>549</v>
      </c>
      <c r="I104" s="21" t="s">
        <v>550</v>
      </c>
      <c r="J104" s="25" t="s">
        <v>71</v>
      </c>
    </row>
    <row r="105" ht="15.75" customHeight="1">
      <c r="A105" s="25" t="s">
        <v>997</v>
      </c>
      <c r="B105" s="25" t="s">
        <v>163</v>
      </c>
      <c r="C105" s="26">
        <v>44044.0</v>
      </c>
      <c r="D105" s="27" t="s">
        <v>165</v>
      </c>
      <c r="E105" s="21">
        <v>0.0</v>
      </c>
      <c r="F105" s="21">
        <v>49500.0</v>
      </c>
      <c r="G105" s="21">
        <f t="shared" si="1"/>
        <v>0</v>
      </c>
      <c r="H105" s="21" t="s">
        <v>549</v>
      </c>
      <c r="I105" s="21" t="s">
        <v>550</v>
      </c>
      <c r="J105" s="25" t="s">
        <v>71</v>
      </c>
    </row>
    <row r="106" ht="15.75" customHeight="1">
      <c r="A106" s="25" t="s">
        <v>999</v>
      </c>
      <c r="B106" s="25" t="s">
        <v>163</v>
      </c>
      <c r="C106" s="26">
        <v>44075.0</v>
      </c>
      <c r="D106" s="27" t="s">
        <v>165</v>
      </c>
      <c r="E106" s="21">
        <v>0.0</v>
      </c>
      <c r="F106" s="21">
        <v>49500.0</v>
      </c>
      <c r="G106" s="21">
        <f t="shared" si="1"/>
        <v>0</v>
      </c>
      <c r="H106" s="21" t="s">
        <v>549</v>
      </c>
      <c r="I106" s="21" t="s">
        <v>550</v>
      </c>
      <c r="J106" s="25" t="s">
        <v>71</v>
      </c>
    </row>
    <row r="107" ht="15.75" customHeight="1">
      <c r="A107" s="25" t="s">
        <v>1001</v>
      </c>
      <c r="B107" s="25" t="s">
        <v>163</v>
      </c>
      <c r="C107" s="26">
        <v>44105.0</v>
      </c>
      <c r="D107" s="27" t="s">
        <v>165</v>
      </c>
      <c r="E107" s="21">
        <v>1.0</v>
      </c>
      <c r="F107" s="21">
        <v>49500.0</v>
      </c>
      <c r="G107" s="21">
        <f t="shared" si="1"/>
        <v>49500</v>
      </c>
      <c r="H107" s="21" t="s">
        <v>549</v>
      </c>
      <c r="I107" s="21" t="s">
        <v>550</v>
      </c>
      <c r="J107" s="25" t="s">
        <v>71</v>
      </c>
    </row>
    <row r="108" ht="15.75" customHeight="1">
      <c r="A108" s="25" t="s">
        <v>1003</v>
      </c>
      <c r="B108" s="25" t="s">
        <v>163</v>
      </c>
      <c r="C108" s="26">
        <v>44136.0</v>
      </c>
      <c r="D108" s="27" t="s">
        <v>165</v>
      </c>
      <c r="E108" s="21">
        <v>0.0</v>
      </c>
      <c r="F108" s="21">
        <v>49500.0</v>
      </c>
      <c r="G108" s="21">
        <f t="shared" si="1"/>
        <v>0</v>
      </c>
      <c r="H108" s="21" t="s">
        <v>549</v>
      </c>
      <c r="I108" s="21" t="s">
        <v>550</v>
      </c>
      <c r="J108" s="25" t="s">
        <v>71</v>
      </c>
    </row>
    <row r="109" ht="15.75" customHeight="1">
      <c r="A109" s="25" t="s">
        <v>1005</v>
      </c>
      <c r="B109" s="25" t="s">
        <v>163</v>
      </c>
      <c r="C109" s="26">
        <v>44166.0</v>
      </c>
      <c r="D109" s="27" t="s">
        <v>165</v>
      </c>
      <c r="E109" s="21">
        <v>0.0</v>
      </c>
      <c r="F109" s="21">
        <v>49500.0</v>
      </c>
      <c r="G109" s="21">
        <f t="shared" si="1"/>
        <v>0</v>
      </c>
      <c r="H109" s="21" t="s">
        <v>549</v>
      </c>
      <c r="I109" s="21" t="s">
        <v>550</v>
      </c>
      <c r="J109" s="25" t="s">
        <v>71</v>
      </c>
    </row>
    <row r="110" ht="15.75" customHeight="1">
      <c r="A110" s="25" t="s">
        <v>1007</v>
      </c>
      <c r="B110" s="25" t="s">
        <v>175</v>
      </c>
      <c r="C110" s="26">
        <v>43831.0</v>
      </c>
      <c r="D110" s="27" t="s">
        <v>176</v>
      </c>
      <c r="E110" s="21">
        <v>1.0</v>
      </c>
      <c r="F110" s="21">
        <v>49500.0</v>
      </c>
      <c r="G110" s="21">
        <f t="shared" si="1"/>
        <v>49500</v>
      </c>
      <c r="H110" s="21" t="s">
        <v>549</v>
      </c>
      <c r="I110" s="21" t="s">
        <v>550</v>
      </c>
      <c r="J110" s="25" t="s">
        <v>71</v>
      </c>
    </row>
    <row r="111" ht="15.75" customHeight="1">
      <c r="A111" s="25" t="s">
        <v>1010</v>
      </c>
      <c r="B111" s="25" t="s">
        <v>175</v>
      </c>
      <c r="C111" s="26">
        <v>43862.0</v>
      </c>
      <c r="D111" s="27" t="s">
        <v>176</v>
      </c>
      <c r="E111" s="21">
        <v>1.0</v>
      </c>
      <c r="F111" s="21">
        <v>49500.0</v>
      </c>
      <c r="G111" s="21">
        <f t="shared" si="1"/>
        <v>49500</v>
      </c>
      <c r="H111" s="21" t="s">
        <v>549</v>
      </c>
      <c r="I111" s="21" t="s">
        <v>550</v>
      </c>
      <c r="J111" s="25" t="s">
        <v>71</v>
      </c>
    </row>
    <row r="112" ht="15.75" customHeight="1">
      <c r="A112" s="25" t="s">
        <v>1012</v>
      </c>
      <c r="B112" s="25" t="s">
        <v>175</v>
      </c>
      <c r="C112" s="26">
        <v>43891.0</v>
      </c>
      <c r="D112" s="27" t="s">
        <v>176</v>
      </c>
      <c r="E112" s="21">
        <v>2.0</v>
      </c>
      <c r="F112" s="21">
        <v>49500.0</v>
      </c>
      <c r="G112" s="21">
        <f t="shared" si="1"/>
        <v>99000</v>
      </c>
      <c r="H112" s="21" t="s">
        <v>549</v>
      </c>
      <c r="I112" s="21" t="s">
        <v>550</v>
      </c>
      <c r="J112" s="25" t="s">
        <v>71</v>
      </c>
    </row>
    <row r="113" ht="15.75" customHeight="1">
      <c r="A113" s="25" t="s">
        <v>1014</v>
      </c>
      <c r="B113" s="25" t="s">
        <v>175</v>
      </c>
      <c r="C113" s="26">
        <v>43922.0</v>
      </c>
      <c r="D113" s="27" t="s">
        <v>176</v>
      </c>
      <c r="E113" s="21">
        <v>1.0</v>
      </c>
      <c r="F113" s="21">
        <v>49500.0</v>
      </c>
      <c r="G113" s="21">
        <f t="shared" si="1"/>
        <v>49500</v>
      </c>
      <c r="H113" s="21" t="s">
        <v>549</v>
      </c>
      <c r="I113" s="21" t="s">
        <v>550</v>
      </c>
      <c r="J113" s="25" t="s">
        <v>71</v>
      </c>
    </row>
    <row r="114" ht="15.75" customHeight="1">
      <c r="A114" s="25" t="s">
        <v>1016</v>
      </c>
      <c r="B114" s="25" t="s">
        <v>175</v>
      </c>
      <c r="C114" s="26">
        <v>43952.0</v>
      </c>
      <c r="D114" s="27" t="s">
        <v>176</v>
      </c>
      <c r="E114" s="21">
        <v>1.0</v>
      </c>
      <c r="F114" s="21">
        <v>49500.0</v>
      </c>
      <c r="G114" s="21">
        <f t="shared" si="1"/>
        <v>49500</v>
      </c>
      <c r="H114" s="21" t="s">
        <v>549</v>
      </c>
      <c r="I114" s="21" t="s">
        <v>550</v>
      </c>
      <c r="J114" s="25" t="s">
        <v>71</v>
      </c>
    </row>
    <row r="115" ht="15.75" customHeight="1">
      <c r="A115" s="25" t="s">
        <v>1018</v>
      </c>
      <c r="B115" s="25" t="s">
        <v>175</v>
      </c>
      <c r="C115" s="26">
        <v>43983.0</v>
      </c>
      <c r="D115" s="27" t="s">
        <v>176</v>
      </c>
      <c r="E115" s="21">
        <v>1.0</v>
      </c>
      <c r="F115" s="21">
        <v>49500.0</v>
      </c>
      <c r="G115" s="21">
        <f t="shared" si="1"/>
        <v>49500</v>
      </c>
      <c r="H115" s="21" t="s">
        <v>549</v>
      </c>
      <c r="I115" s="21" t="s">
        <v>550</v>
      </c>
      <c r="J115" s="25" t="s">
        <v>71</v>
      </c>
    </row>
    <row r="116" ht="15.75" customHeight="1">
      <c r="A116" s="25" t="s">
        <v>1020</v>
      </c>
      <c r="B116" s="25" t="s">
        <v>175</v>
      </c>
      <c r="C116" s="26">
        <v>44013.0</v>
      </c>
      <c r="D116" s="27" t="s">
        <v>176</v>
      </c>
      <c r="E116" s="21">
        <v>1.0</v>
      </c>
      <c r="F116" s="21">
        <v>49500.0</v>
      </c>
      <c r="G116" s="21">
        <f t="shared" si="1"/>
        <v>49500</v>
      </c>
      <c r="H116" s="21" t="s">
        <v>549</v>
      </c>
      <c r="I116" s="21" t="s">
        <v>550</v>
      </c>
      <c r="J116" s="25" t="s">
        <v>71</v>
      </c>
    </row>
    <row r="117" ht="15.75" customHeight="1">
      <c r="A117" s="25" t="s">
        <v>1023</v>
      </c>
      <c r="B117" s="25" t="s">
        <v>175</v>
      </c>
      <c r="C117" s="26">
        <v>44044.0</v>
      </c>
      <c r="D117" s="27" t="s">
        <v>176</v>
      </c>
      <c r="E117" s="21">
        <v>1.0</v>
      </c>
      <c r="F117" s="21">
        <v>49500.0</v>
      </c>
      <c r="G117" s="21">
        <f t="shared" si="1"/>
        <v>49500</v>
      </c>
      <c r="H117" s="21" t="s">
        <v>549</v>
      </c>
      <c r="I117" s="21" t="s">
        <v>550</v>
      </c>
      <c r="J117" s="25" t="s">
        <v>71</v>
      </c>
    </row>
    <row r="118" ht="15.75" customHeight="1">
      <c r="A118" s="25" t="s">
        <v>1025</v>
      </c>
      <c r="B118" s="25" t="s">
        <v>175</v>
      </c>
      <c r="C118" s="26">
        <v>44075.0</v>
      </c>
      <c r="D118" s="27" t="s">
        <v>176</v>
      </c>
      <c r="E118" s="21">
        <v>1.0</v>
      </c>
      <c r="F118" s="21">
        <v>49500.0</v>
      </c>
      <c r="G118" s="21">
        <f t="shared" si="1"/>
        <v>49500</v>
      </c>
      <c r="H118" s="21" t="s">
        <v>549</v>
      </c>
      <c r="I118" s="21" t="s">
        <v>550</v>
      </c>
      <c r="J118" s="25" t="s">
        <v>71</v>
      </c>
    </row>
    <row r="119" ht="15.75" customHeight="1">
      <c r="A119" s="25" t="s">
        <v>1027</v>
      </c>
      <c r="B119" s="25" t="s">
        <v>175</v>
      </c>
      <c r="C119" s="26">
        <v>44105.0</v>
      </c>
      <c r="D119" s="27" t="s">
        <v>176</v>
      </c>
      <c r="E119" s="21">
        <v>1.0</v>
      </c>
      <c r="F119" s="21">
        <v>49500.0</v>
      </c>
      <c r="G119" s="21">
        <f t="shared" si="1"/>
        <v>49500</v>
      </c>
      <c r="H119" s="21" t="s">
        <v>549</v>
      </c>
      <c r="I119" s="21" t="s">
        <v>550</v>
      </c>
      <c r="J119" s="25" t="s">
        <v>71</v>
      </c>
    </row>
    <row r="120" ht="15.75" customHeight="1">
      <c r="A120" s="25" t="s">
        <v>1029</v>
      </c>
      <c r="B120" s="25" t="s">
        <v>175</v>
      </c>
      <c r="C120" s="26">
        <v>44136.0</v>
      </c>
      <c r="D120" s="27" t="s">
        <v>176</v>
      </c>
      <c r="E120" s="21">
        <v>1.0</v>
      </c>
      <c r="F120" s="21">
        <v>49500.0</v>
      </c>
      <c r="G120" s="21">
        <f t="shared" si="1"/>
        <v>49500</v>
      </c>
      <c r="H120" s="21" t="s">
        <v>549</v>
      </c>
      <c r="I120" s="21" t="s">
        <v>550</v>
      </c>
      <c r="J120" s="25" t="s">
        <v>71</v>
      </c>
    </row>
    <row r="121" ht="15.75" customHeight="1">
      <c r="A121" s="25" t="s">
        <v>1031</v>
      </c>
      <c r="B121" s="25" t="s">
        <v>175</v>
      </c>
      <c r="C121" s="26">
        <v>44166.0</v>
      </c>
      <c r="D121" s="27" t="s">
        <v>176</v>
      </c>
      <c r="E121" s="21">
        <v>1.0</v>
      </c>
      <c r="F121" s="21">
        <v>49500.0</v>
      </c>
      <c r="G121" s="21">
        <f t="shared" si="1"/>
        <v>49500</v>
      </c>
      <c r="H121" s="21" t="s">
        <v>549</v>
      </c>
      <c r="I121" s="21" t="s">
        <v>550</v>
      </c>
      <c r="J121" s="25" t="s">
        <v>71</v>
      </c>
    </row>
    <row r="122" ht="15.75" customHeight="1">
      <c r="A122" s="25" t="s">
        <v>1034</v>
      </c>
      <c r="B122" s="25" t="s">
        <v>188</v>
      </c>
      <c r="C122" s="26">
        <v>43831.0</v>
      </c>
      <c r="D122" s="27" t="s">
        <v>189</v>
      </c>
      <c r="E122" s="21">
        <v>0.0</v>
      </c>
      <c r="F122" s="21">
        <v>49500.0</v>
      </c>
      <c r="G122" s="21">
        <f t="shared" si="1"/>
        <v>0</v>
      </c>
      <c r="H122" s="21" t="s">
        <v>549</v>
      </c>
      <c r="I122" s="21" t="s">
        <v>550</v>
      </c>
      <c r="J122" s="25" t="s">
        <v>71</v>
      </c>
    </row>
    <row r="123" ht="15.75" customHeight="1">
      <c r="A123" s="25" t="s">
        <v>1036</v>
      </c>
      <c r="B123" s="25" t="s">
        <v>188</v>
      </c>
      <c r="C123" s="26">
        <v>43862.0</v>
      </c>
      <c r="D123" s="27" t="s">
        <v>189</v>
      </c>
      <c r="E123" s="21">
        <v>0.0</v>
      </c>
      <c r="F123" s="21">
        <v>49500.0</v>
      </c>
      <c r="G123" s="21">
        <f t="shared" si="1"/>
        <v>0</v>
      </c>
      <c r="H123" s="21" t="s">
        <v>549</v>
      </c>
      <c r="I123" s="21" t="s">
        <v>550</v>
      </c>
      <c r="J123" s="25" t="s">
        <v>71</v>
      </c>
    </row>
    <row r="124" ht="15.75" customHeight="1">
      <c r="A124" s="25" t="s">
        <v>1038</v>
      </c>
      <c r="B124" s="25" t="s">
        <v>188</v>
      </c>
      <c r="C124" s="26">
        <v>43891.0</v>
      </c>
      <c r="D124" s="27" t="s">
        <v>189</v>
      </c>
      <c r="E124" s="21">
        <v>1.0</v>
      </c>
      <c r="F124" s="21">
        <v>49500.0</v>
      </c>
      <c r="G124" s="21">
        <f t="shared" si="1"/>
        <v>49500</v>
      </c>
      <c r="H124" s="21" t="s">
        <v>549</v>
      </c>
      <c r="I124" s="21" t="s">
        <v>550</v>
      </c>
      <c r="J124" s="25" t="s">
        <v>71</v>
      </c>
    </row>
    <row r="125" ht="15.75" customHeight="1">
      <c r="A125" s="25" t="s">
        <v>1040</v>
      </c>
      <c r="B125" s="25" t="s">
        <v>188</v>
      </c>
      <c r="C125" s="26">
        <v>43922.0</v>
      </c>
      <c r="D125" s="27" t="s">
        <v>189</v>
      </c>
      <c r="E125" s="21">
        <v>0.0</v>
      </c>
      <c r="F125" s="21">
        <v>49500.0</v>
      </c>
      <c r="G125" s="21">
        <f t="shared" si="1"/>
        <v>0</v>
      </c>
      <c r="H125" s="21" t="s">
        <v>549</v>
      </c>
      <c r="I125" s="21" t="s">
        <v>550</v>
      </c>
      <c r="J125" s="25" t="s">
        <v>71</v>
      </c>
    </row>
    <row r="126" ht="15.75" customHeight="1">
      <c r="A126" s="25" t="s">
        <v>1042</v>
      </c>
      <c r="B126" s="25" t="s">
        <v>188</v>
      </c>
      <c r="C126" s="26">
        <v>43952.0</v>
      </c>
      <c r="D126" s="27" t="s">
        <v>189</v>
      </c>
      <c r="E126" s="21">
        <v>1.0</v>
      </c>
      <c r="F126" s="21">
        <v>49500.0</v>
      </c>
      <c r="G126" s="21">
        <f t="shared" si="1"/>
        <v>49500</v>
      </c>
      <c r="H126" s="21" t="s">
        <v>549</v>
      </c>
      <c r="I126" s="21" t="s">
        <v>550</v>
      </c>
      <c r="J126" s="25" t="s">
        <v>71</v>
      </c>
    </row>
    <row r="127" ht="15.75" customHeight="1">
      <c r="A127" s="25" t="s">
        <v>1044</v>
      </c>
      <c r="B127" s="25" t="s">
        <v>188</v>
      </c>
      <c r="C127" s="26">
        <v>43983.0</v>
      </c>
      <c r="D127" s="27" t="s">
        <v>189</v>
      </c>
      <c r="E127" s="21">
        <v>0.0</v>
      </c>
      <c r="F127" s="21">
        <v>49500.0</v>
      </c>
      <c r="G127" s="21">
        <f t="shared" si="1"/>
        <v>0</v>
      </c>
      <c r="H127" s="21" t="s">
        <v>549</v>
      </c>
      <c r="I127" s="21" t="s">
        <v>550</v>
      </c>
      <c r="J127" s="25" t="s">
        <v>71</v>
      </c>
    </row>
    <row r="128" ht="15.75" customHeight="1">
      <c r="A128" s="25" t="s">
        <v>1047</v>
      </c>
      <c r="B128" s="25" t="s">
        <v>188</v>
      </c>
      <c r="C128" s="26">
        <v>44013.0</v>
      </c>
      <c r="D128" s="27" t="s">
        <v>189</v>
      </c>
      <c r="E128" s="21">
        <v>1.0</v>
      </c>
      <c r="F128" s="21">
        <v>49500.0</v>
      </c>
      <c r="G128" s="21">
        <f t="shared" si="1"/>
        <v>49500</v>
      </c>
      <c r="H128" s="21" t="s">
        <v>549</v>
      </c>
      <c r="I128" s="21" t="s">
        <v>550</v>
      </c>
      <c r="J128" s="25" t="s">
        <v>71</v>
      </c>
    </row>
    <row r="129" ht="15.75" customHeight="1">
      <c r="A129" s="25" t="s">
        <v>1049</v>
      </c>
      <c r="B129" s="25" t="s">
        <v>188</v>
      </c>
      <c r="C129" s="26">
        <v>44044.0</v>
      </c>
      <c r="D129" s="27" t="s">
        <v>189</v>
      </c>
      <c r="E129" s="21">
        <v>0.0</v>
      </c>
      <c r="F129" s="21">
        <v>49500.0</v>
      </c>
      <c r="G129" s="21">
        <f t="shared" si="1"/>
        <v>0</v>
      </c>
      <c r="H129" s="21" t="s">
        <v>549</v>
      </c>
      <c r="I129" s="21" t="s">
        <v>550</v>
      </c>
      <c r="J129" s="25" t="s">
        <v>71</v>
      </c>
    </row>
    <row r="130" ht="15.75" customHeight="1">
      <c r="A130" s="25" t="s">
        <v>1051</v>
      </c>
      <c r="B130" s="25" t="s">
        <v>188</v>
      </c>
      <c r="C130" s="26">
        <v>44075.0</v>
      </c>
      <c r="D130" s="27" t="s">
        <v>189</v>
      </c>
      <c r="E130" s="21">
        <v>0.0</v>
      </c>
      <c r="F130" s="21">
        <v>49500.0</v>
      </c>
      <c r="G130" s="21">
        <f t="shared" si="1"/>
        <v>0</v>
      </c>
      <c r="H130" s="21" t="s">
        <v>549</v>
      </c>
      <c r="I130" s="21" t="s">
        <v>550</v>
      </c>
      <c r="J130" s="25" t="s">
        <v>71</v>
      </c>
    </row>
    <row r="131" ht="15.75" customHeight="1">
      <c r="A131" s="25" t="s">
        <v>1053</v>
      </c>
      <c r="B131" s="25" t="s">
        <v>188</v>
      </c>
      <c r="C131" s="26">
        <v>44105.0</v>
      </c>
      <c r="D131" s="27" t="s">
        <v>189</v>
      </c>
      <c r="E131" s="21">
        <v>1.0</v>
      </c>
      <c r="F131" s="21">
        <v>49500.0</v>
      </c>
      <c r="G131" s="21">
        <f t="shared" si="1"/>
        <v>49500</v>
      </c>
      <c r="H131" s="21" t="s">
        <v>549</v>
      </c>
      <c r="I131" s="21" t="s">
        <v>550</v>
      </c>
      <c r="J131" s="25" t="s">
        <v>71</v>
      </c>
    </row>
    <row r="132" ht="15.75" customHeight="1">
      <c r="A132" s="25" t="s">
        <v>1056</v>
      </c>
      <c r="B132" s="25" t="s">
        <v>188</v>
      </c>
      <c r="C132" s="26">
        <v>44136.0</v>
      </c>
      <c r="D132" s="27" t="s">
        <v>189</v>
      </c>
      <c r="E132" s="21">
        <v>0.0</v>
      </c>
      <c r="F132" s="21">
        <v>49500.0</v>
      </c>
      <c r="G132" s="21">
        <f t="shared" si="1"/>
        <v>0</v>
      </c>
      <c r="H132" s="21" t="s">
        <v>549</v>
      </c>
      <c r="I132" s="21" t="s">
        <v>550</v>
      </c>
      <c r="J132" s="25" t="s">
        <v>71</v>
      </c>
    </row>
    <row r="133" ht="15.75" customHeight="1">
      <c r="A133" s="25" t="s">
        <v>1058</v>
      </c>
      <c r="B133" s="25" t="s">
        <v>188</v>
      </c>
      <c r="C133" s="26">
        <v>44166.0</v>
      </c>
      <c r="D133" s="27" t="s">
        <v>189</v>
      </c>
      <c r="E133" s="21">
        <v>1.0</v>
      </c>
      <c r="F133" s="21">
        <v>49500.0</v>
      </c>
      <c r="G133" s="21">
        <f t="shared" si="1"/>
        <v>49500</v>
      </c>
      <c r="H133" s="21" t="s">
        <v>549</v>
      </c>
      <c r="I133" s="21" t="s">
        <v>550</v>
      </c>
      <c r="J133" s="25" t="s">
        <v>71</v>
      </c>
    </row>
    <row r="134" ht="15.75" customHeight="1">
      <c r="A134" s="25" t="s">
        <v>1060</v>
      </c>
      <c r="B134" s="25" t="s">
        <v>38</v>
      </c>
      <c r="C134" s="26">
        <v>44197.0</v>
      </c>
      <c r="D134" s="21" t="s">
        <v>41</v>
      </c>
      <c r="E134" s="21">
        <v>16.0</v>
      </c>
      <c r="F134" s="21">
        <v>45000.0</v>
      </c>
      <c r="G134" s="21">
        <f t="shared" si="1"/>
        <v>720000</v>
      </c>
      <c r="H134" s="21" t="s">
        <v>549</v>
      </c>
      <c r="I134" s="21" t="s">
        <v>550</v>
      </c>
      <c r="J134" s="25" t="s">
        <v>71</v>
      </c>
    </row>
    <row r="135" ht="15.75" customHeight="1">
      <c r="A135" s="25" t="s">
        <v>1061</v>
      </c>
      <c r="B135" s="25" t="s">
        <v>38</v>
      </c>
      <c r="C135" s="26">
        <v>44228.0</v>
      </c>
      <c r="D135" s="21" t="s">
        <v>41</v>
      </c>
      <c r="E135" s="21">
        <v>9.0</v>
      </c>
      <c r="F135" s="21">
        <v>45000.0</v>
      </c>
      <c r="G135" s="21">
        <f t="shared" si="1"/>
        <v>405000</v>
      </c>
      <c r="H135" s="21" t="s">
        <v>549</v>
      </c>
      <c r="I135" s="21" t="s">
        <v>550</v>
      </c>
      <c r="J135" s="25" t="s">
        <v>71</v>
      </c>
    </row>
    <row r="136" ht="15.75" customHeight="1">
      <c r="A136" s="25" t="s">
        <v>1062</v>
      </c>
      <c r="B136" s="25" t="s">
        <v>38</v>
      </c>
      <c r="C136" s="26">
        <v>44256.0</v>
      </c>
      <c r="D136" s="21" t="s">
        <v>41</v>
      </c>
      <c r="E136" s="21">
        <v>17.0</v>
      </c>
      <c r="F136" s="21">
        <v>45000.0</v>
      </c>
      <c r="G136" s="21">
        <f t="shared" si="1"/>
        <v>765000</v>
      </c>
      <c r="H136" s="21" t="s">
        <v>549</v>
      </c>
      <c r="I136" s="21" t="s">
        <v>550</v>
      </c>
      <c r="J136" s="25" t="s">
        <v>71</v>
      </c>
    </row>
    <row r="137" ht="15.75" customHeight="1">
      <c r="A137" s="25" t="s">
        <v>1063</v>
      </c>
      <c r="B137" s="25" t="s">
        <v>38</v>
      </c>
      <c r="C137" s="26">
        <v>44287.0</v>
      </c>
      <c r="D137" s="21" t="s">
        <v>41</v>
      </c>
      <c r="E137" s="21">
        <v>16.0</v>
      </c>
      <c r="F137" s="21">
        <v>45000.0</v>
      </c>
      <c r="G137" s="21">
        <f t="shared" si="1"/>
        <v>720000</v>
      </c>
      <c r="H137" s="21" t="s">
        <v>549</v>
      </c>
      <c r="I137" s="21" t="s">
        <v>550</v>
      </c>
      <c r="J137" s="25" t="s">
        <v>71</v>
      </c>
    </row>
    <row r="138" ht="15.75" customHeight="1">
      <c r="A138" s="25" t="s">
        <v>1066</v>
      </c>
      <c r="B138" s="25" t="s">
        <v>38</v>
      </c>
      <c r="C138" s="26">
        <v>44317.0</v>
      </c>
      <c r="D138" s="21" t="s">
        <v>41</v>
      </c>
      <c r="E138" s="21">
        <v>9.0</v>
      </c>
      <c r="F138" s="21">
        <v>45000.0</v>
      </c>
      <c r="G138" s="21">
        <f t="shared" si="1"/>
        <v>405000</v>
      </c>
      <c r="H138" s="21" t="s">
        <v>549</v>
      </c>
      <c r="I138" s="21" t="s">
        <v>550</v>
      </c>
      <c r="J138" s="25" t="s">
        <v>71</v>
      </c>
    </row>
    <row r="139" ht="15.75" customHeight="1">
      <c r="A139" s="25" t="s">
        <v>1068</v>
      </c>
      <c r="B139" s="25" t="s">
        <v>38</v>
      </c>
      <c r="C139" s="26">
        <v>44348.0</v>
      </c>
      <c r="D139" s="21" t="s">
        <v>41</v>
      </c>
      <c r="E139" s="21">
        <v>23.0</v>
      </c>
      <c r="F139" s="21">
        <v>45000.0</v>
      </c>
      <c r="G139" s="21">
        <f t="shared" si="1"/>
        <v>1035000</v>
      </c>
      <c r="H139" s="21" t="s">
        <v>549</v>
      </c>
      <c r="I139" s="21" t="s">
        <v>550</v>
      </c>
      <c r="J139" s="25" t="s">
        <v>71</v>
      </c>
    </row>
    <row r="140" ht="15.75" customHeight="1">
      <c r="A140" s="25" t="s">
        <v>1070</v>
      </c>
      <c r="B140" s="25" t="s">
        <v>38</v>
      </c>
      <c r="C140" s="26">
        <v>44378.0</v>
      </c>
      <c r="D140" s="21" t="s">
        <v>41</v>
      </c>
      <c r="E140" s="21">
        <v>35.0</v>
      </c>
      <c r="F140" s="21">
        <v>45000.0</v>
      </c>
      <c r="G140" s="21">
        <f t="shared" si="1"/>
        <v>1575000</v>
      </c>
      <c r="H140" s="21" t="s">
        <v>549</v>
      </c>
      <c r="I140" s="21" t="s">
        <v>550</v>
      </c>
      <c r="J140" s="25" t="s">
        <v>71</v>
      </c>
    </row>
    <row r="141" ht="15.75" customHeight="1">
      <c r="A141" s="25" t="s">
        <v>1073</v>
      </c>
      <c r="B141" s="25" t="s">
        <v>38</v>
      </c>
      <c r="C141" s="26">
        <v>44409.0</v>
      </c>
      <c r="D141" s="21" t="s">
        <v>41</v>
      </c>
      <c r="E141" s="21">
        <v>7.0</v>
      </c>
      <c r="F141" s="21">
        <v>45000.0</v>
      </c>
      <c r="G141" s="21">
        <f t="shared" si="1"/>
        <v>315000</v>
      </c>
      <c r="H141" s="21" t="s">
        <v>549</v>
      </c>
      <c r="I141" s="21" t="s">
        <v>550</v>
      </c>
      <c r="J141" s="25" t="s">
        <v>71</v>
      </c>
    </row>
    <row r="142" ht="15.75" customHeight="1">
      <c r="A142" s="25" t="s">
        <v>1075</v>
      </c>
      <c r="B142" s="25" t="s">
        <v>38</v>
      </c>
      <c r="C142" s="26">
        <v>44440.0</v>
      </c>
      <c r="D142" s="21" t="s">
        <v>41</v>
      </c>
      <c r="E142" s="21">
        <v>15.0</v>
      </c>
      <c r="F142" s="21">
        <v>45000.0</v>
      </c>
      <c r="G142" s="21">
        <f t="shared" si="1"/>
        <v>675000</v>
      </c>
      <c r="H142" s="21" t="s">
        <v>549</v>
      </c>
      <c r="I142" s="21" t="s">
        <v>550</v>
      </c>
      <c r="J142" s="25" t="s">
        <v>71</v>
      </c>
    </row>
    <row r="143" ht="15.75" customHeight="1">
      <c r="A143" s="25" t="s">
        <v>1077</v>
      </c>
      <c r="B143" s="25" t="s">
        <v>38</v>
      </c>
      <c r="C143" s="26">
        <v>44470.0</v>
      </c>
      <c r="D143" s="21" t="s">
        <v>41</v>
      </c>
      <c r="E143" s="21">
        <v>20.0</v>
      </c>
      <c r="F143" s="21">
        <v>45000.0</v>
      </c>
      <c r="G143" s="21">
        <f t="shared" si="1"/>
        <v>900000</v>
      </c>
      <c r="H143" s="21" t="s">
        <v>549</v>
      </c>
      <c r="I143" s="21" t="s">
        <v>550</v>
      </c>
      <c r="J143" s="25" t="s">
        <v>71</v>
      </c>
    </row>
    <row r="144" ht="15.75" customHeight="1">
      <c r="A144" s="25" t="s">
        <v>1079</v>
      </c>
      <c r="B144" s="25" t="s">
        <v>38</v>
      </c>
      <c r="C144" s="26">
        <v>44501.0</v>
      </c>
      <c r="D144" s="21" t="s">
        <v>41</v>
      </c>
      <c r="E144" s="21">
        <v>27.0</v>
      </c>
      <c r="F144" s="21">
        <v>45000.0</v>
      </c>
      <c r="G144" s="21">
        <f t="shared" si="1"/>
        <v>1215000</v>
      </c>
      <c r="H144" s="21" t="s">
        <v>549</v>
      </c>
      <c r="I144" s="21" t="s">
        <v>550</v>
      </c>
      <c r="J144" s="25" t="s">
        <v>71</v>
      </c>
    </row>
    <row r="145" ht="15.75" customHeight="1">
      <c r="A145" s="25" t="s">
        <v>1082</v>
      </c>
      <c r="B145" s="25" t="s">
        <v>38</v>
      </c>
      <c r="C145" s="26">
        <v>44531.0</v>
      </c>
      <c r="D145" s="21" t="s">
        <v>41</v>
      </c>
      <c r="E145" s="21">
        <v>17.0</v>
      </c>
      <c r="F145" s="21">
        <v>45000.0</v>
      </c>
      <c r="G145" s="21">
        <f t="shared" si="1"/>
        <v>765000</v>
      </c>
      <c r="H145" s="21" t="s">
        <v>549</v>
      </c>
      <c r="I145" s="21" t="s">
        <v>550</v>
      </c>
      <c r="J145" s="25" t="s">
        <v>71</v>
      </c>
    </row>
    <row r="146" ht="15.75" customHeight="1">
      <c r="A146" s="25" t="s">
        <v>1084</v>
      </c>
      <c r="B146" s="25" t="s">
        <v>40</v>
      </c>
      <c r="C146" s="26">
        <v>44197.0</v>
      </c>
      <c r="D146" s="21" t="s">
        <v>42</v>
      </c>
      <c r="E146" s="21">
        <v>1.0</v>
      </c>
      <c r="F146" s="21">
        <v>45500.0</v>
      </c>
      <c r="G146" s="21">
        <f t="shared" si="1"/>
        <v>45500</v>
      </c>
      <c r="H146" s="21" t="s">
        <v>549</v>
      </c>
      <c r="I146" s="21" t="s">
        <v>550</v>
      </c>
      <c r="J146" s="25" t="s">
        <v>71</v>
      </c>
    </row>
    <row r="147" ht="15.75" customHeight="1">
      <c r="A147" s="25" t="s">
        <v>1086</v>
      </c>
      <c r="B147" s="25" t="s">
        <v>40</v>
      </c>
      <c r="C147" s="26">
        <v>44228.0</v>
      </c>
      <c r="D147" s="21" t="s">
        <v>42</v>
      </c>
      <c r="E147" s="21">
        <v>2.0</v>
      </c>
      <c r="F147" s="21">
        <v>45500.0</v>
      </c>
      <c r="G147" s="21">
        <f t="shared" si="1"/>
        <v>91000</v>
      </c>
      <c r="H147" s="21" t="s">
        <v>549</v>
      </c>
      <c r="I147" s="21" t="s">
        <v>550</v>
      </c>
      <c r="J147" s="25" t="s">
        <v>71</v>
      </c>
    </row>
    <row r="148" ht="15.75" customHeight="1">
      <c r="A148" s="25" t="s">
        <v>1088</v>
      </c>
      <c r="B148" s="25" t="s">
        <v>40</v>
      </c>
      <c r="C148" s="26">
        <v>44256.0</v>
      </c>
      <c r="D148" s="21" t="s">
        <v>42</v>
      </c>
      <c r="E148" s="21">
        <v>6.0</v>
      </c>
      <c r="F148" s="21">
        <v>45500.0</v>
      </c>
      <c r="G148" s="21">
        <f t="shared" si="1"/>
        <v>273000</v>
      </c>
      <c r="H148" s="21" t="s">
        <v>549</v>
      </c>
      <c r="I148" s="21" t="s">
        <v>550</v>
      </c>
      <c r="J148" s="25" t="s">
        <v>71</v>
      </c>
    </row>
    <row r="149" ht="15.75" customHeight="1">
      <c r="A149" s="25" t="s">
        <v>1091</v>
      </c>
      <c r="B149" s="25" t="s">
        <v>40</v>
      </c>
      <c r="C149" s="26">
        <v>44287.0</v>
      </c>
      <c r="D149" s="21" t="s">
        <v>42</v>
      </c>
      <c r="E149" s="21">
        <v>4.0</v>
      </c>
      <c r="F149" s="21">
        <v>45500.0</v>
      </c>
      <c r="G149" s="21">
        <f t="shared" si="1"/>
        <v>182000</v>
      </c>
      <c r="H149" s="21" t="s">
        <v>549</v>
      </c>
      <c r="I149" s="21" t="s">
        <v>550</v>
      </c>
      <c r="J149" s="25" t="s">
        <v>71</v>
      </c>
    </row>
    <row r="150" ht="15.75" customHeight="1">
      <c r="A150" s="25" t="s">
        <v>1093</v>
      </c>
      <c r="B150" s="25" t="s">
        <v>40</v>
      </c>
      <c r="C150" s="26">
        <v>44317.0</v>
      </c>
      <c r="D150" s="21" t="s">
        <v>42</v>
      </c>
      <c r="E150" s="21">
        <v>1.0</v>
      </c>
      <c r="F150" s="21">
        <v>45500.0</v>
      </c>
      <c r="G150" s="21">
        <f t="shared" si="1"/>
        <v>45500</v>
      </c>
      <c r="H150" s="21" t="s">
        <v>549</v>
      </c>
      <c r="I150" s="21" t="s">
        <v>550</v>
      </c>
      <c r="J150" s="25" t="s">
        <v>71</v>
      </c>
    </row>
    <row r="151" ht="15.75" customHeight="1">
      <c r="A151" s="25" t="s">
        <v>1097</v>
      </c>
      <c r="B151" s="25" t="s">
        <v>40</v>
      </c>
      <c r="C151" s="26">
        <v>44348.0</v>
      </c>
      <c r="D151" s="21" t="s">
        <v>42</v>
      </c>
      <c r="E151" s="21">
        <v>1.0</v>
      </c>
      <c r="F151" s="21">
        <v>45500.0</v>
      </c>
      <c r="G151" s="21">
        <f t="shared" si="1"/>
        <v>45500</v>
      </c>
      <c r="H151" s="21" t="s">
        <v>549</v>
      </c>
      <c r="I151" s="21" t="s">
        <v>550</v>
      </c>
      <c r="J151" s="25" t="s">
        <v>71</v>
      </c>
    </row>
    <row r="152" ht="15.75" customHeight="1">
      <c r="A152" s="25" t="s">
        <v>1099</v>
      </c>
      <c r="B152" s="25" t="s">
        <v>40</v>
      </c>
      <c r="C152" s="26">
        <v>44378.0</v>
      </c>
      <c r="D152" s="21" t="s">
        <v>42</v>
      </c>
      <c r="E152" s="21">
        <v>1.0</v>
      </c>
      <c r="F152" s="21">
        <v>45500.0</v>
      </c>
      <c r="G152" s="21">
        <f t="shared" si="1"/>
        <v>45500</v>
      </c>
      <c r="H152" s="21" t="s">
        <v>549</v>
      </c>
      <c r="I152" s="21" t="s">
        <v>550</v>
      </c>
      <c r="J152" s="25" t="s">
        <v>71</v>
      </c>
    </row>
    <row r="153" ht="15.75" customHeight="1">
      <c r="A153" s="25" t="s">
        <v>1101</v>
      </c>
      <c r="B153" s="25" t="s">
        <v>40</v>
      </c>
      <c r="C153" s="26">
        <v>44409.0</v>
      </c>
      <c r="D153" s="21" t="s">
        <v>42</v>
      </c>
      <c r="E153" s="21">
        <v>4.0</v>
      </c>
      <c r="F153" s="21">
        <v>45500.0</v>
      </c>
      <c r="G153" s="21">
        <f t="shared" si="1"/>
        <v>182000</v>
      </c>
      <c r="H153" s="21" t="s">
        <v>549</v>
      </c>
      <c r="I153" s="21" t="s">
        <v>550</v>
      </c>
      <c r="J153" s="25" t="s">
        <v>71</v>
      </c>
    </row>
    <row r="154" ht="15.75" customHeight="1">
      <c r="A154" s="25" t="s">
        <v>1103</v>
      </c>
      <c r="B154" s="25" t="s">
        <v>40</v>
      </c>
      <c r="C154" s="26">
        <v>44440.0</v>
      </c>
      <c r="D154" s="21" t="s">
        <v>42</v>
      </c>
      <c r="E154" s="21">
        <v>3.0</v>
      </c>
      <c r="F154" s="21">
        <v>45500.0</v>
      </c>
      <c r="G154" s="21">
        <f t="shared" si="1"/>
        <v>136500</v>
      </c>
      <c r="H154" s="21" t="s">
        <v>549</v>
      </c>
      <c r="I154" s="21" t="s">
        <v>550</v>
      </c>
      <c r="J154" s="25" t="s">
        <v>71</v>
      </c>
    </row>
    <row r="155" ht="15.75" customHeight="1">
      <c r="A155" s="25" t="s">
        <v>1106</v>
      </c>
      <c r="B155" s="25" t="s">
        <v>40</v>
      </c>
      <c r="C155" s="26">
        <v>44470.0</v>
      </c>
      <c r="D155" s="21" t="s">
        <v>42</v>
      </c>
      <c r="E155" s="21">
        <v>6.0</v>
      </c>
      <c r="F155" s="21">
        <v>45500.0</v>
      </c>
      <c r="G155" s="21">
        <f t="shared" si="1"/>
        <v>273000</v>
      </c>
      <c r="H155" s="21" t="s">
        <v>549</v>
      </c>
      <c r="I155" s="21" t="s">
        <v>550</v>
      </c>
      <c r="J155" s="25" t="s">
        <v>71</v>
      </c>
    </row>
    <row r="156" ht="15.75" customHeight="1">
      <c r="A156" s="25" t="s">
        <v>1108</v>
      </c>
      <c r="B156" s="25" t="s">
        <v>40</v>
      </c>
      <c r="C156" s="26">
        <v>44501.0</v>
      </c>
      <c r="D156" s="21" t="s">
        <v>42</v>
      </c>
      <c r="E156" s="21">
        <v>4.0</v>
      </c>
      <c r="F156" s="21">
        <v>45500.0</v>
      </c>
      <c r="G156" s="21">
        <f t="shared" si="1"/>
        <v>182000</v>
      </c>
      <c r="H156" s="21" t="s">
        <v>549</v>
      </c>
      <c r="I156" s="21" t="s">
        <v>550</v>
      </c>
      <c r="J156" s="25" t="s">
        <v>71</v>
      </c>
    </row>
    <row r="157" ht="15.75" customHeight="1">
      <c r="A157" s="25" t="s">
        <v>1110</v>
      </c>
      <c r="B157" s="25" t="s">
        <v>40</v>
      </c>
      <c r="C157" s="26">
        <v>44531.0</v>
      </c>
      <c r="D157" s="21" t="s">
        <v>42</v>
      </c>
      <c r="E157" s="21">
        <v>9.0</v>
      </c>
      <c r="F157" s="21">
        <v>45500.0</v>
      </c>
      <c r="G157" s="21">
        <f t="shared" si="1"/>
        <v>409500</v>
      </c>
      <c r="H157" s="21" t="s">
        <v>549</v>
      </c>
      <c r="I157" s="21" t="s">
        <v>550</v>
      </c>
      <c r="J157" s="25" t="s">
        <v>71</v>
      </c>
    </row>
    <row r="158" ht="15.75" customHeight="1">
      <c r="A158" s="25" t="s">
        <v>1113</v>
      </c>
      <c r="B158" s="25" t="s">
        <v>82</v>
      </c>
      <c r="C158" s="26">
        <v>44197.0</v>
      </c>
      <c r="D158" s="21" t="s">
        <v>84</v>
      </c>
      <c r="E158" s="21">
        <v>12.0</v>
      </c>
      <c r="F158" s="21">
        <v>45000.0</v>
      </c>
      <c r="G158" s="21">
        <f t="shared" si="1"/>
        <v>540000</v>
      </c>
      <c r="H158" s="21" t="s">
        <v>549</v>
      </c>
      <c r="I158" s="21" t="s">
        <v>550</v>
      </c>
      <c r="J158" s="25" t="s">
        <v>71</v>
      </c>
    </row>
    <row r="159" ht="15.75" customHeight="1">
      <c r="A159" s="25" t="s">
        <v>1115</v>
      </c>
      <c r="B159" s="25" t="s">
        <v>82</v>
      </c>
      <c r="C159" s="26">
        <v>44228.0</v>
      </c>
      <c r="D159" s="21" t="s">
        <v>84</v>
      </c>
      <c r="E159" s="21">
        <v>6.0</v>
      </c>
      <c r="F159" s="21">
        <v>45000.0</v>
      </c>
      <c r="G159" s="21">
        <f t="shared" si="1"/>
        <v>270000</v>
      </c>
      <c r="H159" s="21" t="s">
        <v>549</v>
      </c>
      <c r="I159" s="21" t="s">
        <v>550</v>
      </c>
      <c r="J159" s="25" t="s">
        <v>71</v>
      </c>
    </row>
    <row r="160" ht="15.75" customHeight="1">
      <c r="A160" s="25" t="s">
        <v>1117</v>
      </c>
      <c r="B160" s="25" t="s">
        <v>82</v>
      </c>
      <c r="C160" s="26">
        <v>44256.0</v>
      </c>
      <c r="D160" s="21" t="s">
        <v>84</v>
      </c>
      <c r="E160" s="21">
        <v>7.0</v>
      </c>
      <c r="F160" s="21">
        <v>45000.0</v>
      </c>
      <c r="G160" s="21">
        <f t="shared" si="1"/>
        <v>315000</v>
      </c>
      <c r="H160" s="21" t="s">
        <v>549</v>
      </c>
      <c r="I160" s="21" t="s">
        <v>550</v>
      </c>
      <c r="J160" s="25" t="s">
        <v>71</v>
      </c>
    </row>
    <row r="161" ht="15.75" customHeight="1">
      <c r="A161" s="25" t="s">
        <v>1119</v>
      </c>
      <c r="B161" s="25" t="s">
        <v>82</v>
      </c>
      <c r="C161" s="26">
        <v>44287.0</v>
      </c>
      <c r="D161" s="21" t="s">
        <v>84</v>
      </c>
      <c r="E161" s="21">
        <v>6.0</v>
      </c>
      <c r="F161" s="21">
        <v>45000.0</v>
      </c>
      <c r="G161" s="21">
        <f t="shared" si="1"/>
        <v>270000</v>
      </c>
      <c r="H161" s="21" t="s">
        <v>549</v>
      </c>
      <c r="I161" s="21" t="s">
        <v>550</v>
      </c>
      <c r="J161" s="25" t="s">
        <v>71</v>
      </c>
    </row>
    <row r="162" ht="15.75" customHeight="1">
      <c r="A162" s="25" t="s">
        <v>1121</v>
      </c>
      <c r="B162" s="25" t="s">
        <v>82</v>
      </c>
      <c r="C162" s="26">
        <v>44317.0</v>
      </c>
      <c r="D162" s="21" t="s">
        <v>84</v>
      </c>
      <c r="E162" s="21">
        <v>14.0</v>
      </c>
      <c r="F162" s="21">
        <v>45000.0</v>
      </c>
      <c r="G162" s="21">
        <f t="shared" si="1"/>
        <v>630000</v>
      </c>
      <c r="H162" s="21" t="s">
        <v>549</v>
      </c>
      <c r="I162" s="21" t="s">
        <v>550</v>
      </c>
      <c r="J162" s="25" t="s">
        <v>71</v>
      </c>
    </row>
    <row r="163" ht="15.75" customHeight="1">
      <c r="A163" s="25" t="s">
        <v>1124</v>
      </c>
      <c r="B163" s="25" t="s">
        <v>82</v>
      </c>
      <c r="C163" s="26">
        <v>44348.0</v>
      </c>
      <c r="D163" s="21" t="s">
        <v>84</v>
      </c>
      <c r="E163" s="21">
        <v>16.0</v>
      </c>
      <c r="F163" s="21">
        <v>45000.0</v>
      </c>
      <c r="G163" s="21">
        <f t="shared" si="1"/>
        <v>720000</v>
      </c>
      <c r="H163" s="21" t="s">
        <v>549</v>
      </c>
      <c r="I163" s="21" t="s">
        <v>550</v>
      </c>
      <c r="J163" s="25" t="s">
        <v>71</v>
      </c>
    </row>
    <row r="164" ht="15.75" customHeight="1">
      <c r="A164" s="25" t="s">
        <v>1126</v>
      </c>
      <c r="B164" s="25" t="s">
        <v>82</v>
      </c>
      <c r="C164" s="26">
        <v>44378.0</v>
      </c>
      <c r="D164" s="21" t="s">
        <v>84</v>
      </c>
      <c r="E164" s="21">
        <v>8.0</v>
      </c>
      <c r="F164" s="21">
        <v>45000.0</v>
      </c>
      <c r="G164" s="21">
        <f t="shared" si="1"/>
        <v>360000</v>
      </c>
      <c r="H164" s="21" t="s">
        <v>549</v>
      </c>
      <c r="I164" s="21" t="s">
        <v>550</v>
      </c>
      <c r="J164" s="25" t="s">
        <v>71</v>
      </c>
    </row>
    <row r="165" ht="15.75" customHeight="1">
      <c r="A165" s="25" t="s">
        <v>1128</v>
      </c>
      <c r="B165" s="25" t="s">
        <v>82</v>
      </c>
      <c r="C165" s="26">
        <v>44409.0</v>
      </c>
      <c r="D165" s="21" t="s">
        <v>84</v>
      </c>
      <c r="E165" s="21">
        <v>10.0</v>
      </c>
      <c r="F165" s="21">
        <v>45000.0</v>
      </c>
      <c r="G165" s="21">
        <f t="shared" si="1"/>
        <v>450000</v>
      </c>
      <c r="H165" s="21" t="s">
        <v>549</v>
      </c>
      <c r="I165" s="21" t="s">
        <v>550</v>
      </c>
      <c r="J165" s="25" t="s">
        <v>71</v>
      </c>
    </row>
    <row r="166" ht="15.75" customHeight="1">
      <c r="A166" s="25" t="s">
        <v>1130</v>
      </c>
      <c r="B166" s="25" t="s">
        <v>82</v>
      </c>
      <c r="C166" s="26">
        <v>44440.0</v>
      </c>
      <c r="D166" s="21" t="s">
        <v>84</v>
      </c>
      <c r="E166" s="21">
        <v>10.0</v>
      </c>
      <c r="F166" s="21">
        <v>45000.0</v>
      </c>
      <c r="G166" s="21">
        <f t="shared" si="1"/>
        <v>450000</v>
      </c>
      <c r="H166" s="21" t="s">
        <v>549</v>
      </c>
      <c r="I166" s="21" t="s">
        <v>550</v>
      </c>
      <c r="J166" s="25" t="s">
        <v>71</v>
      </c>
    </row>
    <row r="167" ht="15.75" customHeight="1">
      <c r="A167" s="25" t="s">
        <v>1132</v>
      </c>
      <c r="B167" s="25" t="s">
        <v>82</v>
      </c>
      <c r="C167" s="26">
        <v>44470.0</v>
      </c>
      <c r="D167" s="21" t="s">
        <v>84</v>
      </c>
      <c r="E167" s="21">
        <v>3.0</v>
      </c>
      <c r="F167" s="21">
        <v>45000.0</v>
      </c>
      <c r="G167" s="21">
        <f t="shared" si="1"/>
        <v>135000</v>
      </c>
      <c r="H167" s="21" t="s">
        <v>549</v>
      </c>
      <c r="I167" s="21" t="s">
        <v>550</v>
      </c>
      <c r="J167" s="25" t="s">
        <v>71</v>
      </c>
    </row>
    <row r="168" ht="15.75" customHeight="1">
      <c r="A168" s="25" t="s">
        <v>1134</v>
      </c>
      <c r="B168" s="25" t="s">
        <v>82</v>
      </c>
      <c r="C168" s="26">
        <v>44501.0</v>
      </c>
      <c r="D168" s="21" t="s">
        <v>84</v>
      </c>
      <c r="E168" s="21">
        <v>3.0</v>
      </c>
      <c r="F168" s="21">
        <v>45000.0</v>
      </c>
      <c r="G168" s="21">
        <f t="shared" si="1"/>
        <v>135000</v>
      </c>
      <c r="H168" s="21" t="s">
        <v>549</v>
      </c>
      <c r="I168" s="21" t="s">
        <v>550</v>
      </c>
      <c r="J168" s="25" t="s">
        <v>71</v>
      </c>
    </row>
    <row r="169" ht="15.75" customHeight="1">
      <c r="A169" s="25" t="s">
        <v>1139</v>
      </c>
      <c r="B169" s="25" t="s">
        <v>82</v>
      </c>
      <c r="C169" s="26">
        <v>44531.0</v>
      </c>
      <c r="D169" s="21" t="s">
        <v>84</v>
      </c>
      <c r="E169" s="21">
        <v>5.0</v>
      </c>
      <c r="F169" s="21">
        <v>45000.0</v>
      </c>
      <c r="G169" s="21">
        <f t="shared" si="1"/>
        <v>225000</v>
      </c>
      <c r="H169" s="21" t="s">
        <v>549</v>
      </c>
      <c r="I169" s="21" t="s">
        <v>550</v>
      </c>
      <c r="J169" s="25" t="s">
        <v>71</v>
      </c>
    </row>
    <row r="170" ht="15.75" customHeight="1">
      <c r="A170" s="25" t="s">
        <v>1141</v>
      </c>
      <c r="B170" s="25" t="s">
        <v>97</v>
      </c>
      <c r="C170" s="26">
        <v>44197.0</v>
      </c>
      <c r="D170" s="21" t="s">
        <v>99</v>
      </c>
      <c r="E170" s="21">
        <v>2.0</v>
      </c>
      <c r="F170" s="21">
        <v>36000.0</v>
      </c>
      <c r="G170" s="21">
        <f t="shared" si="1"/>
        <v>72000</v>
      </c>
      <c r="H170" s="21" t="s">
        <v>424</v>
      </c>
      <c r="I170" s="21" t="s">
        <v>550</v>
      </c>
      <c r="J170" s="25" t="s">
        <v>71</v>
      </c>
    </row>
    <row r="171" ht="15.75" customHeight="1">
      <c r="A171" s="25" t="s">
        <v>1143</v>
      </c>
      <c r="B171" s="25" t="s">
        <v>97</v>
      </c>
      <c r="C171" s="26">
        <v>44228.0</v>
      </c>
      <c r="D171" s="21" t="s">
        <v>99</v>
      </c>
      <c r="E171" s="21">
        <v>2.0</v>
      </c>
      <c r="F171" s="21">
        <v>36000.0</v>
      </c>
      <c r="G171" s="21">
        <f t="shared" si="1"/>
        <v>72000</v>
      </c>
      <c r="H171" s="21" t="s">
        <v>424</v>
      </c>
      <c r="I171" s="21" t="s">
        <v>550</v>
      </c>
      <c r="J171" s="25" t="s">
        <v>71</v>
      </c>
    </row>
    <row r="172" ht="15.75" customHeight="1">
      <c r="A172" s="25" t="s">
        <v>1148</v>
      </c>
      <c r="B172" s="25" t="s">
        <v>97</v>
      </c>
      <c r="C172" s="26">
        <v>44256.0</v>
      </c>
      <c r="D172" s="21" t="s">
        <v>99</v>
      </c>
      <c r="E172" s="21">
        <v>0.0</v>
      </c>
      <c r="F172" s="21">
        <v>36000.0</v>
      </c>
      <c r="G172" s="21">
        <f t="shared" si="1"/>
        <v>0</v>
      </c>
      <c r="H172" s="21" t="s">
        <v>424</v>
      </c>
      <c r="I172" s="21" t="s">
        <v>550</v>
      </c>
      <c r="J172" s="25" t="s">
        <v>71</v>
      </c>
    </row>
    <row r="173" ht="15.75" customHeight="1">
      <c r="A173" s="25" t="s">
        <v>1150</v>
      </c>
      <c r="B173" s="25" t="s">
        <v>97</v>
      </c>
      <c r="C173" s="26">
        <v>44287.0</v>
      </c>
      <c r="D173" s="21" t="s">
        <v>99</v>
      </c>
      <c r="E173" s="21">
        <v>0.0</v>
      </c>
      <c r="F173" s="21">
        <v>36000.0</v>
      </c>
      <c r="G173" s="21">
        <f t="shared" si="1"/>
        <v>0</v>
      </c>
      <c r="H173" s="21" t="s">
        <v>424</v>
      </c>
      <c r="I173" s="21" t="s">
        <v>550</v>
      </c>
      <c r="J173" s="25" t="s">
        <v>71</v>
      </c>
    </row>
    <row r="174" ht="15.75" customHeight="1">
      <c r="A174" s="25" t="s">
        <v>1153</v>
      </c>
      <c r="B174" s="25" t="s">
        <v>97</v>
      </c>
      <c r="C174" s="26">
        <v>44317.0</v>
      </c>
      <c r="D174" s="21" t="s">
        <v>99</v>
      </c>
      <c r="E174" s="21">
        <v>0.0</v>
      </c>
      <c r="F174" s="21">
        <v>36000.0</v>
      </c>
      <c r="G174" s="21">
        <f t="shared" si="1"/>
        <v>0</v>
      </c>
      <c r="H174" s="21" t="s">
        <v>424</v>
      </c>
      <c r="I174" s="21" t="s">
        <v>550</v>
      </c>
      <c r="J174" s="25" t="s">
        <v>71</v>
      </c>
    </row>
    <row r="175" ht="15.75" customHeight="1">
      <c r="A175" s="25" t="s">
        <v>1155</v>
      </c>
      <c r="B175" s="25" t="s">
        <v>97</v>
      </c>
      <c r="C175" s="26">
        <v>44348.0</v>
      </c>
      <c r="D175" s="21" t="s">
        <v>99</v>
      </c>
      <c r="E175" s="21">
        <v>2.0</v>
      </c>
      <c r="F175" s="21">
        <v>36000.0</v>
      </c>
      <c r="G175" s="21">
        <f t="shared" si="1"/>
        <v>72000</v>
      </c>
      <c r="H175" s="21" t="s">
        <v>424</v>
      </c>
      <c r="I175" s="21" t="s">
        <v>550</v>
      </c>
      <c r="J175" s="25" t="s">
        <v>71</v>
      </c>
    </row>
    <row r="176" ht="15.75" customHeight="1">
      <c r="A176" s="25" t="s">
        <v>1157</v>
      </c>
      <c r="B176" s="25" t="s">
        <v>97</v>
      </c>
      <c r="C176" s="26">
        <v>44378.0</v>
      </c>
      <c r="D176" s="21" t="s">
        <v>99</v>
      </c>
      <c r="E176" s="21">
        <v>0.0</v>
      </c>
      <c r="F176" s="21">
        <v>36000.0</v>
      </c>
      <c r="G176" s="21">
        <f t="shared" si="1"/>
        <v>0</v>
      </c>
      <c r="H176" s="21" t="s">
        <v>424</v>
      </c>
      <c r="I176" s="21" t="s">
        <v>550</v>
      </c>
      <c r="J176" s="25" t="s">
        <v>71</v>
      </c>
    </row>
    <row r="177" ht="15.75" customHeight="1">
      <c r="A177" s="25" t="s">
        <v>1159</v>
      </c>
      <c r="B177" s="25" t="s">
        <v>97</v>
      </c>
      <c r="C177" s="26">
        <v>44409.0</v>
      </c>
      <c r="D177" s="21" t="s">
        <v>99</v>
      </c>
      <c r="E177" s="21">
        <v>1.0</v>
      </c>
      <c r="F177" s="21">
        <v>36000.0</v>
      </c>
      <c r="G177" s="21">
        <f t="shared" si="1"/>
        <v>36000</v>
      </c>
      <c r="H177" s="21" t="s">
        <v>424</v>
      </c>
      <c r="I177" s="21" t="s">
        <v>550</v>
      </c>
      <c r="J177" s="25" t="s">
        <v>71</v>
      </c>
    </row>
    <row r="178" ht="15.75" customHeight="1">
      <c r="A178" s="25" t="s">
        <v>1161</v>
      </c>
      <c r="B178" s="25" t="s">
        <v>97</v>
      </c>
      <c r="C178" s="26">
        <v>44440.0</v>
      </c>
      <c r="D178" s="21" t="s">
        <v>99</v>
      </c>
      <c r="E178" s="21">
        <v>2.0</v>
      </c>
      <c r="F178" s="21">
        <v>36000.0</v>
      </c>
      <c r="G178" s="21">
        <f t="shared" si="1"/>
        <v>72000</v>
      </c>
      <c r="H178" s="21" t="s">
        <v>424</v>
      </c>
      <c r="I178" s="21" t="s">
        <v>550</v>
      </c>
      <c r="J178" s="25" t="s">
        <v>71</v>
      </c>
    </row>
    <row r="179" ht="15.75" customHeight="1">
      <c r="A179" s="25" t="s">
        <v>1163</v>
      </c>
      <c r="B179" s="25" t="s">
        <v>97</v>
      </c>
      <c r="C179" s="26">
        <v>44470.0</v>
      </c>
      <c r="D179" s="21" t="s">
        <v>99</v>
      </c>
      <c r="E179" s="21">
        <v>0.0</v>
      </c>
      <c r="F179" s="21">
        <v>36000.0</v>
      </c>
      <c r="G179" s="21">
        <f t="shared" si="1"/>
        <v>0</v>
      </c>
      <c r="H179" s="21" t="s">
        <v>424</v>
      </c>
      <c r="I179" s="21" t="s">
        <v>550</v>
      </c>
      <c r="J179" s="25" t="s">
        <v>71</v>
      </c>
    </row>
    <row r="180" ht="15.75" customHeight="1">
      <c r="A180" s="25" t="s">
        <v>1166</v>
      </c>
      <c r="B180" s="25" t="s">
        <v>97</v>
      </c>
      <c r="C180" s="26">
        <v>44501.0</v>
      </c>
      <c r="D180" s="21" t="s">
        <v>99</v>
      </c>
      <c r="E180" s="21">
        <v>0.0</v>
      </c>
      <c r="F180" s="21">
        <v>36000.0</v>
      </c>
      <c r="G180" s="21">
        <f t="shared" si="1"/>
        <v>0</v>
      </c>
      <c r="H180" s="21" t="s">
        <v>424</v>
      </c>
      <c r="I180" s="21" t="s">
        <v>550</v>
      </c>
      <c r="J180" s="25" t="s">
        <v>71</v>
      </c>
    </row>
    <row r="181" ht="15.75" customHeight="1">
      <c r="A181" s="25" t="s">
        <v>1168</v>
      </c>
      <c r="B181" s="25" t="s">
        <v>97</v>
      </c>
      <c r="C181" s="26">
        <v>44531.0</v>
      </c>
      <c r="D181" s="21" t="s">
        <v>99</v>
      </c>
      <c r="E181" s="21">
        <v>1.0</v>
      </c>
      <c r="F181" s="21">
        <v>36000.0</v>
      </c>
      <c r="G181" s="21">
        <f t="shared" si="1"/>
        <v>36000</v>
      </c>
      <c r="H181" s="21" t="s">
        <v>424</v>
      </c>
      <c r="I181" s="21" t="s">
        <v>550</v>
      </c>
      <c r="J181" s="25" t="s">
        <v>71</v>
      </c>
    </row>
    <row r="182" ht="15.75" customHeight="1">
      <c r="A182" s="25" t="s">
        <v>1170</v>
      </c>
      <c r="B182" s="25" t="s">
        <v>110</v>
      </c>
      <c r="C182" s="26">
        <v>44197.0</v>
      </c>
      <c r="D182" s="21" t="s">
        <v>112</v>
      </c>
      <c r="E182" s="21">
        <v>1.0</v>
      </c>
      <c r="F182" s="21">
        <v>30000.0</v>
      </c>
      <c r="G182" s="21">
        <f t="shared" si="1"/>
        <v>30000</v>
      </c>
      <c r="H182" s="21" t="s">
        <v>758</v>
      </c>
      <c r="I182" s="21" t="s">
        <v>550</v>
      </c>
      <c r="J182" s="25" t="s">
        <v>71</v>
      </c>
    </row>
    <row r="183" ht="15.75" customHeight="1">
      <c r="A183" s="25" t="s">
        <v>1172</v>
      </c>
      <c r="B183" s="25" t="s">
        <v>110</v>
      </c>
      <c r="C183" s="26">
        <v>44228.0</v>
      </c>
      <c r="D183" s="21" t="s">
        <v>112</v>
      </c>
      <c r="E183" s="21">
        <v>2.0</v>
      </c>
      <c r="F183" s="21">
        <v>30000.0</v>
      </c>
      <c r="G183" s="21">
        <f t="shared" si="1"/>
        <v>60000</v>
      </c>
      <c r="H183" s="21" t="s">
        <v>758</v>
      </c>
      <c r="I183" s="21" t="s">
        <v>550</v>
      </c>
      <c r="J183" s="25" t="s">
        <v>71</v>
      </c>
    </row>
    <row r="184" ht="15.75" customHeight="1">
      <c r="A184" s="25" t="s">
        <v>1178</v>
      </c>
      <c r="B184" s="25" t="s">
        <v>110</v>
      </c>
      <c r="C184" s="26">
        <v>44256.0</v>
      </c>
      <c r="D184" s="21" t="s">
        <v>112</v>
      </c>
      <c r="E184" s="21">
        <v>0.0</v>
      </c>
      <c r="F184" s="21">
        <v>30000.0</v>
      </c>
      <c r="G184" s="21">
        <f t="shared" si="1"/>
        <v>0</v>
      </c>
      <c r="H184" s="21" t="s">
        <v>758</v>
      </c>
      <c r="I184" s="21" t="s">
        <v>550</v>
      </c>
      <c r="J184" s="25" t="s">
        <v>71</v>
      </c>
    </row>
    <row r="185" ht="15.75" customHeight="1">
      <c r="A185" s="25" t="s">
        <v>1180</v>
      </c>
      <c r="B185" s="25" t="s">
        <v>110</v>
      </c>
      <c r="C185" s="26">
        <v>44287.0</v>
      </c>
      <c r="D185" s="21" t="s">
        <v>112</v>
      </c>
      <c r="E185" s="21">
        <v>2.0</v>
      </c>
      <c r="F185" s="21">
        <v>30000.0</v>
      </c>
      <c r="G185" s="21">
        <f t="shared" si="1"/>
        <v>60000</v>
      </c>
      <c r="H185" s="21" t="s">
        <v>758</v>
      </c>
      <c r="I185" s="21" t="s">
        <v>550</v>
      </c>
      <c r="J185" s="25" t="s">
        <v>71</v>
      </c>
    </row>
    <row r="186" ht="15.75" customHeight="1">
      <c r="A186" s="25" t="s">
        <v>1182</v>
      </c>
      <c r="B186" s="25" t="s">
        <v>110</v>
      </c>
      <c r="C186" s="26">
        <v>44317.0</v>
      </c>
      <c r="D186" s="21" t="s">
        <v>112</v>
      </c>
      <c r="E186" s="21">
        <v>2.0</v>
      </c>
      <c r="F186" s="21">
        <v>30000.0</v>
      </c>
      <c r="G186" s="21">
        <f t="shared" si="1"/>
        <v>60000</v>
      </c>
      <c r="H186" s="21" t="s">
        <v>758</v>
      </c>
      <c r="I186" s="21" t="s">
        <v>550</v>
      </c>
      <c r="J186" s="25" t="s">
        <v>71</v>
      </c>
    </row>
    <row r="187" ht="15.75" customHeight="1">
      <c r="A187" s="25" t="s">
        <v>1185</v>
      </c>
      <c r="B187" s="25" t="s">
        <v>110</v>
      </c>
      <c r="C187" s="26">
        <v>44348.0</v>
      </c>
      <c r="D187" s="21" t="s">
        <v>112</v>
      </c>
      <c r="E187" s="21">
        <v>2.0</v>
      </c>
      <c r="F187" s="21">
        <v>30000.0</v>
      </c>
      <c r="G187" s="21">
        <f t="shared" si="1"/>
        <v>60000</v>
      </c>
      <c r="H187" s="21" t="s">
        <v>758</v>
      </c>
      <c r="I187" s="21" t="s">
        <v>550</v>
      </c>
      <c r="J187" s="25" t="s">
        <v>71</v>
      </c>
    </row>
    <row r="188" ht="15.75" customHeight="1">
      <c r="A188" s="25" t="s">
        <v>1187</v>
      </c>
      <c r="B188" s="25" t="s">
        <v>110</v>
      </c>
      <c r="C188" s="26">
        <v>44378.0</v>
      </c>
      <c r="D188" s="21" t="s">
        <v>112</v>
      </c>
      <c r="E188" s="21">
        <v>0.0</v>
      </c>
      <c r="F188" s="21">
        <v>30000.0</v>
      </c>
      <c r="G188" s="21">
        <f t="shared" si="1"/>
        <v>0</v>
      </c>
      <c r="H188" s="21" t="s">
        <v>758</v>
      </c>
      <c r="I188" s="21" t="s">
        <v>550</v>
      </c>
      <c r="J188" s="25" t="s">
        <v>71</v>
      </c>
    </row>
    <row r="189" ht="15.75" customHeight="1">
      <c r="A189" s="25" t="s">
        <v>1189</v>
      </c>
      <c r="B189" s="25" t="s">
        <v>110</v>
      </c>
      <c r="C189" s="26">
        <v>44409.0</v>
      </c>
      <c r="D189" s="21" t="s">
        <v>112</v>
      </c>
      <c r="E189" s="21">
        <v>0.0</v>
      </c>
      <c r="F189" s="21">
        <v>30000.0</v>
      </c>
      <c r="G189" s="21">
        <f t="shared" si="1"/>
        <v>0</v>
      </c>
      <c r="H189" s="21" t="s">
        <v>758</v>
      </c>
      <c r="I189" s="21" t="s">
        <v>550</v>
      </c>
      <c r="J189" s="25" t="s">
        <v>71</v>
      </c>
    </row>
    <row r="190" ht="15.75" customHeight="1">
      <c r="A190" s="25" t="s">
        <v>1191</v>
      </c>
      <c r="B190" s="25" t="s">
        <v>110</v>
      </c>
      <c r="C190" s="26">
        <v>44440.0</v>
      </c>
      <c r="D190" s="21" t="s">
        <v>112</v>
      </c>
      <c r="E190" s="21">
        <v>0.0</v>
      </c>
      <c r="F190" s="21">
        <v>30000.0</v>
      </c>
      <c r="G190" s="21">
        <f t="shared" si="1"/>
        <v>0</v>
      </c>
      <c r="H190" s="21" t="s">
        <v>758</v>
      </c>
      <c r="I190" s="21" t="s">
        <v>550</v>
      </c>
      <c r="J190" s="25" t="s">
        <v>71</v>
      </c>
    </row>
    <row r="191" ht="15.75" customHeight="1">
      <c r="A191" s="25" t="s">
        <v>1193</v>
      </c>
      <c r="B191" s="25" t="s">
        <v>110</v>
      </c>
      <c r="C191" s="26">
        <v>44470.0</v>
      </c>
      <c r="D191" s="21" t="s">
        <v>112</v>
      </c>
      <c r="E191" s="21">
        <v>0.0</v>
      </c>
      <c r="F191" s="21">
        <v>30000.0</v>
      </c>
      <c r="G191" s="21">
        <f t="shared" si="1"/>
        <v>0</v>
      </c>
      <c r="H191" s="21" t="s">
        <v>758</v>
      </c>
      <c r="I191" s="21" t="s">
        <v>550</v>
      </c>
      <c r="J191" s="25" t="s">
        <v>71</v>
      </c>
    </row>
    <row r="192" ht="15.75" customHeight="1">
      <c r="A192" s="25" t="s">
        <v>1195</v>
      </c>
      <c r="B192" s="25" t="s">
        <v>110</v>
      </c>
      <c r="C192" s="26">
        <v>44501.0</v>
      </c>
      <c r="D192" s="21" t="s">
        <v>112</v>
      </c>
      <c r="E192" s="21">
        <v>3.0</v>
      </c>
      <c r="F192" s="21">
        <v>30000.0</v>
      </c>
      <c r="G192" s="21">
        <f t="shared" si="1"/>
        <v>90000</v>
      </c>
      <c r="H192" s="21" t="s">
        <v>758</v>
      </c>
      <c r="I192" s="21" t="s">
        <v>550</v>
      </c>
      <c r="J192" s="25" t="s">
        <v>71</v>
      </c>
    </row>
    <row r="193" ht="15.75" customHeight="1">
      <c r="A193" s="25" t="s">
        <v>1198</v>
      </c>
      <c r="B193" s="25" t="s">
        <v>110</v>
      </c>
      <c r="C193" s="26">
        <v>44531.0</v>
      </c>
      <c r="D193" s="21" t="s">
        <v>112</v>
      </c>
      <c r="E193" s="21">
        <v>4.0</v>
      </c>
      <c r="F193" s="21">
        <v>30000.0</v>
      </c>
      <c r="G193" s="21">
        <f t="shared" si="1"/>
        <v>120000</v>
      </c>
      <c r="H193" s="21" t="s">
        <v>758</v>
      </c>
      <c r="I193" s="21" t="s">
        <v>550</v>
      </c>
      <c r="J193" s="25" t="s">
        <v>71</v>
      </c>
    </row>
    <row r="194" ht="15.75" customHeight="1">
      <c r="A194" s="25" t="s">
        <v>1200</v>
      </c>
      <c r="B194" s="25" t="s">
        <v>124</v>
      </c>
      <c r="C194" s="26">
        <v>44197.0</v>
      </c>
      <c r="D194" s="21" t="s">
        <v>125</v>
      </c>
      <c r="E194" s="21">
        <v>2.0</v>
      </c>
      <c r="F194" s="21">
        <v>49500.0</v>
      </c>
      <c r="G194" s="21">
        <f t="shared" si="1"/>
        <v>99000</v>
      </c>
      <c r="H194" s="21" t="s">
        <v>549</v>
      </c>
      <c r="I194" s="21" t="s">
        <v>550</v>
      </c>
      <c r="J194" s="25" t="s">
        <v>71</v>
      </c>
    </row>
    <row r="195" ht="15.75" customHeight="1">
      <c r="A195" s="25" t="s">
        <v>1202</v>
      </c>
      <c r="B195" s="25" t="s">
        <v>124</v>
      </c>
      <c r="C195" s="26">
        <v>44228.0</v>
      </c>
      <c r="D195" s="21" t="s">
        <v>125</v>
      </c>
      <c r="E195" s="21">
        <v>0.0</v>
      </c>
      <c r="F195" s="21">
        <v>49500.0</v>
      </c>
      <c r="G195" s="21">
        <f t="shared" si="1"/>
        <v>0</v>
      </c>
      <c r="H195" s="21" t="s">
        <v>549</v>
      </c>
      <c r="I195" s="21" t="s">
        <v>550</v>
      </c>
      <c r="J195" s="25" t="s">
        <v>71</v>
      </c>
    </row>
    <row r="196" ht="15.75" customHeight="1">
      <c r="A196" s="25" t="s">
        <v>1204</v>
      </c>
      <c r="B196" s="25" t="s">
        <v>124</v>
      </c>
      <c r="C196" s="26">
        <v>44256.0</v>
      </c>
      <c r="D196" s="21" t="s">
        <v>125</v>
      </c>
      <c r="E196" s="21">
        <v>2.0</v>
      </c>
      <c r="F196" s="21">
        <v>49500.0</v>
      </c>
      <c r="G196" s="21">
        <f t="shared" si="1"/>
        <v>99000</v>
      </c>
      <c r="H196" s="21" t="s">
        <v>549</v>
      </c>
      <c r="I196" s="21" t="s">
        <v>550</v>
      </c>
      <c r="J196" s="25" t="s">
        <v>71</v>
      </c>
    </row>
    <row r="197" ht="15.75" customHeight="1">
      <c r="A197" s="25" t="s">
        <v>1207</v>
      </c>
      <c r="B197" s="25" t="s">
        <v>124</v>
      </c>
      <c r="C197" s="26">
        <v>44287.0</v>
      </c>
      <c r="D197" s="21" t="s">
        <v>125</v>
      </c>
      <c r="E197" s="21">
        <v>1.0</v>
      </c>
      <c r="F197" s="21">
        <v>49500.0</v>
      </c>
      <c r="G197" s="21">
        <f t="shared" si="1"/>
        <v>49500</v>
      </c>
      <c r="H197" s="21" t="s">
        <v>549</v>
      </c>
      <c r="I197" s="21" t="s">
        <v>550</v>
      </c>
      <c r="J197" s="25" t="s">
        <v>71</v>
      </c>
    </row>
    <row r="198" ht="15.75" customHeight="1">
      <c r="A198" s="25" t="s">
        <v>1209</v>
      </c>
      <c r="B198" s="25" t="s">
        <v>124</v>
      </c>
      <c r="C198" s="26">
        <v>44317.0</v>
      </c>
      <c r="D198" s="21" t="s">
        <v>125</v>
      </c>
      <c r="E198" s="21">
        <v>0.0</v>
      </c>
      <c r="F198" s="21">
        <v>49500.0</v>
      </c>
      <c r="G198" s="21">
        <f t="shared" si="1"/>
        <v>0</v>
      </c>
      <c r="H198" s="21" t="s">
        <v>549</v>
      </c>
      <c r="I198" s="21" t="s">
        <v>550</v>
      </c>
      <c r="J198" s="25" t="s">
        <v>71</v>
      </c>
    </row>
    <row r="199" ht="15.75" customHeight="1">
      <c r="A199" s="25" t="s">
        <v>1211</v>
      </c>
      <c r="B199" s="25" t="s">
        <v>124</v>
      </c>
      <c r="C199" s="26">
        <v>44348.0</v>
      </c>
      <c r="D199" s="21" t="s">
        <v>125</v>
      </c>
      <c r="E199" s="21">
        <v>2.0</v>
      </c>
      <c r="F199" s="21">
        <v>49500.0</v>
      </c>
      <c r="G199" s="21">
        <f t="shared" si="1"/>
        <v>99000</v>
      </c>
      <c r="H199" s="21" t="s">
        <v>549</v>
      </c>
      <c r="I199" s="21" t="s">
        <v>550</v>
      </c>
      <c r="J199" s="25" t="s">
        <v>71</v>
      </c>
    </row>
    <row r="200" ht="15.75" customHeight="1">
      <c r="A200" s="25" t="s">
        <v>1214</v>
      </c>
      <c r="B200" s="25" t="s">
        <v>124</v>
      </c>
      <c r="C200" s="26">
        <v>44378.0</v>
      </c>
      <c r="D200" s="21" t="s">
        <v>125</v>
      </c>
      <c r="E200" s="21">
        <v>0.0</v>
      </c>
      <c r="F200" s="21">
        <v>49500.0</v>
      </c>
      <c r="G200" s="21">
        <f t="shared" si="1"/>
        <v>0</v>
      </c>
      <c r="H200" s="21" t="s">
        <v>549</v>
      </c>
      <c r="I200" s="21" t="s">
        <v>550</v>
      </c>
      <c r="J200" s="25" t="s">
        <v>71</v>
      </c>
    </row>
    <row r="201" ht="15.75" customHeight="1">
      <c r="A201" s="25" t="s">
        <v>1215</v>
      </c>
      <c r="B201" s="25" t="s">
        <v>124</v>
      </c>
      <c r="C201" s="26">
        <v>44409.0</v>
      </c>
      <c r="D201" s="21" t="s">
        <v>125</v>
      </c>
      <c r="E201" s="21">
        <v>2.0</v>
      </c>
      <c r="F201" s="21">
        <v>49500.0</v>
      </c>
      <c r="G201" s="21">
        <f t="shared" si="1"/>
        <v>99000</v>
      </c>
      <c r="H201" s="21" t="s">
        <v>549</v>
      </c>
      <c r="I201" s="21" t="s">
        <v>550</v>
      </c>
      <c r="J201" s="25" t="s">
        <v>71</v>
      </c>
    </row>
    <row r="202" ht="15.75" customHeight="1">
      <c r="A202" s="25" t="s">
        <v>1217</v>
      </c>
      <c r="B202" s="25" t="s">
        <v>124</v>
      </c>
      <c r="C202" s="26">
        <v>44440.0</v>
      </c>
      <c r="D202" s="21" t="s">
        <v>125</v>
      </c>
      <c r="E202" s="21">
        <v>2.0</v>
      </c>
      <c r="F202" s="21">
        <v>49500.0</v>
      </c>
      <c r="G202" s="21">
        <f t="shared" si="1"/>
        <v>99000</v>
      </c>
      <c r="H202" s="21" t="s">
        <v>549</v>
      </c>
      <c r="I202" s="21" t="s">
        <v>550</v>
      </c>
      <c r="J202" s="25" t="s">
        <v>71</v>
      </c>
    </row>
    <row r="203" ht="15.75" customHeight="1">
      <c r="A203" s="25" t="s">
        <v>1220</v>
      </c>
      <c r="B203" s="25" t="s">
        <v>124</v>
      </c>
      <c r="C203" s="26">
        <v>44470.0</v>
      </c>
      <c r="D203" s="21" t="s">
        <v>125</v>
      </c>
      <c r="E203" s="21">
        <v>0.0</v>
      </c>
      <c r="F203" s="21">
        <v>49500.0</v>
      </c>
      <c r="G203" s="21">
        <f t="shared" si="1"/>
        <v>0</v>
      </c>
      <c r="H203" s="21" t="s">
        <v>549</v>
      </c>
      <c r="I203" s="21" t="s">
        <v>550</v>
      </c>
      <c r="J203" s="25" t="s">
        <v>71</v>
      </c>
    </row>
    <row r="204" ht="15.75" customHeight="1">
      <c r="A204" s="25" t="s">
        <v>1222</v>
      </c>
      <c r="B204" s="25" t="s">
        <v>124</v>
      </c>
      <c r="C204" s="26">
        <v>44501.0</v>
      </c>
      <c r="D204" s="21" t="s">
        <v>125</v>
      </c>
      <c r="E204" s="21">
        <v>0.0</v>
      </c>
      <c r="F204" s="21">
        <v>49500.0</v>
      </c>
      <c r="G204" s="21">
        <f t="shared" si="1"/>
        <v>0</v>
      </c>
      <c r="H204" s="21" t="s">
        <v>549</v>
      </c>
      <c r="I204" s="21" t="s">
        <v>550</v>
      </c>
      <c r="J204" s="25" t="s">
        <v>71</v>
      </c>
    </row>
    <row r="205" ht="15.75" customHeight="1">
      <c r="A205" s="25" t="s">
        <v>1224</v>
      </c>
      <c r="B205" s="25" t="s">
        <v>124</v>
      </c>
      <c r="C205" s="26">
        <v>44531.0</v>
      </c>
      <c r="D205" s="21" t="s">
        <v>125</v>
      </c>
      <c r="E205" s="21">
        <v>0.0</v>
      </c>
      <c r="F205" s="21">
        <v>49500.0</v>
      </c>
      <c r="G205" s="21">
        <f t="shared" si="1"/>
        <v>0</v>
      </c>
      <c r="H205" s="21" t="s">
        <v>549</v>
      </c>
      <c r="I205" s="21" t="s">
        <v>550</v>
      </c>
      <c r="J205" s="25" t="s">
        <v>71</v>
      </c>
    </row>
    <row r="206" ht="15.75" customHeight="1">
      <c r="A206" s="25" t="s">
        <v>1227</v>
      </c>
      <c r="B206" s="25" t="s">
        <v>139</v>
      </c>
      <c r="C206" s="26">
        <v>44197.0</v>
      </c>
      <c r="D206" s="21" t="s">
        <v>140</v>
      </c>
      <c r="E206" s="21">
        <v>1.0</v>
      </c>
      <c r="F206" s="21">
        <v>30000.0</v>
      </c>
      <c r="G206" s="21">
        <f t="shared" si="1"/>
        <v>30000</v>
      </c>
      <c r="H206" s="21" t="s">
        <v>758</v>
      </c>
      <c r="I206" s="21" t="s">
        <v>550</v>
      </c>
      <c r="J206" s="25" t="s">
        <v>71</v>
      </c>
    </row>
    <row r="207" ht="15.75" customHeight="1">
      <c r="A207" s="25" t="s">
        <v>1229</v>
      </c>
      <c r="B207" s="25" t="s">
        <v>139</v>
      </c>
      <c r="C207" s="26">
        <v>44228.0</v>
      </c>
      <c r="D207" s="21" t="s">
        <v>140</v>
      </c>
      <c r="E207" s="21">
        <v>0.0</v>
      </c>
      <c r="F207" s="21">
        <v>30000.0</v>
      </c>
      <c r="G207" s="21">
        <f t="shared" si="1"/>
        <v>0</v>
      </c>
      <c r="H207" s="21" t="s">
        <v>758</v>
      </c>
      <c r="I207" s="21" t="s">
        <v>550</v>
      </c>
      <c r="J207" s="25" t="s">
        <v>71</v>
      </c>
    </row>
    <row r="208" ht="15.75" customHeight="1">
      <c r="A208" s="25" t="s">
        <v>1232</v>
      </c>
      <c r="B208" s="25" t="s">
        <v>139</v>
      </c>
      <c r="C208" s="26">
        <v>44256.0</v>
      </c>
      <c r="D208" s="21" t="s">
        <v>140</v>
      </c>
      <c r="E208" s="21">
        <v>0.0</v>
      </c>
      <c r="F208" s="21">
        <v>30000.0</v>
      </c>
      <c r="G208" s="21">
        <f t="shared" si="1"/>
        <v>0</v>
      </c>
      <c r="H208" s="21" t="s">
        <v>758</v>
      </c>
      <c r="I208" s="21" t="s">
        <v>550</v>
      </c>
      <c r="J208" s="25" t="s">
        <v>71</v>
      </c>
    </row>
    <row r="209" ht="15.75" customHeight="1">
      <c r="A209" s="25" t="s">
        <v>1234</v>
      </c>
      <c r="B209" s="25" t="s">
        <v>139</v>
      </c>
      <c r="C209" s="26">
        <v>44287.0</v>
      </c>
      <c r="D209" s="21" t="s">
        <v>140</v>
      </c>
      <c r="E209" s="21">
        <v>1.0</v>
      </c>
      <c r="F209" s="21">
        <v>30000.0</v>
      </c>
      <c r="G209" s="21">
        <f t="shared" si="1"/>
        <v>30000</v>
      </c>
      <c r="H209" s="21" t="s">
        <v>758</v>
      </c>
      <c r="I209" s="21" t="s">
        <v>550</v>
      </c>
      <c r="J209" s="25" t="s">
        <v>71</v>
      </c>
    </row>
    <row r="210" ht="15.75" customHeight="1">
      <c r="A210" s="25" t="s">
        <v>1236</v>
      </c>
      <c r="B210" s="25" t="s">
        <v>139</v>
      </c>
      <c r="C210" s="26">
        <v>44317.0</v>
      </c>
      <c r="D210" s="21" t="s">
        <v>140</v>
      </c>
      <c r="E210" s="21">
        <v>0.0</v>
      </c>
      <c r="F210" s="21">
        <v>30000.0</v>
      </c>
      <c r="G210" s="21">
        <f t="shared" si="1"/>
        <v>0</v>
      </c>
      <c r="H210" s="21" t="s">
        <v>758</v>
      </c>
      <c r="I210" s="21" t="s">
        <v>550</v>
      </c>
      <c r="J210" s="25" t="s">
        <v>71</v>
      </c>
    </row>
    <row r="211" ht="15.75" customHeight="1">
      <c r="A211" s="25" t="s">
        <v>1238</v>
      </c>
      <c r="B211" s="25" t="s">
        <v>139</v>
      </c>
      <c r="C211" s="26">
        <v>44348.0</v>
      </c>
      <c r="D211" s="21" t="s">
        <v>140</v>
      </c>
      <c r="E211" s="21">
        <v>0.0</v>
      </c>
      <c r="F211" s="21">
        <v>30000.0</v>
      </c>
      <c r="G211" s="21">
        <f t="shared" si="1"/>
        <v>0</v>
      </c>
      <c r="H211" s="21" t="s">
        <v>758</v>
      </c>
      <c r="I211" s="21" t="s">
        <v>550</v>
      </c>
      <c r="J211" s="25" t="s">
        <v>71</v>
      </c>
    </row>
    <row r="212" ht="15.75" customHeight="1">
      <c r="A212" s="25" t="s">
        <v>1240</v>
      </c>
      <c r="B212" s="25" t="s">
        <v>139</v>
      </c>
      <c r="C212" s="26">
        <v>44378.0</v>
      </c>
      <c r="D212" s="21" t="s">
        <v>140</v>
      </c>
      <c r="E212" s="21">
        <v>0.0</v>
      </c>
      <c r="F212" s="21">
        <v>30000.0</v>
      </c>
      <c r="G212" s="21">
        <f t="shared" si="1"/>
        <v>0</v>
      </c>
      <c r="H212" s="21" t="s">
        <v>758</v>
      </c>
      <c r="I212" s="21" t="s">
        <v>550</v>
      </c>
      <c r="J212" s="25" t="s">
        <v>71</v>
      </c>
    </row>
    <row r="213" ht="15.75" customHeight="1">
      <c r="A213" s="25" t="s">
        <v>1242</v>
      </c>
      <c r="B213" s="25" t="s">
        <v>139</v>
      </c>
      <c r="C213" s="26">
        <v>44409.0</v>
      </c>
      <c r="D213" s="21" t="s">
        <v>140</v>
      </c>
      <c r="E213" s="21">
        <v>0.0</v>
      </c>
      <c r="F213" s="21">
        <v>30000.0</v>
      </c>
      <c r="G213" s="21">
        <f t="shared" si="1"/>
        <v>0</v>
      </c>
      <c r="H213" s="21" t="s">
        <v>758</v>
      </c>
      <c r="I213" s="21" t="s">
        <v>550</v>
      </c>
      <c r="J213" s="25" t="s">
        <v>71</v>
      </c>
    </row>
    <row r="214" ht="15.75" customHeight="1">
      <c r="A214" s="25" t="s">
        <v>1244</v>
      </c>
      <c r="B214" s="25" t="s">
        <v>139</v>
      </c>
      <c r="C214" s="26">
        <v>44440.0</v>
      </c>
      <c r="D214" s="21" t="s">
        <v>140</v>
      </c>
      <c r="E214" s="21">
        <v>1.0</v>
      </c>
      <c r="F214" s="21">
        <v>30000.0</v>
      </c>
      <c r="G214" s="21">
        <f t="shared" si="1"/>
        <v>30000</v>
      </c>
      <c r="H214" s="21" t="s">
        <v>758</v>
      </c>
      <c r="I214" s="21" t="s">
        <v>550</v>
      </c>
      <c r="J214" s="25" t="s">
        <v>71</v>
      </c>
    </row>
    <row r="215" ht="15.75" customHeight="1">
      <c r="A215" s="25" t="s">
        <v>1246</v>
      </c>
      <c r="B215" s="25" t="s">
        <v>139</v>
      </c>
      <c r="C215" s="26">
        <v>44470.0</v>
      </c>
      <c r="D215" s="21" t="s">
        <v>140</v>
      </c>
      <c r="E215" s="21">
        <v>0.0</v>
      </c>
      <c r="F215" s="21">
        <v>30000.0</v>
      </c>
      <c r="G215" s="21">
        <f t="shared" si="1"/>
        <v>0</v>
      </c>
      <c r="H215" s="21" t="s">
        <v>758</v>
      </c>
      <c r="I215" s="21" t="s">
        <v>550</v>
      </c>
      <c r="J215" s="25" t="s">
        <v>71</v>
      </c>
    </row>
    <row r="216" ht="15.75" customHeight="1">
      <c r="A216" s="25" t="s">
        <v>1249</v>
      </c>
      <c r="B216" s="25" t="s">
        <v>139</v>
      </c>
      <c r="C216" s="26">
        <v>44501.0</v>
      </c>
      <c r="D216" s="21" t="s">
        <v>140</v>
      </c>
      <c r="E216" s="21">
        <v>0.0</v>
      </c>
      <c r="F216" s="21">
        <v>30000.0</v>
      </c>
      <c r="G216" s="21">
        <f t="shared" si="1"/>
        <v>0</v>
      </c>
      <c r="H216" s="21" t="s">
        <v>758</v>
      </c>
      <c r="I216" s="21" t="s">
        <v>550</v>
      </c>
      <c r="J216" s="25" t="s">
        <v>71</v>
      </c>
    </row>
    <row r="217" ht="15.75" customHeight="1">
      <c r="A217" s="25" t="s">
        <v>1251</v>
      </c>
      <c r="B217" s="25" t="s">
        <v>139</v>
      </c>
      <c r="C217" s="26">
        <v>44531.0</v>
      </c>
      <c r="D217" s="21" t="s">
        <v>140</v>
      </c>
      <c r="E217" s="21">
        <v>1.0</v>
      </c>
      <c r="F217" s="21">
        <v>30000.0</v>
      </c>
      <c r="G217" s="21">
        <f t="shared" si="1"/>
        <v>30000</v>
      </c>
      <c r="H217" s="21" t="s">
        <v>758</v>
      </c>
      <c r="I217" s="21" t="s">
        <v>550</v>
      </c>
      <c r="J217" s="25" t="s">
        <v>71</v>
      </c>
    </row>
    <row r="218" ht="15.75" customHeight="1">
      <c r="A218" s="25" t="s">
        <v>1253</v>
      </c>
      <c r="B218" s="25" t="s">
        <v>150</v>
      </c>
      <c r="C218" s="26">
        <v>44197.0</v>
      </c>
      <c r="D218" s="21" t="s">
        <v>151</v>
      </c>
      <c r="E218" s="21">
        <v>0.0</v>
      </c>
      <c r="F218" s="21">
        <v>30000.0</v>
      </c>
      <c r="G218" s="21">
        <f t="shared" si="1"/>
        <v>0</v>
      </c>
      <c r="H218" s="21" t="s">
        <v>758</v>
      </c>
      <c r="I218" s="21" t="s">
        <v>550</v>
      </c>
      <c r="J218" s="25" t="s">
        <v>71</v>
      </c>
    </row>
    <row r="219" ht="15.75" customHeight="1">
      <c r="A219" s="25" t="s">
        <v>1255</v>
      </c>
      <c r="B219" s="25" t="s">
        <v>150</v>
      </c>
      <c r="C219" s="26">
        <v>44228.0</v>
      </c>
      <c r="D219" s="21" t="s">
        <v>151</v>
      </c>
      <c r="E219" s="21">
        <v>0.0</v>
      </c>
      <c r="F219" s="21">
        <v>30000.0</v>
      </c>
      <c r="G219" s="21">
        <f t="shared" si="1"/>
        <v>0</v>
      </c>
      <c r="H219" s="21" t="s">
        <v>758</v>
      </c>
      <c r="I219" s="21" t="s">
        <v>550</v>
      </c>
      <c r="J219" s="25" t="s">
        <v>71</v>
      </c>
    </row>
    <row r="220" ht="15.75" customHeight="1">
      <c r="A220" s="25" t="s">
        <v>1257</v>
      </c>
      <c r="B220" s="25" t="s">
        <v>150</v>
      </c>
      <c r="C220" s="26">
        <v>44256.0</v>
      </c>
      <c r="D220" s="21" t="s">
        <v>151</v>
      </c>
      <c r="E220" s="21">
        <v>0.0</v>
      </c>
      <c r="F220" s="21">
        <v>30000.0</v>
      </c>
      <c r="G220" s="21">
        <f t="shared" si="1"/>
        <v>0</v>
      </c>
      <c r="H220" s="21" t="s">
        <v>758</v>
      </c>
      <c r="I220" s="21" t="s">
        <v>550</v>
      </c>
      <c r="J220" s="25" t="s">
        <v>71</v>
      </c>
    </row>
    <row r="221" ht="15.75" customHeight="1">
      <c r="A221" s="25" t="s">
        <v>1260</v>
      </c>
      <c r="B221" s="25" t="s">
        <v>150</v>
      </c>
      <c r="C221" s="26">
        <v>44287.0</v>
      </c>
      <c r="D221" s="21" t="s">
        <v>151</v>
      </c>
      <c r="E221" s="21">
        <v>1.0</v>
      </c>
      <c r="F221" s="21">
        <v>30000.0</v>
      </c>
      <c r="G221" s="21">
        <f t="shared" si="1"/>
        <v>30000</v>
      </c>
      <c r="H221" s="21" t="s">
        <v>758</v>
      </c>
      <c r="I221" s="21" t="s">
        <v>550</v>
      </c>
      <c r="J221" s="25" t="s">
        <v>71</v>
      </c>
    </row>
    <row r="222" ht="15.75" customHeight="1">
      <c r="A222" s="25" t="s">
        <v>1262</v>
      </c>
      <c r="B222" s="25" t="s">
        <v>150</v>
      </c>
      <c r="C222" s="26">
        <v>44317.0</v>
      </c>
      <c r="D222" s="21" t="s">
        <v>151</v>
      </c>
      <c r="E222" s="21">
        <v>0.0</v>
      </c>
      <c r="F222" s="21">
        <v>30000.0</v>
      </c>
      <c r="G222" s="21">
        <f t="shared" si="1"/>
        <v>0</v>
      </c>
      <c r="H222" s="21" t="s">
        <v>758</v>
      </c>
      <c r="I222" s="21" t="s">
        <v>550</v>
      </c>
      <c r="J222" s="25" t="s">
        <v>71</v>
      </c>
    </row>
    <row r="223" ht="15.75" customHeight="1">
      <c r="A223" s="25" t="s">
        <v>1265</v>
      </c>
      <c r="B223" s="25" t="s">
        <v>150</v>
      </c>
      <c r="C223" s="26">
        <v>44348.0</v>
      </c>
      <c r="D223" s="21" t="s">
        <v>151</v>
      </c>
      <c r="E223" s="21">
        <v>0.0</v>
      </c>
      <c r="F223" s="21">
        <v>30000.0</v>
      </c>
      <c r="G223" s="21">
        <f t="shared" si="1"/>
        <v>0</v>
      </c>
      <c r="H223" s="21" t="s">
        <v>758</v>
      </c>
      <c r="I223" s="21" t="s">
        <v>550</v>
      </c>
      <c r="J223" s="25" t="s">
        <v>71</v>
      </c>
    </row>
    <row r="224" ht="15.75" customHeight="1">
      <c r="A224" s="25" t="s">
        <v>1267</v>
      </c>
      <c r="B224" s="25" t="s">
        <v>150</v>
      </c>
      <c r="C224" s="26">
        <v>44378.0</v>
      </c>
      <c r="D224" s="21" t="s">
        <v>151</v>
      </c>
      <c r="E224" s="21">
        <v>0.0</v>
      </c>
      <c r="F224" s="21">
        <v>30000.0</v>
      </c>
      <c r="G224" s="21">
        <f t="shared" si="1"/>
        <v>0</v>
      </c>
      <c r="H224" s="21" t="s">
        <v>758</v>
      </c>
      <c r="I224" s="21" t="s">
        <v>550</v>
      </c>
      <c r="J224" s="25" t="s">
        <v>71</v>
      </c>
    </row>
    <row r="225" ht="15.75" customHeight="1">
      <c r="A225" s="25" t="s">
        <v>1269</v>
      </c>
      <c r="B225" s="25" t="s">
        <v>150</v>
      </c>
      <c r="C225" s="26">
        <v>44409.0</v>
      </c>
      <c r="D225" s="21" t="s">
        <v>151</v>
      </c>
      <c r="E225" s="21">
        <v>0.0</v>
      </c>
      <c r="F225" s="21">
        <v>30000.0</v>
      </c>
      <c r="G225" s="21">
        <f t="shared" si="1"/>
        <v>0</v>
      </c>
      <c r="H225" s="21" t="s">
        <v>758</v>
      </c>
      <c r="I225" s="21" t="s">
        <v>550</v>
      </c>
      <c r="J225" s="25" t="s">
        <v>71</v>
      </c>
    </row>
    <row r="226" ht="15.75" customHeight="1">
      <c r="A226" s="25" t="s">
        <v>1272</v>
      </c>
      <c r="B226" s="25" t="s">
        <v>150</v>
      </c>
      <c r="C226" s="26">
        <v>44440.0</v>
      </c>
      <c r="D226" s="21" t="s">
        <v>151</v>
      </c>
      <c r="E226" s="21">
        <v>1.0</v>
      </c>
      <c r="F226" s="21">
        <v>30000.0</v>
      </c>
      <c r="G226" s="21">
        <f t="shared" si="1"/>
        <v>30000</v>
      </c>
      <c r="H226" s="21" t="s">
        <v>758</v>
      </c>
      <c r="I226" s="21" t="s">
        <v>550</v>
      </c>
      <c r="J226" s="25" t="s">
        <v>71</v>
      </c>
    </row>
    <row r="227" ht="15.75" customHeight="1">
      <c r="A227" s="25" t="s">
        <v>1274</v>
      </c>
      <c r="B227" s="25" t="s">
        <v>150</v>
      </c>
      <c r="C227" s="26">
        <v>44470.0</v>
      </c>
      <c r="D227" s="21" t="s">
        <v>151</v>
      </c>
      <c r="E227" s="21">
        <v>0.0</v>
      </c>
      <c r="F227" s="21">
        <v>30000.0</v>
      </c>
      <c r="G227" s="21">
        <f t="shared" si="1"/>
        <v>0</v>
      </c>
      <c r="H227" s="21" t="s">
        <v>758</v>
      </c>
      <c r="I227" s="21" t="s">
        <v>550</v>
      </c>
      <c r="J227" s="25" t="s">
        <v>71</v>
      </c>
    </row>
    <row r="228" ht="15.75" customHeight="1">
      <c r="A228" s="25" t="s">
        <v>1276</v>
      </c>
      <c r="B228" s="25" t="s">
        <v>150</v>
      </c>
      <c r="C228" s="26">
        <v>44501.0</v>
      </c>
      <c r="D228" s="21" t="s">
        <v>151</v>
      </c>
      <c r="E228" s="21">
        <v>1.0</v>
      </c>
      <c r="F228" s="21">
        <v>30000.0</v>
      </c>
      <c r="G228" s="21">
        <f t="shared" si="1"/>
        <v>30000</v>
      </c>
      <c r="H228" s="21" t="s">
        <v>758</v>
      </c>
      <c r="I228" s="21" t="s">
        <v>550</v>
      </c>
      <c r="J228" s="25" t="s">
        <v>71</v>
      </c>
    </row>
    <row r="229" ht="15.75" customHeight="1">
      <c r="A229" s="25" t="s">
        <v>1278</v>
      </c>
      <c r="B229" s="25" t="s">
        <v>150</v>
      </c>
      <c r="C229" s="26">
        <v>44531.0</v>
      </c>
      <c r="D229" s="21" t="s">
        <v>151</v>
      </c>
      <c r="E229" s="21">
        <v>0.0</v>
      </c>
      <c r="F229" s="21">
        <v>30000.0</v>
      </c>
      <c r="G229" s="21">
        <f t="shared" si="1"/>
        <v>0</v>
      </c>
      <c r="H229" s="21" t="s">
        <v>758</v>
      </c>
      <c r="I229" s="21" t="s">
        <v>550</v>
      </c>
      <c r="J229" s="25" t="s">
        <v>71</v>
      </c>
    </row>
    <row r="230" ht="15.75" customHeight="1">
      <c r="A230" s="25" t="s">
        <v>1280</v>
      </c>
      <c r="B230" s="25" t="s">
        <v>163</v>
      </c>
      <c r="C230" s="26">
        <v>44197.0</v>
      </c>
      <c r="D230" s="21" t="s">
        <v>165</v>
      </c>
      <c r="E230" s="21">
        <v>1.0</v>
      </c>
      <c r="F230" s="21">
        <v>49500.0</v>
      </c>
      <c r="G230" s="21">
        <f t="shared" si="1"/>
        <v>49500</v>
      </c>
      <c r="H230" s="21" t="s">
        <v>549</v>
      </c>
      <c r="I230" s="21" t="s">
        <v>550</v>
      </c>
      <c r="J230" s="25" t="s">
        <v>71</v>
      </c>
    </row>
    <row r="231" ht="15.75" customHeight="1">
      <c r="A231" s="25" t="s">
        <v>1283</v>
      </c>
      <c r="B231" s="25" t="s">
        <v>163</v>
      </c>
      <c r="C231" s="26">
        <v>44228.0</v>
      </c>
      <c r="D231" s="21" t="s">
        <v>165</v>
      </c>
      <c r="E231" s="21">
        <v>1.0</v>
      </c>
      <c r="F231" s="21">
        <v>49500.0</v>
      </c>
      <c r="G231" s="21">
        <f t="shared" si="1"/>
        <v>49500</v>
      </c>
      <c r="H231" s="21" t="s">
        <v>549</v>
      </c>
      <c r="I231" s="21" t="s">
        <v>550</v>
      </c>
      <c r="J231" s="25" t="s">
        <v>71</v>
      </c>
    </row>
    <row r="232" ht="15.75" customHeight="1">
      <c r="A232" s="25" t="s">
        <v>1285</v>
      </c>
      <c r="B232" s="25" t="s">
        <v>163</v>
      </c>
      <c r="C232" s="26">
        <v>44256.0</v>
      </c>
      <c r="D232" s="21" t="s">
        <v>165</v>
      </c>
      <c r="E232" s="21">
        <v>0.0</v>
      </c>
      <c r="F232" s="21">
        <v>49500.0</v>
      </c>
      <c r="G232" s="21">
        <f t="shared" si="1"/>
        <v>0</v>
      </c>
      <c r="H232" s="21" t="s">
        <v>549</v>
      </c>
      <c r="I232" s="21" t="s">
        <v>550</v>
      </c>
      <c r="J232" s="25" t="s">
        <v>71</v>
      </c>
    </row>
    <row r="233" ht="15.75" customHeight="1">
      <c r="A233" s="25" t="s">
        <v>1287</v>
      </c>
      <c r="B233" s="25" t="s">
        <v>163</v>
      </c>
      <c r="C233" s="26">
        <v>44287.0</v>
      </c>
      <c r="D233" s="21" t="s">
        <v>165</v>
      </c>
      <c r="E233" s="21">
        <v>0.0</v>
      </c>
      <c r="F233" s="21">
        <v>49500.0</v>
      </c>
      <c r="G233" s="21">
        <f t="shared" si="1"/>
        <v>0</v>
      </c>
      <c r="H233" s="21" t="s">
        <v>549</v>
      </c>
      <c r="I233" s="21" t="s">
        <v>550</v>
      </c>
      <c r="J233" s="25" t="s">
        <v>71</v>
      </c>
    </row>
    <row r="234" ht="15.75" customHeight="1">
      <c r="A234" s="25" t="s">
        <v>1289</v>
      </c>
      <c r="B234" s="25" t="s">
        <v>163</v>
      </c>
      <c r="C234" s="26">
        <v>44317.0</v>
      </c>
      <c r="D234" s="21" t="s">
        <v>165</v>
      </c>
      <c r="E234" s="21">
        <v>0.0</v>
      </c>
      <c r="F234" s="21">
        <v>49500.0</v>
      </c>
      <c r="G234" s="21">
        <f t="shared" si="1"/>
        <v>0</v>
      </c>
      <c r="H234" s="21" t="s">
        <v>549</v>
      </c>
      <c r="I234" s="21" t="s">
        <v>550</v>
      </c>
      <c r="J234" s="25" t="s">
        <v>71</v>
      </c>
    </row>
    <row r="235" ht="15.75" customHeight="1">
      <c r="A235" s="25" t="s">
        <v>1292</v>
      </c>
      <c r="B235" s="25" t="s">
        <v>163</v>
      </c>
      <c r="C235" s="26">
        <v>44348.0</v>
      </c>
      <c r="D235" s="21" t="s">
        <v>165</v>
      </c>
      <c r="E235" s="21">
        <v>0.0</v>
      </c>
      <c r="F235" s="21">
        <v>49500.0</v>
      </c>
      <c r="G235" s="21">
        <f t="shared" si="1"/>
        <v>0</v>
      </c>
      <c r="H235" s="21" t="s">
        <v>549</v>
      </c>
      <c r="I235" s="21" t="s">
        <v>550</v>
      </c>
      <c r="J235" s="25" t="s">
        <v>71</v>
      </c>
    </row>
    <row r="236" ht="15.75" customHeight="1">
      <c r="A236" s="25" t="s">
        <v>1294</v>
      </c>
      <c r="B236" s="25" t="s">
        <v>163</v>
      </c>
      <c r="C236" s="26">
        <v>44378.0</v>
      </c>
      <c r="D236" s="21" t="s">
        <v>165</v>
      </c>
      <c r="E236" s="21">
        <v>0.0</v>
      </c>
      <c r="F236" s="21">
        <v>49500.0</v>
      </c>
      <c r="G236" s="21">
        <f t="shared" si="1"/>
        <v>0</v>
      </c>
      <c r="H236" s="21" t="s">
        <v>549</v>
      </c>
      <c r="I236" s="21" t="s">
        <v>550</v>
      </c>
      <c r="J236" s="25" t="s">
        <v>71</v>
      </c>
    </row>
    <row r="237" ht="15.75" customHeight="1">
      <c r="A237" s="25" t="s">
        <v>1296</v>
      </c>
      <c r="B237" s="25" t="s">
        <v>163</v>
      </c>
      <c r="C237" s="26">
        <v>44409.0</v>
      </c>
      <c r="D237" s="21" t="s">
        <v>165</v>
      </c>
      <c r="E237" s="21">
        <v>0.0</v>
      </c>
      <c r="F237" s="21">
        <v>49500.0</v>
      </c>
      <c r="G237" s="21">
        <f t="shared" si="1"/>
        <v>0</v>
      </c>
      <c r="H237" s="21" t="s">
        <v>549</v>
      </c>
      <c r="I237" s="21" t="s">
        <v>550</v>
      </c>
      <c r="J237" s="25" t="s">
        <v>71</v>
      </c>
    </row>
    <row r="238" ht="15.75" customHeight="1">
      <c r="A238" s="25" t="s">
        <v>1298</v>
      </c>
      <c r="B238" s="25" t="s">
        <v>163</v>
      </c>
      <c r="C238" s="26">
        <v>44440.0</v>
      </c>
      <c r="D238" s="21" t="s">
        <v>165</v>
      </c>
      <c r="E238" s="21">
        <v>0.0</v>
      </c>
      <c r="F238" s="21">
        <v>49500.0</v>
      </c>
      <c r="G238" s="21">
        <f t="shared" si="1"/>
        <v>0</v>
      </c>
      <c r="H238" s="21" t="s">
        <v>549</v>
      </c>
      <c r="I238" s="21" t="s">
        <v>550</v>
      </c>
      <c r="J238" s="25" t="s">
        <v>71</v>
      </c>
    </row>
    <row r="239" ht="15.75" customHeight="1">
      <c r="A239" s="25" t="s">
        <v>1300</v>
      </c>
      <c r="B239" s="25" t="s">
        <v>163</v>
      </c>
      <c r="C239" s="26">
        <v>44470.0</v>
      </c>
      <c r="D239" s="21" t="s">
        <v>165</v>
      </c>
      <c r="E239" s="21">
        <v>1.0</v>
      </c>
      <c r="F239" s="21">
        <v>49500.0</v>
      </c>
      <c r="G239" s="21">
        <f t="shared" si="1"/>
        <v>49500</v>
      </c>
      <c r="H239" s="21" t="s">
        <v>549</v>
      </c>
      <c r="I239" s="21" t="s">
        <v>550</v>
      </c>
      <c r="J239" s="25" t="s">
        <v>71</v>
      </c>
    </row>
    <row r="240" ht="15.75" customHeight="1">
      <c r="A240" s="25" t="s">
        <v>1303</v>
      </c>
      <c r="B240" s="25" t="s">
        <v>163</v>
      </c>
      <c r="C240" s="26">
        <v>44501.0</v>
      </c>
      <c r="D240" s="21" t="s">
        <v>165</v>
      </c>
      <c r="E240" s="21">
        <v>0.0</v>
      </c>
      <c r="F240" s="21">
        <v>49500.0</v>
      </c>
      <c r="G240" s="21">
        <f t="shared" si="1"/>
        <v>0</v>
      </c>
      <c r="H240" s="21" t="s">
        <v>549</v>
      </c>
      <c r="I240" s="21" t="s">
        <v>550</v>
      </c>
      <c r="J240" s="25" t="s">
        <v>71</v>
      </c>
    </row>
    <row r="241" ht="15.75" customHeight="1">
      <c r="A241" s="25" t="s">
        <v>1305</v>
      </c>
      <c r="B241" s="25" t="s">
        <v>163</v>
      </c>
      <c r="C241" s="26">
        <v>44531.0</v>
      </c>
      <c r="D241" s="21" t="s">
        <v>165</v>
      </c>
      <c r="E241" s="21">
        <v>0.0</v>
      </c>
      <c r="F241" s="21">
        <v>49500.0</v>
      </c>
      <c r="G241" s="21">
        <f t="shared" si="1"/>
        <v>0</v>
      </c>
      <c r="H241" s="21" t="s">
        <v>549</v>
      </c>
      <c r="I241" s="21" t="s">
        <v>550</v>
      </c>
      <c r="J241" s="25" t="s">
        <v>71</v>
      </c>
    </row>
    <row r="242" ht="15.75" customHeight="1">
      <c r="A242" s="25" t="s">
        <v>1307</v>
      </c>
      <c r="B242" s="25" t="s">
        <v>175</v>
      </c>
      <c r="C242" s="26">
        <v>44197.0</v>
      </c>
      <c r="D242" s="21" t="s">
        <v>176</v>
      </c>
      <c r="E242" s="21">
        <v>3.0</v>
      </c>
      <c r="F242" s="21">
        <v>49500.0</v>
      </c>
      <c r="G242" s="21">
        <f t="shared" si="1"/>
        <v>148500</v>
      </c>
      <c r="H242" s="21" t="s">
        <v>549</v>
      </c>
      <c r="I242" s="21" t="s">
        <v>550</v>
      </c>
      <c r="J242" s="25" t="s">
        <v>71</v>
      </c>
    </row>
    <row r="243" ht="15.75" customHeight="1">
      <c r="A243" s="25" t="s">
        <v>1309</v>
      </c>
      <c r="B243" s="25" t="s">
        <v>175</v>
      </c>
      <c r="C243" s="26">
        <v>44228.0</v>
      </c>
      <c r="D243" s="21" t="s">
        <v>176</v>
      </c>
      <c r="E243" s="21">
        <v>0.0</v>
      </c>
      <c r="F243" s="21">
        <v>49500.0</v>
      </c>
      <c r="G243" s="21">
        <f t="shared" si="1"/>
        <v>0</v>
      </c>
      <c r="H243" s="21" t="s">
        <v>549</v>
      </c>
      <c r="I243" s="21" t="s">
        <v>550</v>
      </c>
      <c r="J243" s="25" t="s">
        <v>71</v>
      </c>
    </row>
    <row r="244" ht="15.75" customHeight="1">
      <c r="A244" s="25" t="s">
        <v>1312</v>
      </c>
      <c r="B244" s="25" t="s">
        <v>175</v>
      </c>
      <c r="C244" s="26">
        <v>44256.0</v>
      </c>
      <c r="D244" s="21" t="s">
        <v>176</v>
      </c>
      <c r="E244" s="21">
        <v>0.0</v>
      </c>
      <c r="F244" s="21">
        <v>49500.0</v>
      </c>
      <c r="G244" s="21">
        <f t="shared" si="1"/>
        <v>0</v>
      </c>
      <c r="H244" s="21" t="s">
        <v>549</v>
      </c>
      <c r="I244" s="21" t="s">
        <v>550</v>
      </c>
      <c r="J244" s="25" t="s">
        <v>71</v>
      </c>
    </row>
    <row r="245" ht="15.75" customHeight="1">
      <c r="A245" s="25" t="s">
        <v>1314</v>
      </c>
      <c r="B245" s="25" t="s">
        <v>175</v>
      </c>
      <c r="C245" s="26">
        <v>44287.0</v>
      </c>
      <c r="D245" s="21" t="s">
        <v>176</v>
      </c>
      <c r="E245" s="21">
        <v>2.0</v>
      </c>
      <c r="F245" s="21">
        <v>49500.0</v>
      </c>
      <c r="G245" s="21">
        <f t="shared" si="1"/>
        <v>99000</v>
      </c>
      <c r="H245" s="21" t="s">
        <v>549</v>
      </c>
      <c r="I245" s="21" t="s">
        <v>550</v>
      </c>
      <c r="J245" s="25" t="s">
        <v>71</v>
      </c>
    </row>
    <row r="246" ht="15.75" customHeight="1">
      <c r="A246" s="25" t="s">
        <v>1316</v>
      </c>
      <c r="B246" s="25" t="s">
        <v>175</v>
      </c>
      <c r="C246" s="26">
        <v>44317.0</v>
      </c>
      <c r="D246" s="21" t="s">
        <v>176</v>
      </c>
      <c r="E246" s="21">
        <v>3.0</v>
      </c>
      <c r="F246" s="21">
        <v>49500.0</v>
      </c>
      <c r="G246" s="21">
        <f t="shared" si="1"/>
        <v>148500</v>
      </c>
      <c r="H246" s="21" t="s">
        <v>549</v>
      </c>
      <c r="I246" s="21" t="s">
        <v>550</v>
      </c>
      <c r="J246" s="25" t="s">
        <v>71</v>
      </c>
    </row>
    <row r="247" ht="15.75" customHeight="1">
      <c r="A247" s="25" t="s">
        <v>1318</v>
      </c>
      <c r="B247" s="25" t="s">
        <v>175</v>
      </c>
      <c r="C247" s="26">
        <v>44348.0</v>
      </c>
      <c r="D247" s="21" t="s">
        <v>176</v>
      </c>
      <c r="E247" s="21">
        <v>0.0</v>
      </c>
      <c r="F247" s="21">
        <v>49500.0</v>
      </c>
      <c r="G247" s="21">
        <f t="shared" si="1"/>
        <v>0</v>
      </c>
      <c r="H247" s="21" t="s">
        <v>549</v>
      </c>
      <c r="I247" s="21" t="s">
        <v>550</v>
      </c>
      <c r="J247" s="25" t="s">
        <v>71</v>
      </c>
    </row>
    <row r="248" ht="15.75" customHeight="1">
      <c r="A248" s="25" t="s">
        <v>1320</v>
      </c>
      <c r="B248" s="25" t="s">
        <v>175</v>
      </c>
      <c r="C248" s="26">
        <v>44378.0</v>
      </c>
      <c r="D248" s="21" t="s">
        <v>176</v>
      </c>
      <c r="E248" s="21">
        <v>0.0</v>
      </c>
      <c r="F248" s="21">
        <v>49500.0</v>
      </c>
      <c r="G248" s="21">
        <f t="shared" si="1"/>
        <v>0</v>
      </c>
      <c r="H248" s="21" t="s">
        <v>549</v>
      </c>
      <c r="I248" s="21" t="s">
        <v>550</v>
      </c>
      <c r="J248" s="25" t="s">
        <v>71</v>
      </c>
    </row>
    <row r="249" ht="15.75" customHeight="1">
      <c r="A249" s="25" t="s">
        <v>1321</v>
      </c>
      <c r="B249" s="25" t="s">
        <v>175</v>
      </c>
      <c r="C249" s="26">
        <v>44409.0</v>
      </c>
      <c r="D249" s="21" t="s">
        <v>176</v>
      </c>
      <c r="E249" s="21">
        <v>1.0</v>
      </c>
      <c r="F249" s="21">
        <v>49500.0</v>
      </c>
      <c r="G249" s="21">
        <f t="shared" si="1"/>
        <v>49500</v>
      </c>
      <c r="H249" s="21" t="s">
        <v>549</v>
      </c>
      <c r="I249" s="21" t="s">
        <v>550</v>
      </c>
      <c r="J249" s="25" t="s">
        <v>71</v>
      </c>
    </row>
    <row r="250" ht="15.75" customHeight="1">
      <c r="A250" s="25" t="s">
        <v>1323</v>
      </c>
      <c r="B250" s="25" t="s">
        <v>175</v>
      </c>
      <c r="C250" s="26">
        <v>44440.0</v>
      </c>
      <c r="D250" s="21" t="s">
        <v>176</v>
      </c>
      <c r="E250" s="21">
        <v>4.0</v>
      </c>
      <c r="F250" s="21">
        <v>49500.0</v>
      </c>
      <c r="G250" s="21">
        <f t="shared" si="1"/>
        <v>198000</v>
      </c>
      <c r="H250" s="21" t="s">
        <v>549</v>
      </c>
      <c r="I250" s="21" t="s">
        <v>550</v>
      </c>
      <c r="J250" s="25" t="s">
        <v>71</v>
      </c>
    </row>
    <row r="251" ht="15.75" customHeight="1">
      <c r="A251" s="25" t="s">
        <v>1325</v>
      </c>
      <c r="B251" s="25" t="s">
        <v>175</v>
      </c>
      <c r="C251" s="26">
        <v>44470.0</v>
      </c>
      <c r="D251" s="21" t="s">
        <v>176</v>
      </c>
      <c r="E251" s="21">
        <v>3.0</v>
      </c>
      <c r="F251" s="21">
        <v>49500.0</v>
      </c>
      <c r="G251" s="21">
        <f t="shared" si="1"/>
        <v>148500</v>
      </c>
      <c r="H251" s="21" t="s">
        <v>549</v>
      </c>
      <c r="I251" s="21" t="s">
        <v>550</v>
      </c>
      <c r="J251" s="25" t="s">
        <v>71</v>
      </c>
    </row>
    <row r="252" ht="15.75" customHeight="1">
      <c r="A252" s="25" t="s">
        <v>1328</v>
      </c>
      <c r="B252" s="25" t="s">
        <v>175</v>
      </c>
      <c r="C252" s="26">
        <v>44501.0</v>
      </c>
      <c r="D252" s="21" t="s">
        <v>176</v>
      </c>
      <c r="E252" s="21">
        <v>0.0</v>
      </c>
      <c r="F252" s="21">
        <v>49500.0</v>
      </c>
      <c r="G252" s="21">
        <f t="shared" si="1"/>
        <v>0</v>
      </c>
      <c r="H252" s="21" t="s">
        <v>549</v>
      </c>
      <c r="I252" s="21" t="s">
        <v>550</v>
      </c>
      <c r="J252" s="25" t="s">
        <v>71</v>
      </c>
    </row>
    <row r="253" ht="15.75" customHeight="1">
      <c r="A253" s="25" t="s">
        <v>1330</v>
      </c>
      <c r="B253" s="25" t="s">
        <v>175</v>
      </c>
      <c r="C253" s="26">
        <v>44531.0</v>
      </c>
      <c r="D253" s="21" t="s">
        <v>176</v>
      </c>
      <c r="E253" s="21">
        <v>0.0</v>
      </c>
      <c r="F253" s="21">
        <v>49500.0</v>
      </c>
      <c r="G253" s="21">
        <f t="shared" si="1"/>
        <v>0</v>
      </c>
      <c r="H253" s="21" t="s">
        <v>549</v>
      </c>
      <c r="I253" s="21" t="s">
        <v>550</v>
      </c>
      <c r="J253" s="25" t="s">
        <v>71</v>
      </c>
    </row>
    <row r="254" ht="15.75" customHeight="1">
      <c r="A254" s="25" t="s">
        <v>1332</v>
      </c>
      <c r="B254" s="25" t="s">
        <v>188</v>
      </c>
      <c r="C254" s="26">
        <v>44197.0</v>
      </c>
      <c r="D254" s="21" t="s">
        <v>189</v>
      </c>
      <c r="E254" s="21">
        <v>0.0</v>
      </c>
      <c r="F254" s="21">
        <v>49500.0</v>
      </c>
      <c r="G254" s="21">
        <f t="shared" si="1"/>
        <v>0</v>
      </c>
      <c r="H254" s="21" t="s">
        <v>549</v>
      </c>
      <c r="I254" s="21" t="s">
        <v>550</v>
      </c>
      <c r="J254" s="25" t="s">
        <v>71</v>
      </c>
    </row>
    <row r="255" ht="15.75" customHeight="1">
      <c r="A255" s="25" t="s">
        <v>1334</v>
      </c>
      <c r="B255" s="25" t="s">
        <v>188</v>
      </c>
      <c r="C255" s="26">
        <v>44228.0</v>
      </c>
      <c r="D255" s="21" t="s">
        <v>189</v>
      </c>
      <c r="E255" s="21">
        <v>0.0</v>
      </c>
      <c r="F255" s="21">
        <v>49500.0</v>
      </c>
      <c r="G255" s="21">
        <f t="shared" si="1"/>
        <v>0</v>
      </c>
      <c r="H255" s="21" t="s">
        <v>549</v>
      </c>
      <c r="I255" s="21" t="s">
        <v>550</v>
      </c>
      <c r="J255" s="25" t="s">
        <v>71</v>
      </c>
    </row>
    <row r="256" ht="15.75" customHeight="1">
      <c r="A256" s="25" t="s">
        <v>1336</v>
      </c>
      <c r="B256" s="25" t="s">
        <v>188</v>
      </c>
      <c r="C256" s="26">
        <v>44256.0</v>
      </c>
      <c r="D256" s="21" t="s">
        <v>189</v>
      </c>
      <c r="E256" s="21">
        <v>0.0</v>
      </c>
      <c r="F256" s="21">
        <v>49500.0</v>
      </c>
      <c r="G256" s="21">
        <f t="shared" si="1"/>
        <v>0</v>
      </c>
      <c r="H256" s="21" t="s">
        <v>549</v>
      </c>
      <c r="I256" s="21" t="s">
        <v>550</v>
      </c>
      <c r="J256" s="25" t="s">
        <v>71</v>
      </c>
    </row>
    <row r="257" ht="15.75" customHeight="1">
      <c r="A257" s="25" t="s">
        <v>1338</v>
      </c>
      <c r="B257" s="25" t="s">
        <v>188</v>
      </c>
      <c r="C257" s="26">
        <v>44287.0</v>
      </c>
      <c r="D257" s="21" t="s">
        <v>189</v>
      </c>
      <c r="E257" s="21">
        <v>2.0</v>
      </c>
      <c r="F257" s="21">
        <v>49500.0</v>
      </c>
      <c r="G257" s="21">
        <f t="shared" si="1"/>
        <v>99000</v>
      </c>
      <c r="H257" s="21" t="s">
        <v>549</v>
      </c>
      <c r="I257" s="21" t="s">
        <v>550</v>
      </c>
      <c r="J257" s="25" t="s">
        <v>71</v>
      </c>
    </row>
    <row r="258" ht="15.75" customHeight="1">
      <c r="A258" s="25" t="s">
        <v>1341</v>
      </c>
      <c r="B258" s="25" t="s">
        <v>188</v>
      </c>
      <c r="C258" s="26">
        <v>44317.0</v>
      </c>
      <c r="D258" s="21" t="s">
        <v>189</v>
      </c>
      <c r="E258" s="21">
        <v>0.0</v>
      </c>
      <c r="F258" s="21">
        <v>49500.0</v>
      </c>
      <c r="G258" s="21">
        <f t="shared" si="1"/>
        <v>0</v>
      </c>
      <c r="H258" s="21" t="s">
        <v>549</v>
      </c>
      <c r="I258" s="21" t="s">
        <v>550</v>
      </c>
      <c r="J258" s="25" t="s">
        <v>71</v>
      </c>
    </row>
    <row r="259" ht="15.75" customHeight="1">
      <c r="A259" s="25" t="s">
        <v>1343</v>
      </c>
      <c r="B259" s="25" t="s">
        <v>188</v>
      </c>
      <c r="C259" s="26">
        <v>44348.0</v>
      </c>
      <c r="D259" s="21" t="s">
        <v>189</v>
      </c>
      <c r="E259" s="21">
        <v>1.0</v>
      </c>
      <c r="F259" s="21">
        <v>49500.0</v>
      </c>
      <c r="G259" s="21">
        <f t="shared" si="1"/>
        <v>49500</v>
      </c>
      <c r="H259" s="21" t="s">
        <v>549</v>
      </c>
      <c r="I259" s="21" t="s">
        <v>550</v>
      </c>
      <c r="J259" s="25" t="s">
        <v>71</v>
      </c>
    </row>
    <row r="260" ht="15.75" customHeight="1">
      <c r="A260" s="25" t="s">
        <v>1345</v>
      </c>
      <c r="B260" s="25" t="s">
        <v>188</v>
      </c>
      <c r="C260" s="26">
        <v>44378.0</v>
      </c>
      <c r="D260" s="21" t="s">
        <v>189</v>
      </c>
      <c r="E260" s="21">
        <v>0.0</v>
      </c>
      <c r="F260" s="21">
        <v>49500.0</v>
      </c>
      <c r="G260" s="21">
        <f t="shared" si="1"/>
        <v>0</v>
      </c>
      <c r="H260" s="21" t="s">
        <v>549</v>
      </c>
      <c r="I260" s="21" t="s">
        <v>550</v>
      </c>
      <c r="J260" s="25" t="s">
        <v>71</v>
      </c>
    </row>
    <row r="261" ht="15.75" customHeight="1">
      <c r="A261" s="25" t="s">
        <v>1347</v>
      </c>
      <c r="B261" s="25" t="s">
        <v>188</v>
      </c>
      <c r="C261" s="26">
        <v>44409.0</v>
      </c>
      <c r="D261" s="21" t="s">
        <v>189</v>
      </c>
      <c r="E261" s="21">
        <v>2.0</v>
      </c>
      <c r="F261" s="21">
        <v>49500.0</v>
      </c>
      <c r="G261" s="21">
        <f t="shared" si="1"/>
        <v>99000</v>
      </c>
      <c r="H261" s="21" t="s">
        <v>549</v>
      </c>
      <c r="I261" s="21" t="s">
        <v>550</v>
      </c>
      <c r="J261" s="25" t="s">
        <v>71</v>
      </c>
    </row>
    <row r="262" ht="15.75" customHeight="1">
      <c r="A262" s="25" t="s">
        <v>1350</v>
      </c>
      <c r="B262" s="25" t="s">
        <v>188</v>
      </c>
      <c r="C262" s="26">
        <v>44440.0</v>
      </c>
      <c r="D262" s="21" t="s">
        <v>189</v>
      </c>
      <c r="E262" s="21">
        <v>1.0</v>
      </c>
      <c r="F262" s="21">
        <v>49500.0</v>
      </c>
      <c r="G262" s="21">
        <f t="shared" si="1"/>
        <v>49500</v>
      </c>
      <c r="H262" s="21" t="s">
        <v>549</v>
      </c>
      <c r="I262" s="21" t="s">
        <v>550</v>
      </c>
      <c r="J262" s="25" t="s">
        <v>71</v>
      </c>
    </row>
    <row r="263" ht="15.75" customHeight="1">
      <c r="A263" s="25" t="s">
        <v>1352</v>
      </c>
      <c r="B263" s="25" t="s">
        <v>188</v>
      </c>
      <c r="C263" s="26">
        <v>44470.0</v>
      </c>
      <c r="D263" s="21" t="s">
        <v>189</v>
      </c>
      <c r="E263" s="21">
        <v>1.0</v>
      </c>
      <c r="F263" s="21">
        <v>49500.0</v>
      </c>
      <c r="G263" s="21">
        <f t="shared" si="1"/>
        <v>49500</v>
      </c>
      <c r="H263" s="21" t="s">
        <v>549</v>
      </c>
      <c r="I263" s="21" t="s">
        <v>550</v>
      </c>
      <c r="J263" s="25" t="s">
        <v>71</v>
      </c>
    </row>
    <row r="264" ht="15.75" customHeight="1">
      <c r="A264" s="25" t="s">
        <v>1354</v>
      </c>
      <c r="B264" s="25" t="s">
        <v>188</v>
      </c>
      <c r="C264" s="26">
        <v>44501.0</v>
      </c>
      <c r="D264" s="21" t="s">
        <v>189</v>
      </c>
      <c r="E264" s="21">
        <v>1.0</v>
      </c>
      <c r="F264" s="21">
        <v>49500.0</v>
      </c>
      <c r="G264" s="21">
        <f t="shared" si="1"/>
        <v>49500</v>
      </c>
      <c r="H264" s="21" t="s">
        <v>549</v>
      </c>
      <c r="I264" s="21" t="s">
        <v>550</v>
      </c>
      <c r="J264" s="25" t="s">
        <v>71</v>
      </c>
    </row>
    <row r="265" ht="15.75" customHeight="1">
      <c r="A265" s="25" t="s">
        <v>1356</v>
      </c>
      <c r="B265" s="25" t="s">
        <v>188</v>
      </c>
      <c r="C265" s="26">
        <v>44531.0</v>
      </c>
      <c r="D265" s="21" t="s">
        <v>189</v>
      </c>
      <c r="E265" s="21">
        <v>0.0</v>
      </c>
      <c r="F265" s="21">
        <v>49500.0</v>
      </c>
      <c r="G265" s="21">
        <f t="shared" si="1"/>
        <v>0</v>
      </c>
      <c r="H265" s="21" t="s">
        <v>549</v>
      </c>
      <c r="I265" s="21" t="s">
        <v>550</v>
      </c>
      <c r="J265" s="25" t="s">
        <v>71</v>
      </c>
    </row>
    <row r="266" ht="15.75" customHeight="1">
      <c r="A266" s="25" t="s">
        <v>1358</v>
      </c>
      <c r="B266" s="25" t="s">
        <v>38</v>
      </c>
      <c r="C266" s="69">
        <v>44562.0</v>
      </c>
      <c r="D266" s="21" t="s">
        <v>41</v>
      </c>
      <c r="E266" s="25">
        <v>60.0</v>
      </c>
      <c r="F266" s="21">
        <v>45000.0</v>
      </c>
      <c r="G266" s="21">
        <f t="shared" si="1"/>
        <v>2700000</v>
      </c>
      <c r="H266" s="21" t="s">
        <v>549</v>
      </c>
      <c r="I266" s="21" t="s">
        <v>550</v>
      </c>
      <c r="J266" s="25" t="s">
        <v>71</v>
      </c>
    </row>
    <row r="267" ht="15.75" customHeight="1">
      <c r="A267" s="25" t="s">
        <v>1362</v>
      </c>
      <c r="B267" s="25" t="s">
        <v>38</v>
      </c>
      <c r="C267" s="69">
        <v>44593.0</v>
      </c>
      <c r="D267" s="21" t="s">
        <v>41</v>
      </c>
      <c r="E267" s="25">
        <v>40.0</v>
      </c>
      <c r="F267" s="21">
        <v>45000.0</v>
      </c>
      <c r="G267" s="21">
        <f t="shared" si="1"/>
        <v>1800000</v>
      </c>
      <c r="H267" s="21" t="s">
        <v>549</v>
      </c>
      <c r="I267" s="21" t="s">
        <v>550</v>
      </c>
      <c r="J267" s="25" t="s">
        <v>71</v>
      </c>
    </row>
    <row r="268" ht="15.75" customHeight="1">
      <c r="A268" s="25" t="s">
        <v>1364</v>
      </c>
      <c r="B268" s="25" t="s">
        <v>38</v>
      </c>
      <c r="C268" s="69">
        <v>44621.0</v>
      </c>
      <c r="D268" s="21" t="s">
        <v>41</v>
      </c>
      <c r="E268" s="25">
        <v>19.0</v>
      </c>
      <c r="F268" s="21">
        <v>45000.0</v>
      </c>
      <c r="G268" s="21">
        <f t="shared" si="1"/>
        <v>855000</v>
      </c>
      <c r="H268" s="21" t="s">
        <v>549</v>
      </c>
      <c r="I268" s="21" t="s">
        <v>550</v>
      </c>
      <c r="J268" s="25" t="s">
        <v>71</v>
      </c>
    </row>
    <row r="269" ht="15.75" customHeight="1">
      <c r="A269" s="25" t="s">
        <v>1366</v>
      </c>
      <c r="B269" s="25" t="s">
        <v>38</v>
      </c>
      <c r="C269" s="69">
        <v>44652.0</v>
      </c>
      <c r="D269" s="21" t="s">
        <v>41</v>
      </c>
      <c r="E269" s="25">
        <v>10.0</v>
      </c>
      <c r="F269" s="21">
        <v>45000.0</v>
      </c>
      <c r="G269" s="21">
        <f t="shared" si="1"/>
        <v>450000</v>
      </c>
      <c r="H269" s="21" t="s">
        <v>549</v>
      </c>
      <c r="I269" s="21" t="s">
        <v>550</v>
      </c>
      <c r="J269" s="25" t="s">
        <v>71</v>
      </c>
    </row>
    <row r="270" ht="15.75" customHeight="1">
      <c r="A270" s="25" t="s">
        <v>1369</v>
      </c>
      <c r="B270" s="25" t="s">
        <v>38</v>
      </c>
      <c r="C270" s="69">
        <v>44682.0</v>
      </c>
      <c r="D270" s="21" t="s">
        <v>41</v>
      </c>
      <c r="E270" s="25">
        <v>38.0</v>
      </c>
      <c r="F270" s="21">
        <v>45000.0</v>
      </c>
      <c r="G270" s="21">
        <f t="shared" si="1"/>
        <v>1710000</v>
      </c>
      <c r="H270" s="21" t="s">
        <v>549</v>
      </c>
      <c r="I270" s="21" t="s">
        <v>550</v>
      </c>
      <c r="J270" s="25" t="s">
        <v>71</v>
      </c>
    </row>
    <row r="271" ht="15.75" customHeight="1">
      <c r="A271" s="25" t="s">
        <v>1371</v>
      </c>
      <c r="B271" s="25" t="s">
        <v>38</v>
      </c>
      <c r="C271" s="69">
        <v>44713.0</v>
      </c>
      <c r="D271" s="21" t="s">
        <v>41</v>
      </c>
      <c r="E271" s="25">
        <v>10.0</v>
      </c>
      <c r="F271" s="21">
        <v>45000.0</v>
      </c>
      <c r="G271" s="21">
        <f t="shared" si="1"/>
        <v>450000</v>
      </c>
      <c r="H271" s="21" t="s">
        <v>549</v>
      </c>
      <c r="I271" s="21" t="s">
        <v>550</v>
      </c>
      <c r="J271" s="25" t="s">
        <v>71</v>
      </c>
    </row>
    <row r="272" ht="15.75" customHeight="1">
      <c r="A272" s="25" t="s">
        <v>1373</v>
      </c>
      <c r="B272" s="25" t="s">
        <v>38</v>
      </c>
      <c r="C272" s="69">
        <v>44743.0</v>
      </c>
      <c r="D272" s="21" t="s">
        <v>41</v>
      </c>
      <c r="E272" s="25">
        <v>33.0</v>
      </c>
      <c r="F272" s="21">
        <v>45000.0</v>
      </c>
      <c r="G272" s="21">
        <f t="shared" si="1"/>
        <v>1485000</v>
      </c>
      <c r="H272" s="21" t="s">
        <v>549</v>
      </c>
      <c r="I272" s="21" t="s">
        <v>550</v>
      </c>
      <c r="J272" s="25" t="s">
        <v>71</v>
      </c>
    </row>
    <row r="273" ht="15.75" customHeight="1">
      <c r="A273" s="25" t="s">
        <v>1375</v>
      </c>
      <c r="B273" s="25" t="s">
        <v>38</v>
      </c>
      <c r="C273" s="69">
        <v>44774.0</v>
      </c>
      <c r="D273" s="21" t="s">
        <v>41</v>
      </c>
      <c r="E273" s="25">
        <v>6.0</v>
      </c>
      <c r="F273" s="21">
        <v>45000.0</v>
      </c>
      <c r="G273" s="21">
        <f t="shared" si="1"/>
        <v>270000</v>
      </c>
      <c r="H273" s="21" t="s">
        <v>549</v>
      </c>
      <c r="I273" s="21" t="s">
        <v>550</v>
      </c>
      <c r="J273" s="25" t="s">
        <v>71</v>
      </c>
    </row>
    <row r="274" ht="15.75" customHeight="1">
      <c r="A274" s="25" t="s">
        <v>1377</v>
      </c>
      <c r="B274" s="25" t="s">
        <v>38</v>
      </c>
      <c r="C274" s="69">
        <v>44805.0</v>
      </c>
      <c r="D274" s="21" t="s">
        <v>41</v>
      </c>
      <c r="E274" s="25">
        <v>45.0</v>
      </c>
      <c r="F274" s="21">
        <v>45000.0</v>
      </c>
      <c r="G274" s="21">
        <f t="shared" si="1"/>
        <v>2025000</v>
      </c>
      <c r="H274" s="21" t="s">
        <v>549</v>
      </c>
      <c r="I274" s="21" t="s">
        <v>550</v>
      </c>
      <c r="J274" s="25" t="s">
        <v>71</v>
      </c>
    </row>
    <row r="275" ht="15.75" customHeight="1">
      <c r="A275" s="25" t="s">
        <v>1380</v>
      </c>
      <c r="B275" s="25" t="s">
        <v>38</v>
      </c>
      <c r="C275" s="69">
        <v>44835.0</v>
      </c>
      <c r="D275" s="21" t="s">
        <v>41</v>
      </c>
      <c r="E275" s="25">
        <v>20.0</v>
      </c>
      <c r="F275" s="21">
        <v>45000.0</v>
      </c>
      <c r="G275" s="21">
        <f t="shared" si="1"/>
        <v>900000</v>
      </c>
      <c r="H275" s="21" t="s">
        <v>549</v>
      </c>
      <c r="I275" s="21" t="s">
        <v>550</v>
      </c>
      <c r="J275" s="25" t="s">
        <v>71</v>
      </c>
    </row>
    <row r="276" ht="15.75" customHeight="1">
      <c r="A276" s="25" t="s">
        <v>1382</v>
      </c>
      <c r="B276" s="25" t="s">
        <v>38</v>
      </c>
      <c r="C276" s="69">
        <v>44866.0</v>
      </c>
      <c r="D276" s="21" t="s">
        <v>41</v>
      </c>
      <c r="E276" s="25">
        <v>50.0</v>
      </c>
      <c r="F276" s="21">
        <v>45000.0</v>
      </c>
      <c r="G276" s="21">
        <f t="shared" si="1"/>
        <v>2250000</v>
      </c>
      <c r="H276" s="21" t="s">
        <v>549</v>
      </c>
      <c r="I276" s="21" t="s">
        <v>550</v>
      </c>
      <c r="J276" s="25" t="s">
        <v>71</v>
      </c>
    </row>
    <row r="277" ht="15.75" customHeight="1">
      <c r="A277" s="25" t="s">
        <v>1385</v>
      </c>
      <c r="B277" s="25" t="s">
        <v>38</v>
      </c>
      <c r="C277" s="69">
        <v>44896.0</v>
      </c>
      <c r="D277" s="21" t="s">
        <v>41</v>
      </c>
      <c r="E277" s="25">
        <v>17.0</v>
      </c>
      <c r="F277" s="21">
        <v>45000.0</v>
      </c>
      <c r="G277" s="21">
        <f t="shared" si="1"/>
        <v>765000</v>
      </c>
      <c r="H277" s="21" t="s">
        <v>549</v>
      </c>
      <c r="I277" s="21" t="s">
        <v>550</v>
      </c>
      <c r="J277" s="25" t="s">
        <v>71</v>
      </c>
    </row>
    <row r="278" ht="15.75" customHeight="1">
      <c r="A278" s="25" t="s">
        <v>1387</v>
      </c>
      <c r="B278" s="25" t="s">
        <v>40</v>
      </c>
      <c r="C278" s="69">
        <v>44562.0</v>
      </c>
      <c r="D278" s="21" t="s">
        <v>42</v>
      </c>
      <c r="E278" s="25">
        <v>2.0</v>
      </c>
      <c r="F278" s="21">
        <v>45500.0</v>
      </c>
      <c r="G278" s="21">
        <f t="shared" si="1"/>
        <v>91000</v>
      </c>
      <c r="H278" s="21" t="s">
        <v>549</v>
      </c>
      <c r="I278" s="21" t="s">
        <v>550</v>
      </c>
      <c r="J278" s="25" t="s">
        <v>71</v>
      </c>
    </row>
    <row r="279" ht="15.75" customHeight="1">
      <c r="A279" s="25" t="s">
        <v>1389</v>
      </c>
      <c r="B279" s="25" t="s">
        <v>40</v>
      </c>
      <c r="C279" s="69">
        <v>44593.0</v>
      </c>
      <c r="D279" s="21" t="s">
        <v>42</v>
      </c>
      <c r="E279" s="25">
        <v>1.0</v>
      </c>
      <c r="F279" s="21">
        <v>45500.0</v>
      </c>
      <c r="G279" s="21">
        <f t="shared" si="1"/>
        <v>45500</v>
      </c>
      <c r="H279" s="21" t="s">
        <v>549</v>
      </c>
      <c r="I279" s="21" t="s">
        <v>550</v>
      </c>
      <c r="J279" s="25" t="s">
        <v>71</v>
      </c>
    </row>
    <row r="280" ht="15.75" customHeight="1">
      <c r="A280" s="25" t="s">
        <v>1392</v>
      </c>
      <c r="B280" s="25" t="s">
        <v>40</v>
      </c>
      <c r="C280" s="69">
        <v>44621.0</v>
      </c>
      <c r="D280" s="21" t="s">
        <v>42</v>
      </c>
      <c r="E280" s="25">
        <v>2.0</v>
      </c>
      <c r="F280" s="21">
        <v>45500.0</v>
      </c>
      <c r="G280" s="21">
        <f t="shared" si="1"/>
        <v>91000</v>
      </c>
      <c r="H280" s="21" t="s">
        <v>549</v>
      </c>
      <c r="I280" s="21" t="s">
        <v>550</v>
      </c>
      <c r="J280" s="25" t="s">
        <v>71</v>
      </c>
    </row>
    <row r="281" ht="15.75" customHeight="1">
      <c r="A281" s="25" t="s">
        <v>1394</v>
      </c>
      <c r="B281" s="25" t="s">
        <v>40</v>
      </c>
      <c r="C281" s="69">
        <v>44652.0</v>
      </c>
      <c r="D281" s="21" t="s">
        <v>42</v>
      </c>
      <c r="E281" s="25">
        <v>1.0</v>
      </c>
      <c r="F281" s="21">
        <v>45500.0</v>
      </c>
      <c r="G281" s="21">
        <f t="shared" si="1"/>
        <v>45500</v>
      </c>
      <c r="H281" s="21" t="s">
        <v>549</v>
      </c>
      <c r="I281" s="21" t="s">
        <v>550</v>
      </c>
      <c r="J281" s="25" t="s">
        <v>71</v>
      </c>
    </row>
    <row r="282" ht="15.75" customHeight="1">
      <c r="A282" s="25" t="s">
        <v>1396</v>
      </c>
      <c r="B282" s="25" t="s">
        <v>40</v>
      </c>
      <c r="C282" s="69">
        <v>44682.0</v>
      </c>
      <c r="D282" s="21" t="s">
        <v>42</v>
      </c>
      <c r="E282" s="25">
        <v>5.0</v>
      </c>
      <c r="F282" s="21">
        <v>45500.0</v>
      </c>
      <c r="G282" s="21">
        <f t="shared" si="1"/>
        <v>227500</v>
      </c>
      <c r="H282" s="21" t="s">
        <v>549</v>
      </c>
      <c r="I282" s="21" t="s">
        <v>550</v>
      </c>
      <c r="J282" s="25" t="s">
        <v>71</v>
      </c>
    </row>
    <row r="283" ht="15.75" customHeight="1">
      <c r="A283" s="25" t="s">
        <v>1398</v>
      </c>
      <c r="B283" s="25" t="s">
        <v>40</v>
      </c>
      <c r="C283" s="69">
        <v>44713.0</v>
      </c>
      <c r="D283" s="21" t="s">
        <v>42</v>
      </c>
      <c r="E283" s="25">
        <v>4.0</v>
      </c>
      <c r="F283" s="21">
        <v>45500.0</v>
      </c>
      <c r="G283" s="21">
        <f t="shared" si="1"/>
        <v>182000</v>
      </c>
      <c r="H283" s="21" t="s">
        <v>549</v>
      </c>
      <c r="I283" s="21" t="s">
        <v>550</v>
      </c>
      <c r="J283" s="25" t="s">
        <v>71</v>
      </c>
    </row>
    <row r="284" ht="15.75" customHeight="1">
      <c r="A284" s="25" t="s">
        <v>1401</v>
      </c>
      <c r="B284" s="25" t="s">
        <v>40</v>
      </c>
      <c r="C284" s="69">
        <v>44743.0</v>
      </c>
      <c r="D284" s="21" t="s">
        <v>42</v>
      </c>
      <c r="E284" s="25">
        <v>1.0</v>
      </c>
      <c r="F284" s="21">
        <v>45500.0</v>
      </c>
      <c r="G284" s="21">
        <f t="shared" si="1"/>
        <v>45500</v>
      </c>
      <c r="H284" s="21" t="s">
        <v>549</v>
      </c>
      <c r="I284" s="21" t="s">
        <v>550</v>
      </c>
      <c r="J284" s="25" t="s">
        <v>71</v>
      </c>
    </row>
    <row r="285" ht="15.75" customHeight="1">
      <c r="A285" s="25" t="s">
        <v>1403</v>
      </c>
      <c r="B285" s="25" t="s">
        <v>40</v>
      </c>
      <c r="C285" s="69">
        <v>44774.0</v>
      </c>
      <c r="D285" s="21" t="s">
        <v>42</v>
      </c>
      <c r="E285" s="25">
        <v>15.0</v>
      </c>
      <c r="F285" s="21">
        <v>45500.0</v>
      </c>
      <c r="G285" s="21">
        <f t="shared" si="1"/>
        <v>682500</v>
      </c>
      <c r="H285" s="21" t="s">
        <v>549</v>
      </c>
      <c r="I285" s="21" t="s">
        <v>550</v>
      </c>
      <c r="J285" s="25" t="s">
        <v>71</v>
      </c>
    </row>
    <row r="286" ht="15.75" customHeight="1">
      <c r="A286" s="25" t="s">
        <v>1406</v>
      </c>
      <c r="B286" s="25" t="s">
        <v>40</v>
      </c>
      <c r="C286" s="69">
        <v>44805.0</v>
      </c>
      <c r="D286" s="21" t="s">
        <v>42</v>
      </c>
      <c r="E286" s="25">
        <v>7.0</v>
      </c>
      <c r="F286" s="21">
        <v>45500.0</v>
      </c>
      <c r="G286" s="21">
        <f t="shared" si="1"/>
        <v>318500</v>
      </c>
      <c r="H286" s="21" t="s">
        <v>549</v>
      </c>
      <c r="I286" s="21" t="s">
        <v>550</v>
      </c>
      <c r="J286" s="25" t="s">
        <v>71</v>
      </c>
    </row>
    <row r="287" ht="15.75" customHeight="1">
      <c r="A287" s="25" t="s">
        <v>1408</v>
      </c>
      <c r="B287" s="25" t="s">
        <v>40</v>
      </c>
      <c r="C287" s="69">
        <v>44835.0</v>
      </c>
      <c r="D287" s="21" t="s">
        <v>42</v>
      </c>
      <c r="E287" s="25">
        <v>1.0</v>
      </c>
      <c r="F287" s="21">
        <v>45500.0</v>
      </c>
      <c r="G287" s="21">
        <f t="shared" si="1"/>
        <v>45500</v>
      </c>
      <c r="H287" s="21" t="s">
        <v>549</v>
      </c>
      <c r="I287" s="21" t="s">
        <v>550</v>
      </c>
      <c r="J287" s="25" t="s">
        <v>71</v>
      </c>
    </row>
    <row r="288" ht="15.75" customHeight="1">
      <c r="A288" s="25" t="s">
        <v>1410</v>
      </c>
      <c r="B288" s="25" t="s">
        <v>40</v>
      </c>
      <c r="C288" s="69">
        <v>44866.0</v>
      </c>
      <c r="D288" s="21" t="s">
        <v>42</v>
      </c>
      <c r="E288" s="25">
        <v>17.0</v>
      </c>
      <c r="F288" s="21">
        <v>45500.0</v>
      </c>
      <c r="G288" s="21">
        <f t="shared" si="1"/>
        <v>773500</v>
      </c>
      <c r="H288" s="21" t="s">
        <v>549</v>
      </c>
      <c r="I288" s="21" t="s">
        <v>550</v>
      </c>
      <c r="J288" s="25" t="s">
        <v>71</v>
      </c>
    </row>
    <row r="289" ht="15.75" customHeight="1">
      <c r="A289" s="25" t="s">
        <v>1413</v>
      </c>
      <c r="B289" s="25" t="s">
        <v>40</v>
      </c>
      <c r="C289" s="69">
        <v>44896.0</v>
      </c>
      <c r="D289" s="21" t="s">
        <v>42</v>
      </c>
      <c r="E289" s="25">
        <v>3.0</v>
      </c>
      <c r="F289" s="21">
        <v>45500.0</v>
      </c>
      <c r="G289" s="21">
        <f t="shared" si="1"/>
        <v>136500</v>
      </c>
      <c r="H289" s="21" t="s">
        <v>549</v>
      </c>
      <c r="I289" s="21" t="s">
        <v>550</v>
      </c>
      <c r="J289" s="25" t="s">
        <v>71</v>
      </c>
    </row>
    <row r="290" ht="15.75" customHeight="1">
      <c r="A290" s="25" t="s">
        <v>1415</v>
      </c>
      <c r="B290" s="25" t="s">
        <v>82</v>
      </c>
      <c r="C290" s="69">
        <v>44562.0</v>
      </c>
      <c r="D290" s="21" t="s">
        <v>84</v>
      </c>
      <c r="E290" s="25">
        <v>21.0</v>
      </c>
      <c r="F290" s="21">
        <v>45000.0</v>
      </c>
      <c r="G290" s="21">
        <f t="shared" si="1"/>
        <v>945000</v>
      </c>
      <c r="H290" s="21" t="s">
        <v>549</v>
      </c>
      <c r="I290" s="21" t="s">
        <v>550</v>
      </c>
      <c r="J290" s="25" t="s">
        <v>71</v>
      </c>
    </row>
    <row r="291" ht="15.75" customHeight="1">
      <c r="A291" s="25" t="s">
        <v>1417</v>
      </c>
      <c r="B291" s="25" t="s">
        <v>82</v>
      </c>
      <c r="C291" s="69">
        <v>44593.0</v>
      </c>
      <c r="D291" s="21" t="s">
        <v>84</v>
      </c>
      <c r="E291" s="25">
        <v>3.0</v>
      </c>
      <c r="F291" s="21">
        <v>45000.0</v>
      </c>
      <c r="G291" s="21">
        <f t="shared" si="1"/>
        <v>135000</v>
      </c>
      <c r="H291" s="21" t="s">
        <v>549</v>
      </c>
      <c r="I291" s="21" t="s">
        <v>550</v>
      </c>
      <c r="J291" s="25" t="s">
        <v>71</v>
      </c>
    </row>
    <row r="292" ht="15.75" customHeight="1">
      <c r="A292" s="25" t="s">
        <v>1419</v>
      </c>
      <c r="B292" s="25" t="s">
        <v>82</v>
      </c>
      <c r="C292" s="69">
        <v>44621.0</v>
      </c>
      <c r="D292" s="21" t="s">
        <v>84</v>
      </c>
      <c r="E292" s="25">
        <v>30.0</v>
      </c>
      <c r="F292" s="21">
        <v>45000.0</v>
      </c>
      <c r="G292" s="21">
        <f t="shared" si="1"/>
        <v>1350000</v>
      </c>
      <c r="H292" s="21" t="s">
        <v>549</v>
      </c>
      <c r="I292" s="21" t="s">
        <v>550</v>
      </c>
      <c r="J292" s="25" t="s">
        <v>71</v>
      </c>
    </row>
    <row r="293" ht="15.75" customHeight="1">
      <c r="A293" s="25" t="s">
        <v>1421</v>
      </c>
      <c r="B293" s="25" t="s">
        <v>82</v>
      </c>
      <c r="C293" s="69">
        <v>44652.0</v>
      </c>
      <c r="D293" s="21" t="s">
        <v>84</v>
      </c>
      <c r="E293" s="25">
        <v>2.0</v>
      </c>
      <c r="F293" s="21">
        <v>45000.0</v>
      </c>
      <c r="G293" s="21">
        <f t="shared" si="1"/>
        <v>90000</v>
      </c>
      <c r="H293" s="21" t="s">
        <v>549</v>
      </c>
      <c r="I293" s="21" t="s">
        <v>550</v>
      </c>
      <c r="J293" s="25" t="s">
        <v>71</v>
      </c>
    </row>
    <row r="294" ht="15.75" customHeight="1">
      <c r="A294" s="25" t="s">
        <v>1422</v>
      </c>
      <c r="B294" s="25" t="s">
        <v>82</v>
      </c>
      <c r="C294" s="69">
        <v>44682.0</v>
      </c>
      <c r="D294" s="21" t="s">
        <v>84</v>
      </c>
      <c r="E294" s="25">
        <v>25.0</v>
      </c>
      <c r="F294" s="21">
        <v>45000.0</v>
      </c>
      <c r="G294" s="21">
        <f t="shared" si="1"/>
        <v>1125000</v>
      </c>
      <c r="H294" s="21" t="s">
        <v>549</v>
      </c>
      <c r="I294" s="21" t="s">
        <v>550</v>
      </c>
      <c r="J294" s="25" t="s">
        <v>71</v>
      </c>
    </row>
    <row r="295" ht="15.75" customHeight="1">
      <c r="A295" s="25" t="s">
        <v>1424</v>
      </c>
      <c r="B295" s="25" t="s">
        <v>82</v>
      </c>
      <c r="C295" s="69">
        <v>44713.0</v>
      </c>
      <c r="D295" s="21" t="s">
        <v>84</v>
      </c>
      <c r="E295" s="25">
        <v>12.0</v>
      </c>
      <c r="F295" s="21">
        <v>45000.0</v>
      </c>
      <c r="G295" s="21">
        <f t="shared" si="1"/>
        <v>540000</v>
      </c>
      <c r="H295" s="21" t="s">
        <v>549</v>
      </c>
      <c r="I295" s="21" t="s">
        <v>550</v>
      </c>
      <c r="J295" s="25" t="s">
        <v>71</v>
      </c>
    </row>
    <row r="296" ht="15.75" customHeight="1">
      <c r="A296" s="25" t="s">
        <v>1427</v>
      </c>
      <c r="B296" s="25" t="s">
        <v>82</v>
      </c>
      <c r="C296" s="69">
        <v>44743.0</v>
      </c>
      <c r="D296" s="21" t="s">
        <v>84</v>
      </c>
      <c r="E296" s="25">
        <v>14.0</v>
      </c>
      <c r="F296" s="21">
        <v>45000.0</v>
      </c>
      <c r="G296" s="21">
        <f t="shared" si="1"/>
        <v>630000</v>
      </c>
      <c r="H296" s="21" t="s">
        <v>549</v>
      </c>
      <c r="I296" s="21" t="s">
        <v>550</v>
      </c>
      <c r="J296" s="25" t="s">
        <v>71</v>
      </c>
    </row>
    <row r="297" ht="15.75" customHeight="1">
      <c r="A297" s="25" t="s">
        <v>1429</v>
      </c>
      <c r="B297" s="25" t="s">
        <v>82</v>
      </c>
      <c r="C297" s="69">
        <v>44774.0</v>
      </c>
      <c r="D297" s="21" t="s">
        <v>84</v>
      </c>
      <c r="E297" s="25">
        <v>10.0</v>
      </c>
      <c r="F297" s="21">
        <v>45000.0</v>
      </c>
      <c r="G297" s="21">
        <f t="shared" si="1"/>
        <v>450000</v>
      </c>
      <c r="H297" s="21" t="s">
        <v>549</v>
      </c>
      <c r="I297" s="21" t="s">
        <v>550</v>
      </c>
      <c r="J297" s="25" t="s">
        <v>71</v>
      </c>
    </row>
    <row r="298" ht="15.75" customHeight="1">
      <c r="A298" s="25" t="s">
        <v>1430</v>
      </c>
      <c r="B298" s="25" t="s">
        <v>82</v>
      </c>
      <c r="C298" s="69">
        <v>44805.0</v>
      </c>
      <c r="D298" s="21" t="s">
        <v>84</v>
      </c>
      <c r="E298" s="25">
        <v>9.0</v>
      </c>
      <c r="F298" s="21">
        <v>45000.0</v>
      </c>
      <c r="G298" s="21">
        <f t="shared" si="1"/>
        <v>405000</v>
      </c>
      <c r="H298" s="21" t="s">
        <v>549</v>
      </c>
      <c r="I298" s="21" t="s">
        <v>550</v>
      </c>
      <c r="J298" s="25" t="s">
        <v>71</v>
      </c>
    </row>
    <row r="299" ht="15.75" customHeight="1">
      <c r="A299" s="25" t="s">
        <v>1432</v>
      </c>
      <c r="B299" s="25" t="s">
        <v>82</v>
      </c>
      <c r="C299" s="69">
        <v>44835.0</v>
      </c>
      <c r="D299" s="21" t="s">
        <v>84</v>
      </c>
      <c r="E299" s="25">
        <v>7.0</v>
      </c>
      <c r="F299" s="21">
        <v>45000.0</v>
      </c>
      <c r="G299" s="21">
        <f t="shared" si="1"/>
        <v>315000</v>
      </c>
      <c r="H299" s="21" t="s">
        <v>549</v>
      </c>
      <c r="I299" s="21" t="s">
        <v>550</v>
      </c>
      <c r="J299" s="25" t="s">
        <v>71</v>
      </c>
    </row>
    <row r="300" ht="15.75" customHeight="1">
      <c r="A300" s="25" t="s">
        <v>1434</v>
      </c>
      <c r="B300" s="25" t="s">
        <v>82</v>
      </c>
      <c r="C300" s="69">
        <v>44866.0</v>
      </c>
      <c r="D300" s="21" t="s">
        <v>84</v>
      </c>
      <c r="E300" s="25">
        <v>13.0</v>
      </c>
      <c r="F300" s="21">
        <v>45000.0</v>
      </c>
      <c r="G300" s="21">
        <f t="shared" si="1"/>
        <v>585000</v>
      </c>
      <c r="H300" s="21" t="s">
        <v>549</v>
      </c>
      <c r="I300" s="21" t="s">
        <v>550</v>
      </c>
      <c r="J300" s="25" t="s">
        <v>71</v>
      </c>
    </row>
    <row r="301" ht="15.75" customHeight="1">
      <c r="A301" s="25" t="s">
        <v>1436</v>
      </c>
      <c r="B301" s="25" t="s">
        <v>82</v>
      </c>
      <c r="C301" s="69">
        <v>44896.0</v>
      </c>
      <c r="D301" s="21" t="s">
        <v>84</v>
      </c>
      <c r="E301" s="25">
        <v>7.0</v>
      </c>
      <c r="F301" s="21">
        <v>45000.0</v>
      </c>
      <c r="G301" s="21">
        <f t="shared" si="1"/>
        <v>315000</v>
      </c>
      <c r="H301" s="21" t="s">
        <v>549</v>
      </c>
      <c r="I301" s="21" t="s">
        <v>550</v>
      </c>
      <c r="J301" s="25" t="s">
        <v>71</v>
      </c>
    </row>
    <row r="302" ht="15.75" customHeight="1">
      <c r="A302" s="25" t="s">
        <v>1439</v>
      </c>
      <c r="B302" s="25" t="s">
        <v>97</v>
      </c>
      <c r="C302" s="69">
        <v>44562.0</v>
      </c>
      <c r="D302" s="21" t="s">
        <v>99</v>
      </c>
      <c r="E302" s="25">
        <v>1.0</v>
      </c>
      <c r="F302" s="21">
        <v>36000.0</v>
      </c>
      <c r="G302" s="21">
        <f t="shared" si="1"/>
        <v>36000</v>
      </c>
      <c r="H302" s="21" t="s">
        <v>424</v>
      </c>
      <c r="I302" s="21" t="s">
        <v>550</v>
      </c>
      <c r="J302" s="25" t="s">
        <v>71</v>
      </c>
    </row>
    <row r="303" ht="15.75" customHeight="1">
      <c r="A303" s="25" t="s">
        <v>1441</v>
      </c>
      <c r="B303" s="25" t="s">
        <v>97</v>
      </c>
      <c r="C303" s="69">
        <v>44593.0</v>
      </c>
      <c r="D303" s="21" t="s">
        <v>99</v>
      </c>
      <c r="E303" s="25">
        <v>0.0</v>
      </c>
      <c r="F303" s="21">
        <v>36000.0</v>
      </c>
      <c r="G303" s="21">
        <f t="shared" si="1"/>
        <v>0</v>
      </c>
      <c r="H303" s="21" t="s">
        <v>424</v>
      </c>
      <c r="I303" s="21" t="s">
        <v>550</v>
      </c>
      <c r="J303" s="25" t="s">
        <v>71</v>
      </c>
    </row>
    <row r="304" ht="15.75" customHeight="1">
      <c r="A304" s="25" t="s">
        <v>1443</v>
      </c>
      <c r="B304" s="25" t="s">
        <v>97</v>
      </c>
      <c r="C304" s="69">
        <v>44621.0</v>
      </c>
      <c r="D304" s="21" t="s">
        <v>99</v>
      </c>
      <c r="E304" s="25">
        <v>1.0</v>
      </c>
      <c r="F304" s="21">
        <v>36000.0</v>
      </c>
      <c r="G304" s="21">
        <f t="shared" si="1"/>
        <v>36000</v>
      </c>
      <c r="H304" s="21" t="s">
        <v>424</v>
      </c>
      <c r="I304" s="21" t="s">
        <v>550</v>
      </c>
      <c r="J304" s="25" t="s">
        <v>71</v>
      </c>
    </row>
    <row r="305" ht="15.75" customHeight="1">
      <c r="A305" s="25" t="s">
        <v>1445</v>
      </c>
      <c r="B305" s="25" t="s">
        <v>97</v>
      </c>
      <c r="C305" s="69">
        <v>44652.0</v>
      </c>
      <c r="D305" s="21" t="s">
        <v>99</v>
      </c>
      <c r="E305" s="25">
        <v>1.0</v>
      </c>
      <c r="F305" s="21">
        <v>36000.0</v>
      </c>
      <c r="G305" s="21">
        <f t="shared" si="1"/>
        <v>36000</v>
      </c>
      <c r="H305" s="21" t="s">
        <v>424</v>
      </c>
      <c r="I305" s="21" t="s">
        <v>550</v>
      </c>
      <c r="J305" s="25" t="s">
        <v>71</v>
      </c>
    </row>
    <row r="306" ht="15.75" customHeight="1">
      <c r="A306" s="25" t="s">
        <v>1447</v>
      </c>
      <c r="B306" s="25" t="s">
        <v>97</v>
      </c>
      <c r="C306" s="69">
        <v>44682.0</v>
      </c>
      <c r="D306" s="21" t="s">
        <v>99</v>
      </c>
      <c r="E306" s="25">
        <v>0.0</v>
      </c>
      <c r="F306" s="21">
        <v>36000.0</v>
      </c>
      <c r="G306" s="21">
        <f t="shared" si="1"/>
        <v>0</v>
      </c>
      <c r="H306" s="21" t="s">
        <v>424</v>
      </c>
      <c r="I306" s="21" t="s">
        <v>550</v>
      </c>
      <c r="J306" s="25" t="s">
        <v>71</v>
      </c>
    </row>
    <row r="307" ht="15.75" customHeight="1">
      <c r="A307" s="25" t="s">
        <v>1453</v>
      </c>
      <c r="B307" s="25" t="s">
        <v>97</v>
      </c>
      <c r="C307" s="69">
        <v>44713.0</v>
      </c>
      <c r="D307" s="21" t="s">
        <v>99</v>
      </c>
      <c r="E307" s="25">
        <v>0.0</v>
      </c>
      <c r="F307" s="21">
        <v>36000.0</v>
      </c>
      <c r="G307" s="21">
        <f t="shared" si="1"/>
        <v>0</v>
      </c>
      <c r="H307" s="21" t="s">
        <v>424</v>
      </c>
      <c r="I307" s="21" t="s">
        <v>550</v>
      </c>
      <c r="J307" s="25" t="s">
        <v>71</v>
      </c>
    </row>
    <row r="308" ht="15.75" customHeight="1">
      <c r="A308" s="25" t="s">
        <v>1454</v>
      </c>
      <c r="B308" s="25" t="s">
        <v>97</v>
      </c>
      <c r="C308" s="69">
        <v>44743.0</v>
      </c>
      <c r="D308" s="21" t="s">
        <v>99</v>
      </c>
      <c r="E308" s="25">
        <v>1.0</v>
      </c>
      <c r="F308" s="21">
        <v>36000.0</v>
      </c>
      <c r="G308" s="21">
        <f t="shared" si="1"/>
        <v>36000</v>
      </c>
      <c r="H308" s="21" t="s">
        <v>424</v>
      </c>
      <c r="I308" s="21" t="s">
        <v>550</v>
      </c>
      <c r="J308" s="25" t="s">
        <v>71</v>
      </c>
    </row>
    <row r="309" ht="15.75" customHeight="1">
      <c r="A309" s="25" t="s">
        <v>1456</v>
      </c>
      <c r="B309" s="25" t="s">
        <v>97</v>
      </c>
      <c r="C309" s="69">
        <v>44774.0</v>
      </c>
      <c r="D309" s="21" t="s">
        <v>99</v>
      </c>
      <c r="E309" s="25">
        <v>1.0</v>
      </c>
      <c r="F309" s="21">
        <v>36000.0</v>
      </c>
      <c r="G309" s="21">
        <f t="shared" si="1"/>
        <v>36000</v>
      </c>
      <c r="H309" s="21" t="s">
        <v>424</v>
      </c>
      <c r="I309" s="21" t="s">
        <v>550</v>
      </c>
      <c r="J309" s="25" t="s">
        <v>71</v>
      </c>
    </row>
    <row r="310" ht="15.75" customHeight="1">
      <c r="A310" s="25" t="s">
        <v>1459</v>
      </c>
      <c r="B310" s="25" t="s">
        <v>97</v>
      </c>
      <c r="C310" s="69">
        <v>44805.0</v>
      </c>
      <c r="D310" s="21" t="s">
        <v>99</v>
      </c>
      <c r="E310" s="25">
        <v>2.0</v>
      </c>
      <c r="F310" s="21">
        <v>36000.0</v>
      </c>
      <c r="G310" s="21">
        <f t="shared" si="1"/>
        <v>72000</v>
      </c>
      <c r="H310" s="21" t="s">
        <v>424</v>
      </c>
      <c r="I310" s="21" t="s">
        <v>550</v>
      </c>
      <c r="J310" s="25" t="s">
        <v>71</v>
      </c>
    </row>
    <row r="311" ht="15.75" customHeight="1">
      <c r="A311" s="25" t="s">
        <v>1461</v>
      </c>
      <c r="B311" s="25" t="s">
        <v>97</v>
      </c>
      <c r="C311" s="69">
        <v>44835.0</v>
      </c>
      <c r="D311" s="21" t="s">
        <v>99</v>
      </c>
      <c r="E311" s="25">
        <v>3.0</v>
      </c>
      <c r="F311" s="21">
        <v>36000.0</v>
      </c>
      <c r="G311" s="21">
        <f t="shared" si="1"/>
        <v>108000</v>
      </c>
      <c r="H311" s="21" t="s">
        <v>424</v>
      </c>
      <c r="I311" s="21" t="s">
        <v>550</v>
      </c>
      <c r="J311" s="25" t="s">
        <v>71</v>
      </c>
    </row>
    <row r="312" ht="15.75" customHeight="1">
      <c r="A312" s="25" t="s">
        <v>1463</v>
      </c>
      <c r="B312" s="25" t="s">
        <v>97</v>
      </c>
      <c r="C312" s="69">
        <v>44866.0</v>
      </c>
      <c r="D312" s="21" t="s">
        <v>99</v>
      </c>
      <c r="E312" s="25">
        <v>0.0</v>
      </c>
      <c r="F312" s="21">
        <v>36000.0</v>
      </c>
      <c r="G312" s="21">
        <f t="shared" si="1"/>
        <v>0</v>
      </c>
      <c r="H312" s="21" t="s">
        <v>424</v>
      </c>
      <c r="I312" s="21" t="s">
        <v>550</v>
      </c>
      <c r="J312" s="25" t="s">
        <v>71</v>
      </c>
    </row>
    <row r="313" ht="15.75" customHeight="1">
      <c r="A313" s="25" t="s">
        <v>1465</v>
      </c>
      <c r="B313" s="25" t="s">
        <v>97</v>
      </c>
      <c r="C313" s="69">
        <v>44896.0</v>
      </c>
      <c r="D313" s="21" t="s">
        <v>99</v>
      </c>
      <c r="E313" s="25">
        <v>2.0</v>
      </c>
      <c r="F313" s="21">
        <v>36000.0</v>
      </c>
      <c r="G313" s="21">
        <f t="shared" si="1"/>
        <v>72000</v>
      </c>
      <c r="H313" s="21" t="s">
        <v>424</v>
      </c>
      <c r="I313" s="21" t="s">
        <v>550</v>
      </c>
      <c r="J313" s="25" t="s">
        <v>71</v>
      </c>
    </row>
    <row r="314" ht="15.75" customHeight="1">
      <c r="A314" s="25" t="s">
        <v>1467</v>
      </c>
      <c r="B314" s="25" t="s">
        <v>110</v>
      </c>
      <c r="C314" s="69">
        <v>44562.0</v>
      </c>
      <c r="D314" s="21" t="s">
        <v>112</v>
      </c>
      <c r="E314" s="25">
        <v>1.0</v>
      </c>
      <c r="F314" s="21">
        <v>30000.0</v>
      </c>
      <c r="G314" s="21">
        <f t="shared" si="1"/>
        <v>30000</v>
      </c>
      <c r="H314" s="21" t="s">
        <v>758</v>
      </c>
      <c r="I314" s="21" t="s">
        <v>550</v>
      </c>
      <c r="J314" s="25" t="s">
        <v>71</v>
      </c>
    </row>
    <row r="315" ht="15.75" customHeight="1">
      <c r="A315" s="25" t="s">
        <v>1470</v>
      </c>
      <c r="B315" s="25" t="s">
        <v>110</v>
      </c>
      <c r="C315" s="69">
        <v>44593.0</v>
      </c>
      <c r="D315" s="21" t="s">
        <v>112</v>
      </c>
      <c r="E315" s="25">
        <v>2.0</v>
      </c>
      <c r="F315" s="21">
        <v>30000.0</v>
      </c>
      <c r="G315" s="21">
        <f t="shared" si="1"/>
        <v>60000</v>
      </c>
      <c r="H315" s="21" t="s">
        <v>758</v>
      </c>
      <c r="I315" s="21" t="s">
        <v>550</v>
      </c>
      <c r="J315" s="25" t="s">
        <v>71</v>
      </c>
    </row>
    <row r="316" ht="15.75" customHeight="1">
      <c r="A316" s="25" t="s">
        <v>1472</v>
      </c>
      <c r="B316" s="25" t="s">
        <v>110</v>
      </c>
      <c r="C316" s="69">
        <v>44621.0</v>
      </c>
      <c r="D316" s="21" t="s">
        <v>112</v>
      </c>
      <c r="E316" s="25">
        <v>0.0</v>
      </c>
      <c r="F316" s="21">
        <v>30000.0</v>
      </c>
      <c r="G316" s="21">
        <f t="shared" si="1"/>
        <v>0</v>
      </c>
      <c r="H316" s="21" t="s">
        <v>758</v>
      </c>
      <c r="I316" s="21" t="s">
        <v>550</v>
      </c>
      <c r="J316" s="25" t="s">
        <v>71</v>
      </c>
    </row>
    <row r="317" ht="15.75" customHeight="1">
      <c r="A317" s="25" t="s">
        <v>1474</v>
      </c>
      <c r="B317" s="25" t="s">
        <v>110</v>
      </c>
      <c r="C317" s="69">
        <v>44652.0</v>
      </c>
      <c r="D317" s="21" t="s">
        <v>112</v>
      </c>
      <c r="E317" s="25">
        <v>0.0</v>
      </c>
      <c r="F317" s="21">
        <v>30000.0</v>
      </c>
      <c r="G317" s="21">
        <f t="shared" si="1"/>
        <v>0</v>
      </c>
      <c r="H317" s="21" t="s">
        <v>758</v>
      </c>
      <c r="I317" s="21" t="s">
        <v>550</v>
      </c>
      <c r="J317" s="25" t="s">
        <v>71</v>
      </c>
    </row>
    <row r="318" ht="15.75" customHeight="1">
      <c r="A318" s="25" t="s">
        <v>1476</v>
      </c>
      <c r="B318" s="25" t="s">
        <v>110</v>
      </c>
      <c r="C318" s="69">
        <v>44682.0</v>
      </c>
      <c r="D318" s="21" t="s">
        <v>112</v>
      </c>
      <c r="E318" s="25">
        <v>2.0</v>
      </c>
      <c r="F318" s="21">
        <v>30000.0</v>
      </c>
      <c r="G318" s="21">
        <f t="shared" si="1"/>
        <v>60000</v>
      </c>
      <c r="H318" s="21" t="s">
        <v>758</v>
      </c>
      <c r="I318" s="21" t="s">
        <v>550</v>
      </c>
      <c r="J318" s="25" t="s">
        <v>71</v>
      </c>
    </row>
    <row r="319" ht="15.75" customHeight="1">
      <c r="A319" s="25" t="s">
        <v>1479</v>
      </c>
      <c r="B319" s="25" t="s">
        <v>110</v>
      </c>
      <c r="C319" s="69">
        <v>44713.0</v>
      </c>
      <c r="D319" s="21" t="s">
        <v>112</v>
      </c>
      <c r="E319" s="25">
        <v>4.0</v>
      </c>
      <c r="F319" s="21">
        <v>30000.0</v>
      </c>
      <c r="G319" s="21">
        <f t="shared" si="1"/>
        <v>120000</v>
      </c>
      <c r="H319" s="21" t="s">
        <v>758</v>
      </c>
      <c r="I319" s="21" t="s">
        <v>550</v>
      </c>
      <c r="J319" s="25" t="s">
        <v>71</v>
      </c>
    </row>
    <row r="320" ht="15.75" customHeight="1">
      <c r="A320" s="25" t="s">
        <v>1481</v>
      </c>
      <c r="B320" s="25" t="s">
        <v>110</v>
      </c>
      <c r="C320" s="69">
        <v>44743.0</v>
      </c>
      <c r="D320" s="21" t="s">
        <v>112</v>
      </c>
      <c r="E320" s="25">
        <v>0.0</v>
      </c>
      <c r="F320" s="21">
        <v>30000.0</v>
      </c>
      <c r="G320" s="21">
        <f t="shared" si="1"/>
        <v>0</v>
      </c>
      <c r="H320" s="21" t="s">
        <v>758</v>
      </c>
      <c r="I320" s="21" t="s">
        <v>550</v>
      </c>
      <c r="J320" s="25" t="s">
        <v>71</v>
      </c>
    </row>
    <row r="321" ht="15.75" customHeight="1">
      <c r="A321" s="25" t="s">
        <v>1483</v>
      </c>
      <c r="B321" s="25" t="s">
        <v>110</v>
      </c>
      <c r="C321" s="69">
        <v>44774.0</v>
      </c>
      <c r="D321" s="21" t="s">
        <v>112</v>
      </c>
      <c r="E321" s="25">
        <v>0.0</v>
      </c>
      <c r="F321" s="21">
        <v>30000.0</v>
      </c>
      <c r="G321" s="21">
        <f t="shared" si="1"/>
        <v>0</v>
      </c>
      <c r="H321" s="21" t="s">
        <v>758</v>
      </c>
      <c r="I321" s="21" t="s">
        <v>550</v>
      </c>
      <c r="J321" s="25" t="s">
        <v>71</v>
      </c>
    </row>
    <row r="322" ht="15.75" customHeight="1">
      <c r="A322" s="25" t="s">
        <v>1485</v>
      </c>
      <c r="B322" s="25" t="s">
        <v>110</v>
      </c>
      <c r="C322" s="69">
        <v>44805.0</v>
      </c>
      <c r="D322" s="21" t="s">
        <v>112</v>
      </c>
      <c r="E322" s="25">
        <v>4.0</v>
      </c>
      <c r="F322" s="21">
        <v>30000.0</v>
      </c>
      <c r="G322" s="21">
        <f t="shared" si="1"/>
        <v>120000</v>
      </c>
      <c r="H322" s="21" t="s">
        <v>758</v>
      </c>
      <c r="I322" s="21" t="s">
        <v>550</v>
      </c>
      <c r="J322" s="25" t="s">
        <v>71</v>
      </c>
    </row>
    <row r="323" ht="15.75" customHeight="1">
      <c r="A323" s="25" t="s">
        <v>1487</v>
      </c>
      <c r="B323" s="25" t="s">
        <v>110</v>
      </c>
      <c r="C323" s="69">
        <v>44835.0</v>
      </c>
      <c r="D323" s="21" t="s">
        <v>112</v>
      </c>
      <c r="E323" s="25">
        <v>2.0</v>
      </c>
      <c r="F323" s="21">
        <v>30000.0</v>
      </c>
      <c r="G323" s="21">
        <f t="shared" si="1"/>
        <v>60000</v>
      </c>
      <c r="H323" s="21" t="s">
        <v>758</v>
      </c>
      <c r="I323" s="21" t="s">
        <v>550</v>
      </c>
      <c r="J323" s="25" t="s">
        <v>71</v>
      </c>
    </row>
    <row r="324" ht="15.75" customHeight="1">
      <c r="A324" s="25" t="s">
        <v>1489</v>
      </c>
      <c r="B324" s="25" t="s">
        <v>110</v>
      </c>
      <c r="C324" s="69">
        <v>44866.0</v>
      </c>
      <c r="D324" s="21" t="s">
        <v>112</v>
      </c>
      <c r="E324" s="25">
        <v>2.0</v>
      </c>
      <c r="F324" s="21">
        <v>30000.0</v>
      </c>
      <c r="G324" s="21">
        <f t="shared" si="1"/>
        <v>60000</v>
      </c>
      <c r="H324" s="21" t="s">
        <v>758</v>
      </c>
      <c r="I324" s="21" t="s">
        <v>550</v>
      </c>
      <c r="J324" s="25" t="s">
        <v>71</v>
      </c>
    </row>
    <row r="325" ht="15.75" customHeight="1">
      <c r="A325" s="25" t="s">
        <v>1492</v>
      </c>
      <c r="B325" s="25" t="s">
        <v>110</v>
      </c>
      <c r="C325" s="69">
        <v>44896.0</v>
      </c>
      <c r="D325" s="21" t="s">
        <v>112</v>
      </c>
      <c r="E325" s="25">
        <v>2.0</v>
      </c>
      <c r="F325" s="21">
        <v>30000.0</v>
      </c>
      <c r="G325" s="21">
        <f t="shared" si="1"/>
        <v>60000</v>
      </c>
      <c r="H325" s="21" t="s">
        <v>758</v>
      </c>
      <c r="I325" s="21" t="s">
        <v>550</v>
      </c>
      <c r="J325" s="25" t="s">
        <v>71</v>
      </c>
    </row>
    <row r="326" ht="15.75" customHeight="1">
      <c r="A326" s="25" t="s">
        <v>1494</v>
      </c>
      <c r="B326" s="25" t="s">
        <v>124</v>
      </c>
      <c r="C326" s="69">
        <v>44562.0</v>
      </c>
      <c r="D326" s="21" t="s">
        <v>125</v>
      </c>
      <c r="E326" s="25">
        <v>3.0</v>
      </c>
      <c r="F326" s="21">
        <v>49500.0</v>
      </c>
      <c r="G326" s="21">
        <f t="shared" si="1"/>
        <v>148500</v>
      </c>
      <c r="H326" s="21" t="s">
        <v>549</v>
      </c>
      <c r="I326" s="21" t="s">
        <v>550</v>
      </c>
      <c r="J326" s="25" t="s">
        <v>71</v>
      </c>
    </row>
    <row r="327" ht="15.75" customHeight="1">
      <c r="A327" s="25" t="s">
        <v>1496</v>
      </c>
      <c r="B327" s="25" t="s">
        <v>124</v>
      </c>
      <c r="C327" s="69">
        <v>44593.0</v>
      </c>
      <c r="D327" s="21" t="s">
        <v>125</v>
      </c>
      <c r="E327" s="25">
        <v>0.0</v>
      </c>
      <c r="F327" s="21">
        <v>49500.0</v>
      </c>
      <c r="G327" s="21">
        <f t="shared" si="1"/>
        <v>0</v>
      </c>
      <c r="H327" s="21" t="s">
        <v>549</v>
      </c>
      <c r="I327" s="21" t="s">
        <v>550</v>
      </c>
      <c r="J327" s="25" t="s">
        <v>71</v>
      </c>
    </row>
    <row r="328" ht="15.75" customHeight="1">
      <c r="A328" s="25" t="s">
        <v>1498</v>
      </c>
      <c r="B328" s="25" t="s">
        <v>124</v>
      </c>
      <c r="C328" s="69">
        <v>44621.0</v>
      </c>
      <c r="D328" s="21" t="s">
        <v>125</v>
      </c>
      <c r="E328" s="25">
        <v>2.0</v>
      </c>
      <c r="F328" s="21">
        <v>49500.0</v>
      </c>
      <c r="G328" s="21">
        <f t="shared" si="1"/>
        <v>99000</v>
      </c>
      <c r="H328" s="21" t="s">
        <v>549</v>
      </c>
      <c r="I328" s="21" t="s">
        <v>550</v>
      </c>
      <c r="J328" s="25" t="s">
        <v>71</v>
      </c>
    </row>
    <row r="329" ht="15.75" customHeight="1">
      <c r="A329" s="25" t="s">
        <v>1501</v>
      </c>
      <c r="B329" s="25" t="s">
        <v>124</v>
      </c>
      <c r="C329" s="69">
        <v>44652.0</v>
      </c>
      <c r="D329" s="21" t="s">
        <v>125</v>
      </c>
      <c r="E329" s="25">
        <v>0.0</v>
      </c>
      <c r="F329" s="21">
        <v>49500.0</v>
      </c>
      <c r="G329" s="21">
        <f t="shared" si="1"/>
        <v>0</v>
      </c>
      <c r="H329" s="21" t="s">
        <v>549</v>
      </c>
      <c r="I329" s="21" t="s">
        <v>550</v>
      </c>
      <c r="J329" s="25" t="s">
        <v>71</v>
      </c>
    </row>
    <row r="330" ht="15.75" customHeight="1">
      <c r="A330" s="25" t="s">
        <v>1503</v>
      </c>
      <c r="B330" s="25" t="s">
        <v>124</v>
      </c>
      <c r="C330" s="69">
        <v>44682.0</v>
      </c>
      <c r="D330" s="21" t="s">
        <v>125</v>
      </c>
      <c r="E330" s="25">
        <v>0.0</v>
      </c>
      <c r="F330" s="21">
        <v>49500.0</v>
      </c>
      <c r="G330" s="21">
        <f t="shared" si="1"/>
        <v>0</v>
      </c>
      <c r="H330" s="21" t="s">
        <v>549</v>
      </c>
      <c r="I330" s="21" t="s">
        <v>550</v>
      </c>
      <c r="J330" s="25" t="s">
        <v>71</v>
      </c>
    </row>
    <row r="331" ht="15.75" customHeight="1">
      <c r="A331" s="25" t="s">
        <v>1505</v>
      </c>
      <c r="B331" s="25" t="s">
        <v>124</v>
      </c>
      <c r="C331" s="69">
        <v>44713.0</v>
      </c>
      <c r="D331" s="21" t="s">
        <v>125</v>
      </c>
      <c r="E331" s="25">
        <v>0.0</v>
      </c>
      <c r="F331" s="21">
        <v>49500.0</v>
      </c>
      <c r="G331" s="21">
        <f t="shared" si="1"/>
        <v>0</v>
      </c>
      <c r="H331" s="21" t="s">
        <v>549</v>
      </c>
      <c r="I331" s="21" t="s">
        <v>550</v>
      </c>
      <c r="J331" s="25" t="s">
        <v>71</v>
      </c>
    </row>
    <row r="332" ht="15.75" customHeight="1">
      <c r="A332" s="25" t="s">
        <v>1507</v>
      </c>
      <c r="B332" s="25" t="s">
        <v>124</v>
      </c>
      <c r="C332" s="69">
        <v>44743.0</v>
      </c>
      <c r="D332" s="21" t="s">
        <v>125</v>
      </c>
      <c r="E332" s="25">
        <v>0.0</v>
      </c>
      <c r="F332" s="21">
        <v>49500.0</v>
      </c>
      <c r="G332" s="21">
        <f t="shared" si="1"/>
        <v>0</v>
      </c>
      <c r="H332" s="21" t="s">
        <v>549</v>
      </c>
      <c r="I332" s="21" t="s">
        <v>550</v>
      </c>
      <c r="J332" s="25" t="s">
        <v>71</v>
      </c>
    </row>
    <row r="333" ht="15.75" customHeight="1">
      <c r="A333" s="25" t="s">
        <v>1510</v>
      </c>
      <c r="B333" s="25" t="s">
        <v>124</v>
      </c>
      <c r="C333" s="69">
        <v>44774.0</v>
      </c>
      <c r="D333" s="21" t="s">
        <v>125</v>
      </c>
      <c r="E333" s="25">
        <v>2.0</v>
      </c>
      <c r="F333" s="21">
        <v>49500.0</v>
      </c>
      <c r="G333" s="21">
        <f t="shared" si="1"/>
        <v>99000</v>
      </c>
      <c r="H333" s="21" t="s">
        <v>549</v>
      </c>
      <c r="I333" s="21" t="s">
        <v>550</v>
      </c>
      <c r="J333" s="25" t="s">
        <v>71</v>
      </c>
    </row>
    <row r="334" ht="15.75" customHeight="1">
      <c r="A334" s="25" t="s">
        <v>1512</v>
      </c>
      <c r="B334" s="25" t="s">
        <v>124</v>
      </c>
      <c r="C334" s="69">
        <v>44805.0</v>
      </c>
      <c r="D334" s="21" t="s">
        <v>125</v>
      </c>
      <c r="E334" s="25">
        <v>1.0</v>
      </c>
      <c r="F334" s="21">
        <v>49500.0</v>
      </c>
      <c r="G334" s="21">
        <f t="shared" si="1"/>
        <v>49500</v>
      </c>
      <c r="H334" s="21" t="s">
        <v>549</v>
      </c>
      <c r="I334" s="21" t="s">
        <v>550</v>
      </c>
      <c r="J334" s="25" t="s">
        <v>71</v>
      </c>
    </row>
    <row r="335" ht="15.75" customHeight="1">
      <c r="A335" s="25" t="s">
        <v>1515</v>
      </c>
      <c r="B335" s="25" t="s">
        <v>124</v>
      </c>
      <c r="C335" s="69">
        <v>44835.0</v>
      </c>
      <c r="D335" s="21" t="s">
        <v>125</v>
      </c>
      <c r="E335" s="25">
        <v>0.0</v>
      </c>
      <c r="F335" s="21">
        <v>49500.0</v>
      </c>
      <c r="G335" s="21">
        <f t="shared" si="1"/>
        <v>0</v>
      </c>
      <c r="H335" s="21" t="s">
        <v>549</v>
      </c>
      <c r="I335" s="21" t="s">
        <v>550</v>
      </c>
      <c r="J335" s="25" t="s">
        <v>71</v>
      </c>
    </row>
    <row r="336" ht="15.75" customHeight="1">
      <c r="A336" s="25" t="s">
        <v>1517</v>
      </c>
      <c r="B336" s="25" t="s">
        <v>124</v>
      </c>
      <c r="C336" s="69">
        <v>44866.0</v>
      </c>
      <c r="D336" s="21" t="s">
        <v>125</v>
      </c>
      <c r="E336" s="25">
        <v>2.0</v>
      </c>
      <c r="F336" s="21">
        <v>49500.0</v>
      </c>
      <c r="G336" s="21">
        <f t="shared" si="1"/>
        <v>99000</v>
      </c>
      <c r="H336" s="21" t="s">
        <v>549</v>
      </c>
      <c r="I336" s="21" t="s">
        <v>550</v>
      </c>
      <c r="J336" s="25" t="s">
        <v>71</v>
      </c>
    </row>
    <row r="337" ht="15.75" customHeight="1">
      <c r="A337" s="25" t="s">
        <v>1519</v>
      </c>
      <c r="B337" s="25" t="s">
        <v>124</v>
      </c>
      <c r="C337" s="69">
        <v>44896.0</v>
      </c>
      <c r="D337" s="21" t="s">
        <v>125</v>
      </c>
      <c r="E337" s="25">
        <v>3.0</v>
      </c>
      <c r="F337" s="21">
        <v>49500.0</v>
      </c>
      <c r="G337" s="21">
        <f t="shared" si="1"/>
        <v>148500</v>
      </c>
      <c r="H337" s="21" t="s">
        <v>549</v>
      </c>
      <c r="I337" s="21" t="s">
        <v>550</v>
      </c>
      <c r="J337" s="25" t="s">
        <v>71</v>
      </c>
    </row>
    <row r="338" ht="15.75" customHeight="1">
      <c r="A338" s="25" t="s">
        <v>1521</v>
      </c>
      <c r="B338" s="25" t="s">
        <v>139</v>
      </c>
      <c r="C338" s="69">
        <v>44562.0</v>
      </c>
      <c r="D338" s="21" t="s">
        <v>140</v>
      </c>
      <c r="E338" s="25">
        <v>0.0</v>
      </c>
      <c r="F338" s="21">
        <v>30000.0</v>
      </c>
      <c r="G338" s="21">
        <f t="shared" si="1"/>
        <v>0</v>
      </c>
      <c r="H338" s="21" t="s">
        <v>758</v>
      </c>
      <c r="I338" s="21" t="s">
        <v>550</v>
      </c>
      <c r="J338" s="25" t="s">
        <v>71</v>
      </c>
    </row>
    <row r="339" ht="15.75" customHeight="1">
      <c r="A339" s="25" t="s">
        <v>1523</v>
      </c>
      <c r="B339" s="25" t="s">
        <v>139</v>
      </c>
      <c r="C339" s="69">
        <v>44593.0</v>
      </c>
      <c r="D339" s="21" t="s">
        <v>140</v>
      </c>
      <c r="E339" s="25">
        <v>0.0</v>
      </c>
      <c r="F339" s="21">
        <v>30000.0</v>
      </c>
      <c r="G339" s="21">
        <f t="shared" si="1"/>
        <v>0</v>
      </c>
      <c r="H339" s="21" t="s">
        <v>758</v>
      </c>
      <c r="I339" s="21" t="s">
        <v>550</v>
      </c>
      <c r="J339" s="25" t="s">
        <v>71</v>
      </c>
    </row>
    <row r="340" ht="15.75" customHeight="1">
      <c r="A340" s="25" t="s">
        <v>1525</v>
      </c>
      <c r="B340" s="25" t="s">
        <v>139</v>
      </c>
      <c r="C340" s="69">
        <v>44621.0</v>
      </c>
      <c r="D340" s="21" t="s">
        <v>140</v>
      </c>
      <c r="E340" s="25">
        <v>0.0</v>
      </c>
      <c r="F340" s="21">
        <v>30000.0</v>
      </c>
      <c r="G340" s="21">
        <f t="shared" si="1"/>
        <v>0</v>
      </c>
      <c r="H340" s="21" t="s">
        <v>758</v>
      </c>
      <c r="I340" s="21" t="s">
        <v>550</v>
      </c>
      <c r="J340" s="25" t="s">
        <v>71</v>
      </c>
    </row>
    <row r="341" ht="15.75" customHeight="1">
      <c r="A341" s="25" t="s">
        <v>1528</v>
      </c>
      <c r="B341" s="25" t="s">
        <v>139</v>
      </c>
      <c r="C341" s="69">
        <v>44652.0</v>
      </c>
      <c r="D341" s="21" t="s">
        <v>140</v>
      </c>
      <c r="E341" s="25">
        <v>0.0</v>
      </c>
      <c r="F341" s="21">
        <v>30000.0</v>
      </c>
      <c r="G341" s="21">
        <f t="shared" si="1"/>
        <v>0</v>
      </c>
      <c r="H341" s="21" t="s">
        <v>758</v>
      </c>
      <c r="I341" s="21" t="s">
        <v>550</v>
      </c>
      <c r="J341" s="25" t="s">
        <v>71</v>
      </c>
    </row>
    <row r="342" ht="15.75" customHeight="1">
      <c r="A342" s="25" t="s">
        <v>1530</v>
      </c>
      <c r="B342" s="25" t="s">
        <v>139</v>
      </c>
      <c r="C342" s="69">
        <v>44682.0</v>
      </c>
      <c r="D342" s="21" t="s">
        <v>140</v>
      </c>
      <c r="E342" s="25">
        <v>1.0</v>
      </c>
      <c r="F342" s="21">
        <v>30000.0</v>
      </c>
      <c r="G342" s="21">
        <f t="shared" si="1"/>
        <v>30000</v>
      </c>
      <c r="H342" s="21" t="s">
        <v>758</v>
      </c>
      <c r="I342" s="21" t="s">
        <v>550</v>
      </c>
      <c r="J342" s="25" t="s">
        <v>71</v>
      </c>
    </row>
    <row r="343" ht="15.75" customHeight="1">
      <c r="A343" s="25" t="s">
        <v>1532</v>
      </c>
      <c r="B343" s="25" t="s">
        <v>139</v>
      </c>
      <c r="C343" s="69">
        <v>44713.0</v>
      </c>
      <c r="D343" s="21" t="s">
        <v>140</v>
      </c>
      <c r="E343" s="25">
        <v>0.0</v>
      </c>
      <c r="F343" s="21">
        <v>30000.0</v>
      </c>
      <c r="G343" s="21">
        <f t="shared" si="1"/>
        <v>0</v>
      </c>
      <c r="H343" s="21" t="s">
        <v>758</v>
      </c>
      <c r="I343" s="21" t="s">
        <v>550</v>
      </c>
      <c r="J343" s="25" t="s">
        <v>71</v>
      </c>
    </row>
    <row r="344" ht="15.75" customHeight="1">
      <c r="A344" s="25" t="s">
        <v>1534</v>
      </c>
      <c r="B344" s="25" t="s">
        <v>139</v>
      </c>
      <c r="C344" s="69">
        <v>44743.0</v>
      </c>
      <c r="D344" s="21" t="s">
        <v>140</v>
      </c>
      <c r="E344" s="25">
        <v>2.0</v>
      </c>
      <c r="F344" s="21">
        <v>30000.0</v>
      </c>
      <c r="G344" s="21">
        <f t="shared" si="1"/>
        <v>60000</v>
      </c>
      <c r="H344" s="21" t="s">
        <v>758</v>
      </c>
      <c r="I344" s="21" t="s">
        <v>550</v>
      </c>
      <c r="J344" s="25" t="s">
        <v>71</v>
      </c>
    </row>
    <row r="345" ht="15.75" customHeight="1">
      <c r="A345" s="25" t="s">
        <v>1536</v>
      </c>
      <c r="B345" s="25" t="s">
        <v>139</v>
      </c>
      <c r="C345" s="69">
        <v>44774.0</v>
      </c>
      <c r="D345" s="21" t="s">
        <v>140</v>
      </c>
      <c r="E345" s="25">
        <v>0.0</v>
      </c>
      <c r="F345" s="21">
        <v>30000.0</v>
      </c>
      <c r="G345" s="21">
        <f t="shared" si="1"/>
        <v>0</v>
      </c>
      <c r="H345" s="21" t="s">
        <v>758</v>
      </c>
      <c r="I345" s="21" t="s">
        <v>550</v>
      </c>
      <c r="J345" s="25" t="s">
        <v>71</v>
      </c>
    </row>
    <row r="346" ht="15.75" customHeight="1">
      <c r="A346" s="25" t="s">
        <v>1537</v>
      </c>
      <c r="B346" s="25" t="s">
        <v>139</v>
      </c>
      <c r="C346" s="69">
        <v>44805.0</v>
      </c>
      <c r="D346" s="21" t="s">
        <v>140</v>
      </c>
      <c r="E346" s="25">
        <v>0.0</v>
      </c>
      <c r="F346" s="21">
        <v>30000.0</v>
      </c>
      <c r="G346" s="21">
        <f t="shared" si="1"/>
        <v>0</v>
      </c>
      <c r="H346" s="21" t="s">
        <v>758</v>
      </c>
      <c r="I346" s="21" t="s">
        <v>550</v>
      </c>
      <c r="J346" s="25" t="s">
        <v>71</v>
      </c>
    </row>
    <row r="347" ht="15.75" customHeight="1">
      <c r="A347" s="25" t="s">
        <v>1538</v>
      </c>
      <c r="B347" s="25" t="s">
        <v>139</v>
      </c>
      <c r="C347" s="69">
        <v>44835.0</v>
      </c>
      <c r="D347" s="21" t="s">
        <v>140</v>
      </c>
      <c r="E347" s="25">
        <v>1.0</v>
      </c>
      <c r="F347" s="21">
        <v>30000.0</v>
      </c>
      <c r="G347" s="21">
        <f t="shared" si="1"/>
        <v>30000</v>
      </c>
      <c r="H347" s="21" t="s">
        <v>758</v>
      </c>
      <c r="I347" s="21" t="s">
        <v>550</v>
      </c>
      <c r="J347" s="25" t="s">
        <v>71</v>
      </c>
    </row>
    <row r="348" ht="15.75" customHeight="1">
      <c r="A348" s="25" t="s">
        <v>1539</v>
      </c>
      <c r="B348" s="25" t="s">
        <v>139</v>
      </c>
      <c r="C348" s="69">
        <v>44866.0</v>
      </c>
      <c r="D348" s="21" t="s">
        <v>140</v>
      </c>
      <c r="E348" s="25">
        <v>1.0</v>
      </c>
      <c r="F348" s="21">
        <v>30000.0</v>
      </c>
      <c r="G348" s="21">
        <f t="shared" si="1"/>
        <v>30000</v>
      </c>
      <c r="H348" s="21" t="s">
        <v>758</v>
      </c>
      <c r="I348" s="21" t="s">
        <v>550</v>
      </c>
      <c r="J348" s="25" t="s">
        <v>71</v>
      </c>
    </row>
    <row r="349" ht="15.75" customHeight="1">
      <c r="A349" s="25" t="s">
        <v>1541</v>
      </c>
      <c r="B349" s="25" t="s">
        <v>139</v>
      </c>
      <c r="C349" s="69">
        <v>44896.0</v>
      </c>
      <c r="D349" s="21" t="s">
        <v>140</v>
      </c>
      <c r="E349" s="25">
        <v>0.0</v>
      </c>
      <c r="F349" s="21">
        <v>30000.0</v>
      </c>
      <c r="G349" s="21">
        <f t="shared" si="1"/>
        <v>0</v>
      </c>
      <c r="H349" s="21" t="s">
        <v>758</v>
      </c>
      <c r="I349" s="21" t="s">
        <v>550</v>
      </c>
      <c r="J349" s="25" t="s">
        <v>71</v>
      </c>
    </row>
    <row r="350" ht="15.75" customHeight="1">
      <c r="A350" s="25" t="s">
        <v>1543</v>
      </c>
      <c r="B350" s="25" t="s">
        <v>150</v>
      </c>
      <c r="C350" s="69">
        <v>44562.0</v>
      </c>
      <c r="D350" s="21" t="s">
        <v>151</v>
      </c>
      <c r="E350" s="25">
        <v>1.0</v>
      </c>
      <c r="F350" s="21">
        <v>30000.0</v>
      </c>
      <c r="G350" s="21">
        <f t="shared" si="1"/>
        <v>30000</v>
      </c>
      <c r="H350" s="21" t="s">
        <v>758</v>
      </c>
      <c r="I350" s="21" t="s">
        <v>550</v>
      </c>
      <c r="J350" s="25" t="s">
        <v>71</v>
      </c>
    </row>
    <row r="351" ht="15.75" customHeight="1">
      <c r="A351" s="25" t="s">
        <v>1545</v>
      </c>
      <c r="B351" s="25" t="s">
        <v>150</v>
      </c>
      <c r="C351" s="69">
        <v>44593.0</v>
      </c>
      <c r="D351" s="21" t="s">
        <v>151</v>
      </c>
      <c r="E351" s="25">
        <v>1.0</v>
      </c>
      <c r="F351" s="21">
        <v>30000.0</v>
      </c>
      <c r="G351" s="21">
        <f t="shared" si="1"/>
        <v>30000</v>
      </c>
      <c r="H351" s="21" t="s">
        <v>758</v>
      </c>
      <c r="I351" s="21" t="s">
        <v>550</v>
      </c>
      <c r="J351" s="25" t="s">
        <v>71</v>
      </c>
    </row>
    <row r="352" ht="15.75" customHeight="1">
      <c r="A352" s="25" t="s">
        <v>1547</v>
      </c>
      <c r="B352" s="25" t="s">
        <v>150</v>
      </c>
      <c r="C352" s="69">
        <v>44621.0</v>
      </c>
      <c r="D352" s="21" t="s">
        <v>151</v>
      </c>
      <c r="E352" s="25">
        <v>1.0</v>
      </c>
      <c r="F352" s="21">
        <v>30000.0</v>
      </c>
      <c r="G352" s="21">
        <f t="shared" si="1"/>
        <v>30000</v>
      </c>
      <c r="H352" s="21" t="s">
        <v>758</v>
      </c>
      <c r="I352" s="21" t="s">
        <v>550</v>
      </c>
      <c r="J352" s="25" t="s">
        <v>71</v>
      </c>
    </row>
    <row r="353" ht="15.75" customHeight="1">
      <c r="A353" s="25" t="s">
        <v>1549</v>
      </c>
      <c r="B353" s="25" t="s">
        <v>150</v>
      </c>
      <c r="C353" s="69">
        <v>44652.0</v>
      </c>
      <c r="D353" s="21" t="s">
        <v>151</v>
      </c>
      <c r="E353" s="25">
        <v>0.0</v>
      </c>
      <c r="F353" s="21">
        <v>30000.0</v>
      </c>
      <c r="G353" s="21">
        <f t="shared" si="1"/>
        <v>0</v>
      </c>
      <c r="H353" s="21" t="s">
        <v>758</v>
      </c>
      <c r="I353" s="21" t="s">
        <v>550</v>
      </c>
      <c r="J353" s="25" t="s">
        <v>71</v>
      </c>
    </row>
    <row r="354" ht="15.75" customHeight="1">
      <c r="A354" s="25" t="s">
        <v>1551</v>
      </c>
      <c r="B354" s="25" t="s">
        <v>150</v>
      </c>
      <c r="C354" s="69">
        <v>44682.0</v>
      </c>
      <c r="D354" s="21" t="s">
        <v>151</v>
      </c>
      <c r="E354" s="25">
        <v>1.0</v>
      </c>
      <c r="F354" s="21">
        <v>30000.0</v>
      </c>
      <c r="G354" s="21">
        <f t="shared" si="1"/>
        <v>30000</v>
      </c>
      <c r="H354" s="21" t="s">
        <v>758</v>
      </c>
      <c r="I354" s="21" t="s">
        <v>550</v>
      </c>
      <c r="J354" s="25" t="s">
        <v>71</v>
      </c>
    </row>
    <row r="355" ht="15.75" customHeight="1">
      <c r="A355" s="25" t="s">
        <v>1553</v>
      </c>
      <c r="B355" s="25" t="s">
        <v>150</v>
      </c>
      <c r="C355" s="69">
        <v>44713.0</v>
      </c>
      <c r="D355" s="21" t="s">
        <v>151</v>
      </c>
      <c r="E355" s="25">
        <v>0.0</v>
      </c>
      <c r="F355" s="21">
        <v>30000.0</v>
      </c>
      <c r="G355" s="21">
        <f t="shared" si="1"/>
        <v>0</v>
      </c>
      <c r="H355" s="21" t="s">
        <v>758</v>
      </c>
      <c r="I355" s="21" t="s">
        <v>550</v>
      </c>
      <c r="J355" s="25" t="s">
        <v>71</v>
      </c>
    </row>
    <row r="356" ht="15.75" customHeight="1">
      <c r="A356" s="25" t="s">
        <v>1555</v>
      </c>
      <c r="B356" s="25" t="s">
        <v>150</v>
      </c>
      <c r="C356" s="69">
        <v>44743.0</v>
      </c>
      <c r="D356" s="21" t="s">
        <v>151</v>
      </c>
      <c r="E356" s="25">
        <v>0.0</v>
      </c>
      <c r="F356" s="21">
        <v>30000.0</v>
      </c>
      <c r="G356" s="21">
        <f t="shared" si="1"/>
        <v>0</v>
      </c>
      <c r="H356" s="21" t="s">
        <v>758</v>
      </c>
      <c r="I356" s="21" t="s">
        <v>550</v>
      </c>
      <c r="J356" s="25" t="s">
        <v>71</v>
      </c>
    </row>
    <row r="357" ht="15.75" customHeight="1">
      <c r="A357" s="25" t="s">
        <v>1558</v>
      </c>
      <c r="B357" s="25" t="s">
        <v>150</v>
      </c>
      <c r="C357" s="69">
        <v>44774.0</v>
      </c>
      <c r="D357" s="21" t="s">
        <v>151</v>
      </c>
      <c r="E357" s="25">
        <v>0.0</v>
      </c>
      <c r="F357" s="21">
        <v>30000.0</v>
      </c>
      <c r="G357" s="21">
        <f t="shared" si="1"/>
        <v>0</v>
      </c>
      <c r="H357" s="21" t="s">
        <v>758</v>
      </c>
      <c r="I357" s="21" t="s">
        <v>550</v>
      </c>
      <c r="J357" s="25" t="s">
        <v>71</v>
      </c>
    </row>
    <row r="358" ht="15.75" customHeight="1">
      <c r="A358" s="25" t="s">
        <v>1560</v>
      </c>
      <c r="B358" s="25" t="s">
        <v>150</v>
      </c>
      <c r="C358" s="69">
        <v>44805.0</v>
      </c>
      <c r="D358" s="21" t="s">
        <v>151</v>
      </c>
      <c r="E358" s="25">
        <v>0.0</v>
      </c>
      <c r="F358" s="21">
        <v>30000.0</v>
      </c>
      <c r="G358" s="21">
        <f t="shared" si="1"/>
        <v>0</v>
      </c>
      <c r="H358" s="21" t="s">
        <v>758</v>
      </c>
      <c r="I358" s="21" t="s">
        <v>550</v>
      </c>
      <c r="J358" s="25" t="s">
        <v>71</v>
      </c>
    </row>
    <row r="359" ht="15.75" customHeight="1">
      <c r="A359" s="25" t="s">
        <v>1562</v>
      </c>
      <c r="B359" s="25" t="s">
        <v>150</v>
      </c>
      <c r="C359" s="69">
        <v>44835.0</v>
      </c>
      <c r="D359" s="21" t="s">
        <v>151</v>
      </c>
      <c r="E359" s="25">
        <v>0.0</v>
      </c>
      <c r="F359" s="21">
        <v>30000.0</v>
      </c>
      <c r="G359" s="21">
        <f t="shared" si="1"/>
        <v>0</v>
      </c>
      <c r="H359" s="21" t="s">
        <v>758</v>
      </c>
      <c r="I359" s="21" t="s">
        <v>550</v>
      </c>
      <c r="J359" s="25" t="s">
        <v>71</v>
      </c>
    </row>
    <row r="360" ht="15.75" customHeight="1">
      <c r="A360" s="25" t="s">
        <v>1564</v>
      </c>
      <c r="B360" s="25" t="s">
        <v>150</v>
      </c>
      <c r="C360" s="69">
        <v>44866.0</v>
      </c>
      <c r="D360" s="21" t="s">
        <v>151</v>
      </c>
      <c r="E360" s="25">
        <v>0.0</v>
      </c>
      <c r="F360" s="21">
        <v>30000.0</v>
      </c>
      <c r="G360" s="21">
        <f t="shared" si="1"/>
        <v>0</v>
      </c>
      <c r="H360" s="21" t="s">
        <v>758</v>
      </c>
      <c r="I360" s="21" t="s">
        <v>550</v>
      </c>
      <c r="J360" s="25" t="s">
        <v>71</v>
      </c>
    </row>
    <row r="361" ht="15.75" customHeight="1">
      <c r="A361" s="25" t="s">
        <v>1566</v>
      </c>
      <c r="B361" s="25" t="s">
        <v>150</v>
      </c>
      <c r="C361" s="69">
        <v>44896.0</v>
      </c>
      <c r="D361" s="21" t="s">
        <v>151</v>
      </c>
      <c r="E361" s="25">
        <v>0.0</v>
      </c>
      <c r="F361" s="21">
        <v>30000.0</v>
      </c>
      <c r="G361" s="21">
        <f t="shared" si="1"/>
        <v>0</v>
      </c>
      <c r="H361" s="21" t="s">
        <v>758</v>
      </c>
      <c r="I361" s="21" t="s">
        <v>550</v>
      </c>
      <c r="J361" s="25" t="s">
        <v>71</v>
      </c>
    </row>
    <row r="362" ht="15.75" customHeight="1">
      <c r="A362" s="25" t="s">
        <v>1568</v>
      </c>
      <c r="B362" s="25" t="s">
        <v>163</v>
      </c>
      <c r="C362" s="69">
        <v>44562.0</v>
      </c>
      <c r="D362" s="21" t="s">
        <v>165</v>
      </c>
      <c r="E362" s="25">
        <v>1.0</v>
      </c>
      <c r="F362" s="21">
        <v>49500.0</v>
      </c>
      <c r="G362" s="21">
        <f t="shared" si="1"/>
        <v>49500</v>
      </c>
      <c r="H362" s="21" t="s">
        <v>549</v>
      </c>
      <c r="I362" s="21" t="s">
        <v>550</v>
      </c>
      <c r="J362" s="25" t="s">
        <v>71</v>
      </c>
    </row>
    <row r="363" ht="15.75" customHeight="1">
      <c r="A363" s="25" t="s">
        <v>1570</v>
      </c>
      <c r="B363" s="25" t="s">
        <v>163</v>
      </c>
      <c r="C363" s="69">
        <v>44593.0</v>
      </c>
      <c r="D363" s="21" t="s">
        <v>165</v>
      </c>
      <c r="E363" s="25">
        <v>0.0</v>
      </c>
      <c r="F363" s="21">
        <v>49500.0</v>
      </c>
      <c r="G363" s="21">
        <f t="shared" si="1"/>
        <v>0</v>
      </c>
      <c r="H363" s="21" t="s">
        <v>549</v>
      </c>
      <c r="I363" s="21" t="s">
        <v>550</v>
      </c>
      <c r="J363" s="25" t="s">
        <v>71</v>
      </c>
    </row>
    <row r="364" ht="15.75" customHeight="1">
      <c r="A364" s="25" t="s">
        <v>1572</v>
      </c>
      <c r="B364" s="25" t="s">
        <v>163</v>
      </c>
      <c r="C364" s="69">
        <v>44621.0</v>
      </c>
      <c r="D364" s="21" t="s">
        <v>165</v>
      </c>
      <c r="E364" s="25">
        <v>0.0</v>
      </c>
      <c r="F364" s="21">
        <v>49500.0</v>
      </c>
      <c r="G364" s="21">
        <f t="shared" si="1"/>
        <v>0</v>
      </c>
      <c r="H364" s="21" t="s">
        <v>549</v>
      </c>
      <c r="I364" s="21" t="s">
        <v>550</v>
      </c>
      <c r="J364" s="25" t="s">
        <v>71</v>
      </c>
    </row>
    <row r="365" ht="15.75" customHeight="1">
      <c r="A365" s="25" t="s">
        <v>1574</v>
      </c>
      <c r="B365" s="25" t="s">
        <v>163</v>
      </c>
      <c r="C365" s="69">
        <v>44652.0</v>
      </c>
      <c r="D365" s="21" t="s">
        <v>165</v>
      </c>
      <c r="E365" s="25">
        <v>1.0</v>
      </c>
      <c r="F365" s="21">
        <v>49500.0</v>
      </c>
      <c r="G365" s="21">
        <f t="shared" si="1"/>
        <v>49500</v>
      </c>
      <c r="H365" s="21" t="s">
        <v>549</v>
      </c>
      <c r="I365" s="21" t="s">
        <v>550</v>
      </c>
      <c r="J365" s="25" t="s">
        <v>71</v>
      </c>
    </row>
    <row r="366" ht="15.75" customHeight="1">
      <c r="A366" s="25" t="s">
        <v>1576</v>
      </c>
      <c r="B366" s="25" t="s">
        <v>163</v>
      </c>
      <c r="C366" s="69">
        <v>44682.0</v>
      </c>
      <c r="D366" s="21" t="s">
        <v>165</v>
      </c>
      <c r="E366" s="25">
        <v>0.0</v>
      </c>
      <c r="F366" s="21">
        <v>49500.0</v>
      </c>
      <c r="G366" s="21">
        <f t="shared" si="1"/>
        <v>0</v>
      </c>
      <c r="H366" s="21" t="s">
        <v>549</v>
      </c>
      <c r="I366" s="21" t="s">
        <v>550</v>
      </c>
      <c r="J366" s="25" t="s">
        <v>71</v>
      </c>
    </row>
    <row r="367" ht="15.75" customHeight="1">
      <c r="A367" s="25" t="s">
        <v>1578</v>
      </c>
      <c r="B367" s="25" t="s">
        <v>163</v>
      </c>
      <c r="C367" s="69">
        <v>44713.0</v>
      </c>
      <c r="D367" s="21" t="s">
        <v>165</v>
      </c>
      <c r="E367" s="25">
        <v>1.0</v>
      </c>
      <c r="F367" s="21">
        <v>49500.0</v>
      </c>
      <c r="G367" s="21">
        <f t="shared" si="1"/>
        <v>49500</v>
      </c>
      <c r="H367" s="21" t="s">
        <v>549</v>
      </c>
      <c r="I367" s="21" t="s">
        <v>550</v>
      </c>
      <c r="J367" s="25" t="s">
        <v>71</v>
      </c>
    </row>
    <row r="368" ht="15.75" customHeight="1">
      <c r="A368" s="25" t="s">
        <v>1580</v>
      </c>
      <c r="B368" s="25" t="s">
        <v>163</v>
      </c>
      <c r="C368" s="69">
        <v>44743.0</v>
      </c>
      <c r="D368" s="21" t="s">
        <v>165</v>
      </c>
      <c r="E368" s="25">
        <v>0.0</v>
      </c>
      <c r="F368" s="21">
        <v>49500.0</v>
      </c>
      <c r="G368" s="21">
        <f t="shared" si="1"/>
        <v>0</v>
      </c>
      <c r="H368" s="21" t="s">
        <v>549</v>
      </c>
      <c r="I368" s="21" t="s">
        <v>550</v>
      </c>
      <c r="J368" s="25" t="s">
        <v>71</v>
      </c>
    </row>
    <row r="369" ht="15.75" customHeight="1">
      <c r="A369" s="25" t="s">
        <v>1582</v>
      </c>
      <c r="B369" s="25" t="s">
        <v>163</v>
      </c>
      <c r="C369" s="69">
        <v>44774.0</v>
      </c>
      <c r="D369" s="21" t="s">
        <v>165</v>
      </c>
      <c r="E369" s="25">
        <v>0.0</v>
      </c>
      <c r="F369" s="21">
        <v>49500.0</v>
      </c>
      <c r="G369" s="21">
        <f t="shared" si="1"/>
        <v>0</v>
      </c>
      <c r="H369" s="21" t="s">
        <v>549</v>
      </c>
      <c r="I369" s="21" t="s">
        <v>550</v>
      </c>
      <c r="J369" s="25" t="s">
        <v>71</v>
      </c>
    </row>
    <row r="370" ht="15.75" customHeight="1">
      <c r="A370" s="25" t="s">
        <v>1583</v>
      </c>
      <c r="B370" s="25" t="s">
        <v>163</v>
      </c>
      <c r="C370" s="69">
        <v>44805.0</v>
      </c>
      <c r="D370" s="21" t="s">
        <v>165</v>
      </c>
      <c r="E370" s="25">
        <v>0.0</v>
      </c>
      <c r="F370" s="21">
        <v>49500.0</v>
      </c>
      <c r="G370" s="21">
        <f t="shared" si="1"/>
        <v>0</v>
      </c>
      <c r="H370" s="21" t="s">
        <v>549</v>
      </c>
      <c r="I370" s="21" t="s">
        <v>550</v>
      </c>
      <c r="J370" s="25" t="s">
        <v>71</v>
      </c>
    </row>
    <row r="371" ht="15.75" customHeight="1">
      <c r="A371" s="25" t="s">
        <v>1585</v>
      </c>
      <c r="B371" s="25" t="s">
        <v>163</v>
      </c>
      <c r="C371" s="69">
        <v>44835.0</v>
      </c>
      <c r="D371" s="21" t="s">
        <v>165</v>
      </c>
      <c r="E371" s="25">
        <v>1.0</v>
      </c>
      <c r="F371" s="21">
        <v>49500.0</v>
      </c>
      <c r="G371" s="21">
        <f t="shared" si="1"/>
        <v>49500</v>
      </c>
      <c r="H371" s="21" t="s">
        <v>549</v>
      </c>
      <c r="I371" s="21" t="s">
        <v>550</v>
      </c>
      <c r="J371" s="25" t="s">
        <v>71</v>
      </c>
    </row>
    <row r="372" ht="15.75" customHeight="1">
      <c r="A372" s="25" t="s">
        <v>1587</v>
      </c>
      <c r="B372" s="25" t="s">
        <v>163</v>
      </c>
      <c r="C372" s="69">
        <v>44866.0</v>
      </c>
      <c r="D372" s="21" t="s">
        <v>165</v>
      </c>
      <c r="E372" s="25">
        <v>0.0</v>
      </c>
      <c r="F372" s="21">
        <v>49500.0</v>
      </c>
      <c r="G372" s="21">
        <f t="shared" si="1"/>
        <v>0</v>
      </c>
      <c r="H372" s="21" t="s">
        <v>549</v>
      </c>
      <c r="I372" s="21" t="s">
        <v>550</v>
      </c>
      <c r="J372" s="25" t="s">
        <v>71</v>
      </c>
    </row>
    <row r="373" ht="15.75" customHeight="1">
      <c r="A373" s="25" t="s">
        <v>1589</v>
      </c>
      <c r="B373" s="25" t="s">
        <v>163</v>
      </c>
      <c r="C373" s="69">
        <v>44896.0</v>
      </c>
      <c r="D373" s="21" t="s">
        <v>165</v>
      </c>
      <c r="E373" s="25">
        <v>0.0</v>
      </c>
      <c r="F373" s="21">
        <v>49500.0</v>
      </c>
      <c r="G373" s="21">
        <f t="shared" si="1"/>
        <v>0</v>
      </c>
      <c r="H373" s="21" t="s">
        <v>549</v>
      </c>
      <c r="I373" s="21" t="s">
        <v>550</v>
      </c>
      <c r="J373" s="25" t="s">
        <v>71</v>
      </c>
    </row>
    <row r="374" ht="15.75" customHeight="1">
      <c r="A374" s="25" t="s">
        <v>1591</v>
      </c>
      <c r="B374" s="25" t="s">
        <v>175</v>
      </c>
      <c r="C374" s="69">
        <v>44562.0</v>
      </c>
      <c r="D374" s="21" t="s">
        <v>176</v>
      </c>
      <c r="E374" s="25">
        <v>1.0</v>
      </c>
      <c r="F374" s="21">
        <v>49500.0</v>
      </c>
      <c r="G374" s="21">
        <f t="shared" si="1"/>
        <v>49500</v>
      </c>
      <c r="H374" s="21" t="s">
        <v>549</v>
      </c>
      <c r="I374" s="21" t="s">
        <v>550</v>
      </c>
      <c r="J374" s="25" t="s">
        <v>71</v>
      </c>
    </row>
    <row r="375" ht="15.75" customHeight="1">
      <c r="A375" s="25" t="s">
        <v>1593</v>
      </c>
      <c r="B375" s="25" t="s">
        <v>175</v>
      </c>
      <c r="C375" s="69">
        <v>44593.0</v>
      </c>
      <c r="D375" s="21" t="s">
        <v>176</v>
      </c>
      <c r="E375" s="25">
        <v>2.0</v>
      </c>
      <c r="F375" s="21">
        <v>49500.0</v>
      </c>
      <c r="G375" s="21">
        <f t="shared" si="1"/>
        <v>99000</v>
      </c>
      <c r="H375" s="21" t="s">
        <v>549</v>
      </c>
      <c r="I375" s="21" t="s">
        <v>550</v>
      </c>
      <c r="J375" s="25" t="s">
        <v>71</v>
      </c>
    </row>
    <row r="376" ht="15.75" customHeight="1">
      <c r="A376" s="25" t="s">
        <v>1595</v>
      </c>
      <c r="B376" s="25" t="s">
        <v>175</v>
      </c>
      <c r="C376" s="69">
        <v>44621.0</v>
      </c>
      <c r="D376" s="21" t="s">
        <v>176</v>
      </c>
      <c r="E376" s="25">
        <v>2.0</v>
      </c>
      <c r="F376" s="21">
        <v>49500.0</v>
      </c>
      <c r="G376" s="21">
        <f t="shared" si="1"/>
        <v>99000</v>
      </c>
      <c r="H376" s="21" t="s">
        <v>549</v>
      </c>
      <c r="I376" s="21" t="s">
        <v>550</v>
      </c>
      <c r="J376" s="25" t="s">
        <v>71</v>
      </c>
    </row>
    <row r="377" ht="15.75" customHeight="1">
      <c r="A377" s="25" t="s">
        <v>1598</v>
      </c>
      <c r="B377" s="25" t="s">
        <v>175</v>
      </c>
      <c r="C377" s="69">
        <v>44652.0</v>
      </c>
      <c r="D377" s="21" t="s">
        <v>176</v>
      </c>
      <c r="E377" s="25">
        <v>3.0</v>
      </c>
      <c r="F377" s="21">
        <v>49500.0</v>
      </c>
      <c r="G377" s="21">
        <f t="shared" si="1"/>
        <v>148500</v>
      </c>
      <c r="H377" s="21" t="s">
        <v>549</v>
      </c>
      <c r="I377" s="21" t="s">
        <v>550</v>
      </c>
      <c r="J377" s="25" t="s">
        <v>71</v>
      </c>
    </row>
    <row r="378" ht="15.75" customHeight="1">
      <c r="A378" s="25" t="s">
        <v>1600</v>
      </c>
      <c r="B378" s="25" t="s">
        <v>175</v>
      </c>
      <c r="C378" s="69">
        <v>44682.0</v>
      </c>
      <c r="D378" s="21" t="s">
        <v>176</v>
      </c>
      <c r="E378" s="25">
        <v>3.0</v>
      </c>
      <c r="F378" s="21">
        <v>49500.0</v>
      </c>
      <c r="G378" s="21">
        <f t="shared" si="1"/>
        <v>148500</v>
      </c>
      <c r="H378" s="21" t="s">
        <v>549</v>
      </c>
      <c r="I378" s="21" t="s">
        <v>550</v>
      </c>
      <c r="J378" s="25" t="s">
        <v>71</v>
      </c>
    </row>
    <row r="379" ht="15.75" customHeight="1">
      <c r="A379" s="25" t="s">
        <v>1602</v>
      </c>
      <c r="B379" s="25" t="s">
        <v>175</v>
      </c>
      <c r="C379" s="69">
        <v>44713.0</v>
      </c>
      <c r="D379" s="21" t="s">
        <v>176</v>
      </c>
      <c r="E379" s="25">
        <v>1.0</v>
      </c>
      <c r="F379" s="21">
        <v>49500.0</v>
      </c>
      <c r="G379" s="21">
        <f t="shared" si="1"/>
        <v>49500</v>
      </c>
      <c r="H379" s="21" t="s">
        <v>549</v>
      </c>
      <c r="I379" s="21" t="s">
        <v>550</v>
      </c>
      <c r="J379" s="25" t="s">
        <v>71</v>
      </c>
    </row>
    <row r="380" ht="15.75" customHeight="1">
      <c r="A380" s="25" t="s">
        <v>1605</v>
      </c>
      <c r="B380" s="25" t="s">
        <v>175</v>
      </c>
      <c r="C380" s="69">
        <v>44743.0</v>
      </c>
      <c r="D380" s="21" t="s">
        <v>176</v>
      </c>
      <c r="E380" s="25">
        <v>0.0</v>
      </c>
      <c r="F380" s="21">
        <v>49500.0</v>
      </c>
      <c r="G380" s="21">
        <f t="shared" si="1"/>
        <v>0</v>
      </c>
      <c r="H380" s="21" t="s">
        <v>549</v>
      </c>
      <c r="I380" s="21" t="s">
        <v>550</v>
      </c>
      <c r="J380" s="25" t="s">
        <v>71</v>
      </c>
    </row>
    <row r="381" ht="15.75" customHeight="1">
      <c r="A381" s="25" t="s">
        <v>1607</v>
      </c>
      <c r="B381" s="25" t="s">
        <v>175</v>
      </c>
      <c r="C381" s="69">
        <v>44774.0</v>
      </c>
      <c r="D381" s="21" t="s">
        <v>176</v>
      </c>
      <c r="E381" s="25">
        <v>1.0</v>
      </c>
      <c r="F381" s="21">
        <v>49500.0</v>
      </c>
      <c r="G381" s="21">
        <f t="shared" si="1"/>
        <v>49500</v>
      </c>
      <c r="H381" s="21" t="s">
        <v>549</v>
      </c>
      <c r="I381" s="21" t="s">
        <v>550</v>
      </c>
      <c r="J381" s="25" t="s">
        <v>71</v>
      </c>
    </row>
    <row r="382" ht="15.75" customHeight="1">
      <c r="A382" s="25" t="s">
        <v>1609</v>
      </c>
      <c r="B382" s="25" t="s">
        <v>175</v>
      </c>
      <c r="C382" s="69">
        <v>44805.0</v>
      </c>
      <c r="D382" s="21" t="s">
        <v>176</v>
      </c>
      <c r="E382" s="25">
        <v>2.0</v>
      </c>
      <c r="F382" s="21">
        <v>49500.0</v>
      </c>
      <c r="G382" s="21">
        <f t="shared" si="1"/>
        <v>99000</v>
      </c>
      <c r="H382" s="21" t="s">
        <v>549</v>
      </c>
      <c r="I382" s="21" t="s">
        <v>550</v>
      </c>
      <c r="J382" s="25" t="s">
        <v>71</v>
      </c>
    </row>
    <row r="383" ht="15.75" customHeight="1">
      <c r="A383" s="25" t="s">
        <v>1611</v>
      </c>
      <c r="B383" s="25" t="s">
        <v>175</v>
      </c>
      <c r="C383" s="69">
        <v>44835.0</v>
      </c>
      <c r="D383" s="21" t="s">
        <v>176</v>
      </c>
      <c r="E383" s="25">
        <v>0.0</v>
      </c>
      <c r="F383" s="21">
        <v>49500.0</v>
      </c>
      <c r="G383" s="21">
        <f t="shared" si="1"/>
        <v>0</v>
      </c>
      <c r="H383" s="21" t="s">
        <v>549</v>
      </c>
      <c r="I383" s="21" t="s">
        <v>550</v>
      </c>
      <c r="J383" s="25" t="s">
        <v>71</v>
      </c>
    </row>
    <row r="384" ht="15.75" customHeight="1">
      <c r="A384" s="25" t="s">
        <v>1614</v>
      </c>
      <c r="B384" s="25" t="s">
        <v>175</v>
      </c>
      <c r="C384" s="69">
        <v>44866.0</v>
      </c>
      <c r="D384" s="21" t="s">
        <v>176</v>
      </c>
      <c r="E384" s="25">
        <v>1.0</v>
      </c>
      <c r="F384" s="21">
        <v>49500.0</v>
      </c>
      <c r="G384" s="21">
        <f t="shared" si="1"/>
        <v>49500</v>
      </c>
      <c r="H384" s="21" t="s">
        <v>549</v>
      </c>
      <c r="I384" s="21" t="s">
        <v>550</v>
      </c>
      <c r="J384" s="25" t="s">
        <v>71</v>
      </c>
    </row>
    <row r="385" ht="15.75" customHeight="1">
      <c r="A385" s="25" t="s">
        <v>1616</v>
      </c>
      <c r="B385" s="25" t="s">
        <v>175</v>
      </c>
      <c r="C385" s="69">
        <v>44896.0</v>
      </c>
      <c r="D385" s="21" t="s">
        <v>176</v>
      </c>
      <c r="E385" s="25">
        <v>3.0</v>
      </c>
      <c r="F385" s="21">
        <v>49500.0</v>
      </c>
      <c r="G385" s="21">
        <f t="shared" si="1"/>
        <v>148500</v>
      </c>
      <c r="H385" s="21" t="s">
        <v>549</v>
      </c>
      <c r="I385" s="21" t="s">
        <v>550</v>
      </c>
      <c r="J385" s="25" t="s">
        <v>71</v>
      </c>
    </row>
    <row r="386" ht="15.75" customHeight="1">
      <c r="A386" s="25" t="s">
        <v>1619</v>
      </c>
      <c r="B386" s="25" t="s">
        <v>188</v>
      </c>
      <c r="C386" s="69">
        <v>44562.0</v>
      </c>
      <c r="D386" s="21" t="s">
        <v>189</v>
      </c>
      <c r="E386" s="25">
        <v>1.0</v>
      </c>
      <c r="F386" s="21">
        <v>49500.0</v>
      </c>
      <c r="G386" s="21">
        <f t="shared" si="1"/>
        <v>49500</v>
      </c>
      <c r="H386" s="21" t="s">
        <v>549</v>
      </c>
      <c r="I386" s="21" t="s">
        <v>550</v>
      </c>
      <c r="J386" s="25" t="s">
        <v>71</v>
      </c>
    </row>
    <row r="387" ht="15.75" customHeight="1">
      <c r="A387" s="25" t="s">
        <v>1621</v>
      </c>
      <c r="B387" s="25" t="s">
        <v>188</v>
      </c>
      <c r="C387" s="69">
        <v>44593.0</v>
      </c>
      <c r="D387" s="21" t="s">
        <v>189</v>
      </c>
      <c r="E387" s="25">
        <v>0.0</v>
      </c>
      <c r="F387" s="21">
        <v>49500.0</v>
      </c>
      <c r="G387" s="21">
        <f t="shared" si="1"/>
        <v>0</v>
      </c>
      <c r="H387" s="21" t="s">
        <v>549</v>
      </c>
      <c r="I387" s="21" t="s">
        <v>550</v>
      </c>
      <c r="J387" s="25" t="s">
        <v>71</v>
      </c>
    </row>
    <row r="388" ht="15.75" customHeight="1">
      <c r="A388" s="25" t="s">
        <v>1623</v>
      </c>
      <c r="B388" s="25" t="s">
        <v>188</v>
      </c>
      <c r="C388" s="69">
        <v>44621.0</v>
      </c>
      <c r="D388" s="21" t="s">
        <v>189</v>
      </c>
      <c r="E388" s="25">
        <v>0.0</v>
      </c>
      <c r="F388" s="21">
        <v>49500.0</v>
      </c>
      <c r="G388" s="21">
        <f t="shared" si="1"/>
        <v>0</v>
      </c>
      <c r="H388" s="21" t="s">
        <v>549</v>
      </c>
      <c r="I388" s="21" t="s">
        <v>550</v>
      </c>
      <c r="J388" s="25" t="s">
        <v>71</v>
      </c>
    </row>
    <row r="389" ht="15.75" customHeight="1">
      <c r="A389" s="25" t="s">
        <v>1625</v>
      </c>
      <c r="B389" s="25" t="s">
        <v>188</v>
      </c>
      <c r="C389" s="69">
        <v>44652.0</v>
      </c>
      <c r="D389" s="21" t="s">
        <v>189</v>
      </c>
      <c r="E389" s="25">
        <v>0.0</v>
      </c>
      <c r="F389" s="21">
        <v>49500.0</v>
      </c>
      <c r="G389" s="21">
        <f t="shared" si="1"/>
        <v>0</v>
      </c>
      <c r="H389" s="21" t="s">
        <v>549</v>
      </c>
      <c r="I389" s="21" t="s">
        <v>550</v>
      </c>
      <c r="J389" s="25" t="s">
        <v>71</v>
      </c>
    </row>
    <row r="390" ht="15.75" customHeight="1">
      <c r="A390" s="25" t="s">
        <v>1627</v>
      </c>
      <c r="B390" s="25" t="s">
        <v>188</v>
      </c>
      <c r="C390" s="69">
        <v>44682.0</v>
      </c>
      <c r="D390" s="21" t="s">
        <v>189</v>
      </c>
      <c r="E390" s="25">
        <v>1.0</v>
      </c>
      <c r="F390" s="21">
        <v>49500.0</v>
      </c>
      <c r="G390" s="21">
        <f t="shared" si="1"/>
        <v>49500</v>
      </c>
      <c r="H390" s="21" t="s">
        <v>549</v>
      </c>
      <c r="I390" s="21" t="s">
        <v>550</v>
      </c>
      <c r="J390" s="25" t="s">
        <v>71</v>
      </c>
    </row>
    <row r="391" ht="15.75" customHeight="1">
      <c r="A391" s="25" t="s">
        <v>1629</v>
      </c>
      <c r="B391" s="25" t="s">
        <v>188</v>
      </c>
      <c r="C391" s="69">
        <v>44713.0</v>
      </c>
      <c r="D391" s="21" t="s">
        <v>189</v>
      </c>
      <c r="E391" s="25">
        <v>1.0</v>
      </c>
      <c r="F391" s="21">
        <v>49500.0</v>
      </c>
      <c r="G391" s="21">
        <f t="shared" si="1"/>
        <v>49500</v>
      </c>
      <c r="H391" s="21" t="s">
        <v>549</v>
      </c>
      <c r="I391" s="21" t="s">
        <v>550</v>
      </c>
      <c r="J391" s="25" t="s">
        <v>71</v>
      </c>
    </row>
    <row r="392" ht="15.75" customHeight="1">
      <c r="A392" s="25" t="s">
        <v>1631</v>
      </c>
      <c r="B392" s="25" t="s">
        <v>188</v>
      </c>
      <c r="C392" s="69">
        <v>44743.0</v>
      </c>
      <c r="D392" s="21" t="s">
        <v>189</v>
      </c>
      <c r="E392" s="25">
        <v>1.0</v>
      </c>
      <c r="F392" s="21">
        <v>49500.0</v>
      </c>
      <c r="G392" s="21">
        <f t="shared" si="1"/>
        <v>49500</v>
      </c>
      <c r="H392" s="21" t="s">
        <v>549</v>
      </c>
      <c r="I392" s="21" t="s">
        <v>550</v>
      </c>
      <c r="J392" s="25" t="s">
        <v>71</v>
      </c>
    </row>
    <row r="393" ht="15.75" customHeight="1">
      <c r="A393" s="25" t="s">
        <v>1633</v>
      </c>
      <c r="B393" s="25" t="s">
        <v>188</v>
      </c>
      <c r="C393" s="69">
        <v>44774.0</v>
      </c>
      <c r="D393" s="21" t="s">
        <v>189</v>
      </c>
      <c r="E393" s="25">
        <v>1.0</v>
      </c>
      <c r="F393" s="21">
        <v>49500.0</v>
      </c>
      <c r="G393" s="21">
        <f t="shared" si="1"/>
        <v>49500</v>
      </c>
      <c r="H393" s="21" t="s">
        <v>549</v>
      </c>
      <c r="I393" s="21" t="s">
        <v>550</v>
      </c>
      <c r="J393" s="25" t="s">
        <v>71</v>
      </c>
    </row>
    <row r="394" ht="15.75" customHeight="1">
      <c r="A394" s="25" t="s">
        <v>1635</v>
      </c>
      <c r="B394" s="25" t="s">
        <v>188</v>
      </c>
      <c r="C394" s="69">
        <v>44805.0</v>
      </c>
      <c r="D394" s="21" t="s">
        <v>189</v>
      </c>
      <c r="E394" s="25">
        <v>0.0</v>
      </c>
      <c r="F394" s="21">
        <v>49500.0</v>
      </c>
      <c r="G394" s="21">
        <f t="shared" si="1"/>
        <v>0</v>
      </c>
      <c r="H394" s="21" t="s">
        <v>549</v>
      </c>
      <c r="I394" s="21" t="s">
        <v>550</v>
      </c>
      <c r="J394" s="25" t="s">
        <v>71</v>
      </c>
    </row>
    <row r="395" ht="15.75" customHeight="1">
      <c r="A395" s="25" t="s">
        <v>1636</v>
      </c>
      <c r="B395" s="25" t="s">
        <v>188</v>
      </c>
      <c r="C395" s="69">
        <v>44835.0</v>
      </c>
      <c r="D395" s="21" t="s">
        <v>189</v>
      </c>
      <c r="E395" s="25">
        <v>1.0</v>
      </c>
      <c r="F395" s="21">
        <v>49500.0</v>
      </c>
      <c r="G395" s="21">
        <f t="shared" si="1"/>
        <v>49500</v>
      </c>
      <c r="H395" s="21" t="s">
        <v>549</v>
      </c>
      <c r="I395" s="21" t="s">
        <v>550</v>
      </c>
      <c r="J395" s="25" t="s">
        <v>71</v>
      </c>
    </row>
    <row r="396" ht="15.75" customHeight="1">
      <c r="A396" s="25" t="s">
        <v>1638</v>
      </c>
      <c r="B396" s="25" t="s">
        <v>188</v>
      </c>
      <c r="C396" s="69">
        <v>44866.0</v>
      </c>
      <c r="D396" s="21" t="s">
        <v>189</v>
      </c>
      <c r="E396" s="25">
        <v>1.0</v>
      </c>
      <c r="F396" s="21">
        <v>49500.0</v>
      </c>
      <c r="G396" s="21">
        <f t="shared" si="1"/>
        <v>49500</v>
      </c>
      <c r="H396" s="21" t="s">
        <v>549</v>
      </c>
      <c r="I396" s="21" t="s">
        <v>550</v>
      </c>
      <c r="J396" s="25" t="s">
        <v>71</v>
      </c>
    </row>
    <row r="397" ht="15.75" customHeight="1">
      <c r="A397" s="25" t="s">
        <v>1642</v>
      </c>
      <c r="B397" s="25" t="s">
        <v>188</v>
      </c>
      <c r="C397" s="69">
        <v>44896.0</v>
      </c>
      <c r="D397" s="21" t="s">
        <v>189</v>
      </c>
      <c r="E397" s="25">
        <v>0.0</v>
      </c>
      <c r="F397" s="21">
        <v>49500.0</v>
      </c>
      <c r="G397" s="21">
        <f t="shared" si="1"/>
        <v>0</v>
      </c>
      <c r="H397" s="21" t="s">
        <v>549</v>
      </c>
      <c r="I397" s="21" t="s">
        <v>550</v>
      </c>
      <c r="J397" s="25" t="s">
        <v>71</v>
      </c>
    </row>
    <row r="398" ht="15.75" customHeight="1">
      <c r="A398" s="25" t="s">
        <v>1645</v>
      </c>
      <c r="B398" s="25" t="s">
        <v>38</v>
      </c>
      <c r="C398" s="69">
        <v>44927.0</v>
      </c>
      <c r="D398" s="21" t="s">
        <v>41</v>
      </c>
      <c r="E398" s="25">
        <v>40.0</v>
      </c>
      <c r="F398" s="21">
        <v>45000.0</v>
      </c>
      <c r="G398" s="21">
        <f t="shared" si="1"/>
        <v>1800000</v>
      </c>
      <c r="H398" s="21" t="s">
        <v>549</v>
      </c>
      <c r="I398" s="21" t="s">
        <v>550</v>
      </c>
      <c r="J398" s="25" t="s">
        <v>71</v>
      </c>
    </row>
    <row r="399" ht="15.75" customHeight="1">
      <c r="A399" s="25" t="s">
        <v>1647</v>
      </c>
      <c r="B399" s="25" t="s">
        <v>38</v>
      </c>
      <c r="C399" s="69">
        <v>44958.0</v>
      </c>
      <c r="D399" s="21" t="s">
        <v>41</v>
      </c>
      <c r="E399" s="25">
        <v>10.0</v>
      </c>
      <c r="F399" s="21">
        <v>45000.0</v>
      </c>
      <c r="G399" s="21">
        <f t="shared" si="1"/>
        <v>450000</v>
      </c>
      <c r="H399" s="21" t="s">
        <v>549</v>
      </c>
      <c r="I399" s="21" t="s">
        <v>550</v>
      </c>
      <c r="J399" s="25" t="s">
        <v>71</v>
      </c>
    </row>
    <row r="400" ht="15.75" customHeight="1">
      <c r="A400" s="25" t="s">
        <v>1649</v>
      </c>
      <c r="B400" s="25" t="s">
        <v>38</v>
      </c>
      <c r="C400" s="69">
        <v>44986.0</v>
      </c>
      <c r="D400" s="21" t="s">
        <v>41</v>
      </c>
      <c r="E400" s="25">
        <v>30.0</v>
      </c>
      <c r="F400" s="21">
        <v>45000.0</v>
      </c>
      <c r="G400" s="21">
        <f t="shared" si="1"/>
        <v>1350000</v>
      </c>
      <c r="H400" s="21" t="s">
        <v>549</v>
      </c>
      <c r="I400" s="21" t="s">
        <v>550</v>
      </c>
      <c r="J400" s="25" t="s">
        <v>71</v>
      </c>
    </row>
    <row r="401" ht="15.75" customHeight="1">
      <c r="A401" s="25" t="s">
        <v>1653</v>
      </c>
      <c r="B401" s="25" t="s">
        <v>38</v>
      </c>
      <c r="C401" s="69">
        <v>45017.0</v>
      </c>
      <c r="D401" s="21" t="s">
        <v>41</v>
      </c>
      <c r="E401" s="25">
        <v>25.0</v>
      </c>
      <c r="F401" s="21">
        <v>45000.0</v>
      </c>
      <c r="G401" s="21">
        <f t="shared" si="1"/>
        <v>1125000</v>
      </c>
      <c r="H401" s="21" t="s">
        <v>549</v>
      </c>
      <c r="I401" s="21" t="s">
        <v>550</v>
      </c>
      <c r="J401" s="25" t="s">
        <v>71</v>
      </c>
    </row>
    <row r="402" ht="15.75" customHeight="1">
      <c r="A402" s="25" t="s">
        <v>1655</v>
      </c>
      <c r="B402" s="25" t="s">
        <v>38</v>
      </c>
      <c r="C402" s="69">
        <v>45047.0</v>
      </c>
      <c r="D402" s="21" t="s">
        <v>41</v>
      </c>
      <c r="E402" s="25">
        <v>19.0</v>
      </c>
      <c r="F402" s="21">
        <v>45000.0</v>
      </c>
      <c r="G402" s="21">
        <f t="shared" si="1"/>
        <v>855000</v>
      </c>
      <c r="H402" s="21" t="s">
        <v>549</v>
      </c>
      <c r="I402" s="21" t="s">
        <v>550</v>
      </c>
      <c r="J402" s="25" t="s">
        <v>71</v>
      </c>
    </row>
    <row r="403" ht="15.75" customHeight="1">
      <c r="A403" s="25" t="s">
        <v>1657</v>
      </c>
      <c r="B403" s="25" t="s">
        <v>38</v>
      </c>
      <c r="C403" s="69">
        <v>45078.0</v>
      </c>
      <c r="D403" s="21" t="s">
        <v>41</v>
      </c>
      <c r="E403" s="25">
        <v>40.0</v>
      </c>
      <c r="F403" s="21">
        <v>45000.0</v>
      </c>
      <c r="G403" s="21">
        <f t="shared" si="1"/>
        <v>1800000</v>
      </c>
      <c r="H403" s="21" t="s">
        <v>549</v>
      </c>
      <c r="I403" s="21" t="s">
        <v>550</v>
      </c>
      <c r="J403" s="25" t="s">
        <v>71</v>
      </c>
    </row>
    <row r="404" ht="15.75" customHeight="1">
      <c r="A404" s="25" t="s">
        <v>1659</v>
      </c>
      <c r="B404" s="25" t="s">
        <v>38</v>
      </c>
      <c r="C404" s="69">
        <v>45108.0</v>
      </c>
      <c r="D404" s="21" t="s">
        <v>41</v>
      </c>
      <c r="E404" s="25">
        <v>50.0</v>
      </c>
      <c r="F404" s="21">
        <v>45000.0</v>
      </c>
      <c r="G404" s="21">
        <f t="shared" si="1"/>
        <v>2250000</v>
      </c>
      <c r="H404" s="21" t="s">
        <v>549</v>
      </c>
      <c r="I404" s="21" t="s">
        <v>550</v>
      </c>
      <c r="J404" s="25" t="s">
        <v>71</v>
      </c>
    </row>
    <row r="405" ht="15.75" customHeight="1">
      <c r="A405" s="25" t="s">
        <v>1660</v>
      </c>
      <c r="B405" s="25" t="s">
        <v>38</v>
      </c>
      <c r="C405" s="69">
        <v>45139.0</v>
      </c>
      <c r="D405" s="21" t="s">
        <v>41</v>
      </c>
      <c r="E405" s="25">
        <v>35.0</v>
      </c>
      <c r="F405" s="21">
        <v>45000.0</v>
      </c>
      <c r="G405" s="21">
        <f t="shared" si="1"/>
        <v>1575000</v>
      </c>
      <c r="H405" s="21" t="s">
        <v>549</v>
      </c>
      <c r="I405" s="21" t="s">
        <v>550</v>
      </c>
      <c r="J405" s="25" t="s">
        <v>71</v>
      </c>
    </row>
    <row r="406" ht="15.75" customHeight="1">
      <c r="A406" s="25" t="s">
        <v>1662</v>
      </c>
      <c r="B406" s="25" t="s">
        <v>38</v>
      </c>
      <c r="C406" s="69">
        <v>45170.0</v>
      </c>
      <c r="D406" s="21" t="s">
        <v>41</v>
      </c>
      <c r="E406" s="25">
        <v>16.0</v>
      </c>
      <c r="F406" s="21">
        <v>45000.0</v>
      </c>
      <c r="G406" s="21">
        <f t="shared" si="1"/>
        <v>720000</v>
      </c>
      <c r="H406" s="21" t="s">
        <v>549</v>
      </c>
      <c r="I406" s="21" t="s">
        <v>550</v>
      </c>
      <c r="J406" s="25" t="s">
        <v>71</v>
      </c>
    </row>
    <row r="407" ht="15.75" customHeight="1">
      <c r="A407" s="25" t="s">
        <v>1664</v>
      </c>
      <c r="B407" s="25" t="s">
        <v>38</v>
      </c>
      <c r="C407" s="69">
        <v>45200.0</v>
      </c>
      <c r="D407" s="21" t="s">
        <v>41</v>
      </c>
      <c r="E407" s="25">
        <v>37.0</v>
      </c>
      <c r="F407" s="21">
        <v>45000.0</v>
      </c>
      <c r="G407" s="21">
        <f t="shared" si="1"/>
        <v>1665000</v>
      </c>
      <c r="H407" s="21" t="s">
        <v>549</v>
      </c>
      <c r="I407" s="21" t="s">
        <v>550</v>
      </c>
      <c r="J407" s="25" t="s">
        <v>71</v>
      </c>
    </row>
    <row r="408" ht="15.75" customHeight="1">
      <c r="A408" s="25" t="s">
        <v>1666</v>
      </c>
      <c r="B408" s="25" t="s">
        <v>38</v>
      </c>
      <c r="C408" s="69">
        <v>45231.0</v>
      </c>
      <c r="D408" s="21" t="s">
        <v>41</v>
      </c>
      <c r="E408" s="25">
        <v>27.0</v>
      </c>
      <c r="F408" s="21">
        <v>45000.0</v>
      </c>
      <c r="G408" s="21">
        <f t="shared" si="1"/>
        <v>1215000</v>
      </c>
      <c r="H408" s="21" t="s">
        <v>549</v>
      </c>
      <c r="I408" s="21" t="s">
        <v>550</v>
      </c>
      <c r="J408" s="25" t="s">
        <v>71</v>
      </c>
    </row>
    <row r="409" ht="15.75" customHeight="1">
      <c r="A409" s="25" t="s">
        <v>1668</v>
      </c>
      <c r="B409" s="25" t="s">
        <v>38</v>
      </c>
      <c r="C409" s="69">
        <v>45261.0</v>
      </c>
      <c r="D409" s="21" t="s">
        <v>41</v>
      </c>
      <c r="E409" s="25">
        <v>16.0</v>
      </c>
      <c r="F409" s="21">
        <v>45000.0</v>
      </c>
      <c r="G409" s="21">
        <f t="shared" si="1"/>
        <v>720000</v>
      </c>
      <c r="H409" s="21" t="s">
        <v>549</v>
      </c>
      <c r="I409" s="21" t="s">
        <v>550</v>
      </c>
      <c r="J409" s="25" t="s">
        <v>71</v>
      </c>
    </row>
    <row r="410" ht="15.75" customHeight="1">
      <c r="A410" s="25" t="s">
        <v>1670</v>
      </c>
      <c r="B410" s="25" t="s">
        <v>40</v>
      </c>
      <c r="C410" s="69">
        <v>44927.0</v>
      </c>
      <c r="D410" s="21" t="s">
        <v>42</v>
      </c>
      <c r="E410" s="25">
        <v>1.0</v>
      </c>
      <c r="F410" s="21">
        <v>45500.0</v>
      </c>
      <c r="G410" s="21">
        <f t="shared" si="1"/>
        <v>45500</v>
      </c>
      <c r="H410" s="21" t="s">
        <v>549</v>
      </c>
      <c r="I410" s="21" t="s">
        <v>550</v>
      </c>
      <c r="J410" s="25" t="s">
        <v>71</v>
      </c>
    </row>
    <row r="411" ht="15.75" customHeight="1">
      <c r="A411" s="25" t="s">
        <v>1671</v>
      </c>
      <c r="B411" s="25" t="s">
        <v>40</v>
      </c>
      <c r="C411" s="69">
        <v>44958.0</v>
      </c>
      <c r="D411" s="21" t="s">
        <v>42</v>
      </c>
      <c r="E411" s="25">
        <v>3.0</v>
      </c>
      <c r="F411" s="21">
        <v>45500.0</v>
      </c>
      <c r="G411" s="21">
        <f t="shared" si="1"/>
        <v>136500</v>
      </c>
      <c r="H411" s="21" t="s">
        <v>549</v>
      </c>
      <c r="I411" s="21" t="s">
        <v>550</v>
      </c>
      <c r="J411" s="25" t="s">
        <v>71</v>
      </c>
    </row>
    <row r="412" ht="15.75" customHeight="1">
      <c r="A412" s="25" t="s">
        <v>1673</v>
      </c>
      <c r="B412" s="25" t="s">
        <v>40</v>
      </c>
      <c r="C412" s="69">
        <v>44986.0</v>
      </c>
      <c r="D412" s="21" t="s">
        <v>42</v>
      </c>
      <c r="E412" s="25">
        <v>6.0</v>
      </c>
      <c r="F412" s="21">
        <v>45500.0</v>
      </c>
      <c r="G412" s="21">
        <f t="shared" si="1"/>
        <v>273000</v>
      </c>
      <c r="H412" s="21" t="s">
        <v>549</v>
      </c>
      <c r="I412" s="21" t="s">
        <v>550</v>
      </c>
      <c r="J412" s="25" t="s">
        <v>71</v>
      </c>
    </row>
    <row r="413" ht="15.75" customHeight="1">
      <c r="A413" s="25" t="s">
        <v>1675</v>
      </c>
      <c r="B413" s="25" t="s">
        <v>40</v>
      </c>
      <c r="C413" s="69">
        <v>45017.0</v>
      </c>
      <c r="D413" s="21" t="s">
        <v>42</v>
      </c>
      <c r="E413" s="25">
        <v>25.0</v>
      </c>
      <c r="F413" s="21">
        <v>45500.0</v>
      </c>
      <c r="G413" s="21">
        <f t="shared" si="1"/>
        <v>1137500</v>
      </c>
      <c r="H413" s="21" t="s">
        <v>549</v>
      </c>
      <c r="I413" s="21" t="s">
        <v>550</v>
      </c>
      <c r="J413" s="25" t="s">
        <v>71</v>
      </c>
    </row>
    <row r="414" ht="15.75" customHeight="1">
      <c r="A414" s="25" t="s">
        <v>1677</v>
      </c>
      <c r="B414" s="25" t="s">
        <v>40</v>
      </c>
      <c r="C414" s="69">
        <v>45047.0</v>
      </c>
      <c r="D414" s="21" t="s">
        <v>42</v>
      </c>
      <c r="E414" s="25">
        <v>6.0</v>
      </c>
      <c r="F414" s="21">
        <v>45500.0</v>
      </c>
      <c r="G414" s="21">
        <f t="shared" si="1"/>
        <v>273000</v>
      </c>
      <c r="H414" s="21" t="s">
        <v>549</v>
      </c>
      <c r="I414" s="21" t="s">
        <v>550</v>
      </c>
      <c r="J414" s="25" t="s">
        <v>71</v>
      </c>
    </row>
    <row r="415" ht="15.75" customHeight="1">
      <c r="A415" s="25" t="s">
        <v>1679</v>
      </c>
      <c r="B415" s="25" t="s">
        <v>40</v>
      </c>
      <c r="C415" s="69">
        <v>45078.0</v>
      </c>
      <c r="D415" s="21" t="s">
        <v>42</v>
      </c>
      <c r="E415" s="25">
        <v>2.0</v>
      </c>
      <c r="F415" s="21">
        <v>45500.0</v>
      </c>
      <c r="G415" s="21">
        <f t="shared" si="1"/>
        <v>91000</v>
      </c>
      <c r="H415" s="21" t="s">
        <v>549</v>
      </c>
      <c r="I415" s="21" t="s">
        <v>550</v>
      </c>
      <c r="J415" s="25" t="s">
        <v>71</v>
      </c>
    </row>
    <row r="416" ht="15.75" customHeight="1">
      <c r="A416" s="25" t="s">
        <v>1681</v>
      </c>
      <c r="B416" s="25" t="s">
        <v>40</v>
      </c>
      <c r="C416" s="69">
        <v>45108.0</v>
      </c>
      <c r="D416" s="21" t="s">
        <v>42</v>
      </c>
      <c r="E416" s="25">
        <v>0.0</v>
      </c>
      <c r="F416" s="21">
        <v>45500.0</v>
      </c>
      <c r="G416" s="21">
        <f t="shared" si="1"/>
        <v>0</v>
      </c>
      <c r="H416" s="21" t="s">
        <v>549</v>
      </c>
      <c r="I416" s="21" t="s">
        <v>550</v>
      </c>
      <c r="J416" s="25" t="s">
        <v>71</v>
      </c>
    </row>
    <row r="417" ht="15.75" customHeight="1">
      <c r="A417" s="25" t="s">
        <v>1683</v>
      </c>
      <c r="B417" s="25" t="s">
        <v>40</v>
      </c>
      <c r="C417" s="69">
        <v>45139.0</v>
      </c>
      <c r="D417" s="21" t="s">
        <v>42</v>
      </c>
      <c r="E417" s="25">
        <v>4.0</v>
      </c>
      <c r="F417" s="21">
        <v>45500.0</v>
      </c>
      <c r="G417" s="21">
        <f t="shared" si="1"/>
        <v>182000</v>
      </c>
      <c r="H417" s="21" t="s">
        <v>549</v>
      </c>
      <c r="I417" s="21" t="s">
        <v>550</v>
      </c>
      <c r="J417" s="25" t="s">
        <v>71</v>
      </c>
    </row>
    <row r="418" ht="15.75" customHeight="1">
      <c r="A418" s="25" t="s">
        <v>1685</v>
      </c>
      <c r="B418" s="25" t="s">
        <v>40</v>
      </c>
      <c r="C418" s="69">
        <v>45170.0</v>
      </c>
      <c r="D418" s="21" t="s">
        <v>42</v>
      </c>
      <c r="E418" s="25">
        <v>11.0</v>
      </c>
      <c r="F418" s="21">
        <v>45500.0</v>
      </c>
      <c r="G418" s="21">
        <f t="shared" si="1"/>
        <v>500500</v>
      </c>
      <c r="H418" s="21" t="s">
        <v>549</v>
      </c>
      <c r="I418" s="21" t="s">
        <v>550</v>
      </c>
      <c r="J418" s="25" t="s">
        <v>71</v>
      </c>
    </row>
    <row r="419" ht="15.75" customHeight="1">
      <c r="A419" s="25" t="s">
        <v>1687</v>
      </c>
      <c r="B419" s="25" t="s">
        <v>40</v>
      </c>
      <c r="C419" s="69">
        <v>45200.0</v>
      </c>
      <c r="D419" s="21" t="s">
        <v>42</v>
      </c>
      <c r="E419" s="25">
        <v>20.0</v>
      </c>
      <c r="F419" s="21">
        <v>45500.0</v>
      </c>
      <c r="G419" s="21">
        <f t="shared" si="1"/>
        <v>910000</v>
      </c>
      <c r="H419" s="21" t="s">
        <v>549</v>
      </c>
      <c r="I419" s="21" t="s">
        <v>550</v>
      </c>
      <c r="J419" s="25" t="s">
        <v>71</v>
      </c>
    </row>
    <row r="420" ht="15.75" customHeight="1">
      <c r="A420" s="25" t="s">
        <v>1689</v>
      </c>
      <c r="B420" s="25" t="s">
        <v>40</v>
      </c>
      <c r="C420" s="69">
        <v>45231.0</v>
      </c>
      <c r="D420" s="21" t="s">
        <v>42</v>
      </c>
      <c r="E420" s="25">
        <v>10.0</v>
      </c>
      <c r="F420" s="21">
        <v>45500.0</v>
      </c>
      <c r="G420" s="21">
        <f t="shared" si="1"/>
        <v>455000</v>
      </c>
      <c r="H420" s="21" t="s">
        <v>549</v>
      </c>
      <c r="I420" s="21" t="s">
        <v>550</v>
      </c>
      <c r="J420" s="25" t="s">
        <v>71</v>
      </c>
    </row>
    <row r="421" ht="15.75" customHeight="1">
      <c r="A421" s="25" t="s">
        <v>1691</v>
      </c>
      <c r="B421" s="25" t="s">
        <v>40</v>
      </c>
      <c r="C421" s="69">
        <v>45261.0</v>
      </c>
      <c r="D421" s="21" t="s">
        <v>42</v>
      </c>
      <c r="E421" s="25">
        <v>0.0</v>
      </c>
      <c r="F421" s="21">
        <v>45500.0</v>
      </c>
      <c r="G421" s="21">
        <f t="shared" si="1"/>
        <v>0</v>
      </c>
      <c r="H421" s="21" t="s">
        <v>549</v>
      </c>
      <c r="I421" s="21" t="s">
        <v>550</v>
      </c>
      <c r="J421" s="25" t="s">
        <v>71</v>
      </c>
    </row>
    <row r="422" ht="15.75" customHeight="1">
      <c r="A422" s="25" t="s">
        <v>1693</v>
      </c>
      <c r="B422" s="25" t="s">
        <v>82</v>
      </c>
      <c r="C422" s="69">
        <v>44927.0</v>
      </c>
      <c r="D422" s="21" t="s">
        <v>84</v>
      </c>
      <c r="E422" s="25">
        <v>20.0</v>
      </c>
      <c r="F422" s="21">
        <v>45000.0</v>
      </c>
      <c r="G422" s="21">
        <f t="shared" si="1"/>
        <v>900000</v>
      </c>
      <c r="H422" s="21" t="s">
        <v>549</v>
      </c>
      <c r="I422" s="21" t="s">
        <v>550</v>
      </c>
      <c r="J422" s="25" t="s">
        <v>71</v>
      </c>
    </row>
    <row r="423" ht="15.75" customHeight="1">
      <c r="A423" s="25" t="s">
        <v>1696</v>
      </c>
      <c r="B423" s="25" t="s">
        <v>82</v>
      </c>
      <c r="C423" s="69">
        <v>44958.0</v>
      </c>
      <c r="D423" s="21" t="s">
        <v>84</v>
      </c>
      <c r="E423" s="25">
        <v>12.0</v>
      </c>
      <c r="F423" s="21">
        <v>45000.0</v>
      </c>
      <c r="G423" s="21">
        <f t="shared" si="1"/>
        <v>540000</v>
      </c>
      <c r="H423" s="21" t="s">
        <v>549</v>
      </c>
      <c r="I423" s="21" t="s">
        <v>550</v>
      </c>
      <c r="J423" s="25" t="s">
        <v>71</v>
      </c>
    </row>
    <row r="424" ht="15.75" customHeight="1">
      <c r="A424" s="25" t="s">
        <v>1698</v>
      </c>
      <c r="B424" s="25" t="s">
        <v>82</v>
      </c>
      <c r="C424" s="69">
        <v>44986.0</v>
      </c>
      <c r="D424" s="21" t="s">
        <v>84</v>
      </c>
      <c r="E424" s="25">
        <v>18.0</v>
      </c>
      <c r="F424" s="21">
        <v>45000.0</v>
      </c>
      <c r="G424" s="21">
        <f t="shared" si="1"/>
        <v>810000</v>
      </c>
      <c r="H424" s="21" t="s">
        <v>549</v>
      </c>
      <c r="I424" s="21" t="s">
        <v>550</v>
      </c>
      <c r="J424" s="25" t="s">
        <v>71</v>
      </c>
    </row>
    <row r="425" ht="15.75" customHeight="1">
      <c r="A425" s="25" t="s">
        <v>1700</v>
      </c>
      <c r="B425" s="25" t="s">
        <v>82</v>
      </c>
      <c r="C425" s="69">
        <v>45017.0</v>
      </c>
      <c r="D425" s="21" t="s">
        <v>84</v>
      </c>
      <c r="E425" s="25">
        <v>1.0</v>
      </c>
      <c r="F425" s="21">
        <v>45000.0</v>
      </c>
      <c r="G425" s="21">
        <f t="shared" si="1"/>
        <v>45000</v>
      </c>
      <c r="H425" s="21" t="s">
        <v>549</v>
      </c>
      <c r="I425" s="21" t="s">
        <v>550</v>
      </c>
      <c r="J425" s="25" t="s">
        <v>71</v>
      </c>
    </row>
    <row r="426" ht="15.75" customHeight="1">
      <c r="A426" s="25" t="s">
        <v>1703</v>
      </c>
      <c r="B426" s="25" t="s">
        <v>82</v>
      </c>
      <c r="C426" s="69">
        <v>45047.0</v>
      </c>
      <c r="D426" s="21" t="s">
        <v>84</v>
      </c>
      <c r="E426" s="25">
        <v>13.0</v>
      </c>
      <c r="F426" s="21">
        <v>45000.0</v>
      </c>
      <c r="G426" s="21">
        <f t="shared" si="1"/>
        <v>585000</v>
      </c>
      <c r="H426" s="21" t="s">
        <v>549</v>
      </c>
      <c r="I426" s="21" t="s">
        <v>550</v>
      </c>
      <c r="J426" s="25" t="s">
        <v>71</v>
      </c>
    </row>
    <row r="427" ht="15.75" customHeight="1">
      <c r="A427" s="25" t="s">
        <v>1705</v>
      </c>
      <c r="B427" s="25" t="s">
        <v>82</v>
      </c>
      <c r="C427" s="69">
        <v>45078.0</v>
      </c>
      <c r="D427" s="21" t="s">
        <v>84</v>
      </c>
      <c r="E427" s="25">
        <v>9.0</v>
      </c>
      <c r="F427" s="21">
        <v>45000.0</v>
      </c>
      <c r="G427" s="21">
        <f t="shared" si="1"/>
        <v>405000</v>
      </c>
      <c r="H427" s="21" t="s">
        <v>549</v>
      </c>
      <c r="I427" s="21" t="s">
        <v>550</v>
      </c>
      <c r="J427" s="25" t="s">
        <v>71</v>
      </c>
    </row>
    <row r="428" ht="15.75" customHeight="1">
      <c r="A428" s="25" t="s">
        <v>1708</v>
      </c>
      <c r="B428" s="25" t="s">
        <v>82</v>
      </c>
      <c r="C428" s="69">
        <v>45108.0</v>
      </c>
      <c r="D428" s="21" t="s">
        <v>84</v>
      </c>
      <c r="E428" s="25">
        <v>11.0</v>
      </c>
      <c r="F428" s="21">
        <v>45000.0</v>
      </c>
      <c r="G428" s="21">
        <f t="shared" si="1"/>
        <v>495000</v>
      </c>
      <c r="H428" s="21" t="s">
        <v>549</v>
      </c>
      <c r="I428" s="21" t="s">
        <v>550</v>
      </c>
      <c r="J428" s="25" t="s">
        <v>71</v>
      </c>
    </row>
    <row r="429" ht="15.75" customHeight="1">
      <c r="A429" s="25" t="s">
        <v>1710</v>
      </c>
      <c r="B429" s="25" t="s">
        <v>82</v>
      </c>
      <c r="C429" s="69">
        <v>45139.0</v>
      </c>
      <c r="D429" s="21" t="s">
        <v>84</v>
      </c>
      <c r="E429" s="25">
        <v>18.0</v>
      </c>
      <c r="F429" s="21">
        <v>45000.0</v>
      </c>
      <c r="G429" s="21">
        <f t="shared" si="1"/>
        <v>810000</v>
      </c>
      <c r="H429" s="21" t="s">
        <v>549</v>
      </c>
      <c r="I429" s="21" t="s">
        <v>550</v>
      </c>
      <c r="J429" s="25" t="s">
        <v>71</v>
      </c>
    </row>
    <row r="430" ht="15.75" customHeight="1">
      <c r="A430" s="25" t="s">
        <v>1713</v>
      </c>
      <c r="B430" s="25" t="s">
        <v>82</v>
      </c>
      <c r="C430" s="69">
        <v>45170.0</v>
      </c>
      <c r="D430" s="21" t="s">
        <v>84</v>
      </c>
      <c r="E430" s="25">
        <v>7.0</v>
      </c>
      <c r="F430" s="21">
        <v>45000.0</v>
      </c>
      <c r="G430" s="21">
        <f t="shared" si="1"/>
        <v>315000</v>
      </c>
      <c r="H430" s="21" t="s">
        <v>549</v>
      </c>
      <c r="I430" s="21" t="s">
        <v>550</v>
      </c>
      <c r="J430" s="25" t="s">
        <v>71</v>
      </c>
    </row>
    <row r="431" ht="15.75" customHeight="1">
      <c r="A431" s="25" t="s">
        <v>1714</v>
      </c>
      <c r="B431" s="25" t="s">
        <v>82</v>
      </c>
      <c r="C431" s="69">
        <v>45200.0</v>
      </c>
      <c r="D431" s="21" t="s">
        <v>84</v>
      </c>
      <c r="E431" s="25">
        <v>4.0</v>
      </c>
      <c r="F431" s="21">
        <v>45000.0</v>
      </c>
      <c r="G431" s="21">
        <f t="shared" si="1"/>
        <v>180000</v>
      </c>
      <c r="H431" s="21" t="s">
        <v>549</v>
      </c>
      <c r="I431" s="21" t="s">
        <v>550</v>
      </c>
      <c r="J431" s="25" t="s">
        <v>71</v>
      </c>
    </row>
    <row r="432" ht="15.75" customHeight="1">
      <c r="A432" s="25" t="s">
        <v>1715</v>
      </c>
      <c r="B432" s="25" t="s">
        <v>82</v>
      </c>
      <c r="C432" s="69">
        <v>45231.0</v>
      </c>
      <c r="D432" s="21" t="s">
        <v>84</v>
      </c>
      <c r="E432" s="25">
        <v>19.0</v>
      </c>
      <c r="F432" s="21">
        <v>45000.0</v>
      </c>
      <c r="G432" s="21">
        <f t="shared" si="1"/>
        <v>855000</v>
      </c>
      <c r="H432" s="21" t="s">
        <v>549</v>
      </c>
      <c r="I432" s="21" t="s">
        <v>550</v>
      </c>
      <c r="J432" s="25" t="s">
        <v>71</v>
      </c>
    </row>
    <row r="433" ht="15.75" customHeight="1">
      <c r="A433" s="25" t="s">
        <v>1717</v>
      </c>
      <c r="B433" s="25" t="s">
        <v>82</v>
      </c>
      <c r="C433" s="69">
        <v>45261.0</v>
      </c>
      <c r="D433" s="21" t="s">
        <v>84</v>
      </c>
      <c r="E433" s="25">
        <v>8.0</v>
      </c>
      <c r="F433" s="21">
        <v>45000.0</v>
      </c>
      <c r="G433" s="21">
        <f t="shared" si="1"/>
        <v>360000</v>
      </c>
      <c r="H433" s="21" t="s">
        <v>549</v>
      </c>
      <c r="I433" s="21" t="s">
        <v>550</v>
      </c>
      <c r="J433" s="25" t="s">
        <v>71</v>
      </c>
    </row>
    <row r="434" ht="15.75" customHeight="1">
      <c r="A434" s="25" t="s">
        <v>1719</v>
      </c>
      <c r="B434" s="25" t="s">
        <v>97</v>
      </c>
      <c r="C434" s="69">
        <v>44927.0</v>
      </c>
      <c r="D434" s="21" t="s">
        <v>99</v>
      </c>
      <c r="E434" s="25">
        <v>0.0</v>
      </c>
      <c r="F434" s="21">
        <v>36000.0</v>
      </c>
      <c r="G434" s="21">
        <f t="shared" si="1"/>
        <v>0</v>
      </c>
      <c r="H434" s="21" t="s">
        <v>424</v>
      </c>
      <c r="I434" s="21" t="s">
        <v>550</v>
      </c>
      <c r="J434" s="25" t="s">
        <v>71</v>
      </c>
    </row>
    <row r="435" ht="15.75" customHeight="1">
      <c r="A435" s="25" t="s">
        <v>1721</v>
      </c>
      <c r="B435" s="25" t="s">
        <v>97</v>
      </c>
      <c r="C435" s="69">
        <v>44958.0</v>
      </c>
      <c r="D435" s="21" t="s">
        <v>99</v>
      </c>
      <c r="E435" s="25">
        <v>0.0</v>
      </c>
      <c r="F435" s="21">
        <v>36000.0</v>
      </c>
      <c r="G435" s="21">
        <f t="shared" si="1"/>
        <v>0</v>
      </c>
      <c r="H435" s="21" t="s">
        <v>424</v>
      </c>
      <c r="I435" s="21" t="s">
        <v>550</v>
      </c>
      <c r="J435" s="25" t="s">
        <v>71</v>
      </c>
    </row>
    <row r="436" ht="15.75" customHeight="1">
      <c r="A436" s="25" t="s">
        <v>1723</v>
      </c>
      <c r="B436" s="25" t="s">
        <v>97</v>
      </c>
      <c r="C436" s="69">
        <v>44986.0</v>
      </c>
      <c r="D436" s="21" t="s">
        <v>99</v>
      </c>
      <c r="E436" s="25">
        <v>3.0</v>
      </c>
      <c r="F436" s="21">
        <v>36000.0</v>
      </c>
      <c r="G436" s="21">
        <f t="shared" si="1"/>
        <v>108000</v>
      </c>
      <c r="H436" s="21" t="s">
        <v>424</v>
      </c>
      <c r="I436" s="21" t="s">
        <v>550</v>
      </c>
      <c r="J436" s="25" t="s">
        <v>71</v>
      </c>
    </row>
    <row r="437" ht="15.75" customHeight="1">
      <c r="A437" s="25" t="s">
        <v>1725</v>
      </c>
      <c r="B437" s="25" t="s">
        <v>97</v>
      </c>
      <c r="C437" s="69">
        <v>45017.0</v>
      </c>
      <c r="D437" s="21" t="s">
        <v>99</v>
      </c>
      <c r="E437" s="25">
        <v>0.0</v>
      </c>
      <c r="F437" s="21">
        <v>36000.0</v>
      </c>
      <c r="G437" s="21">
        <f t="shared" si="1"/>
        <v>0</v>
      </c>
      <c r="H437" s="21" t="s">
        <v>424</v>
      </c>
      <c r="I437" s="21" t="s">
        <v>550</v>
      </c>
      <c r="J437" s="25" t="s">
        <v>71</v>
      </c>
    </row>
    <row r="438" ht="15.75" customHeight="1">
      <c r="A438" s="25" t="s">
        <v>1727</v>
      </c>
      <c r="B438" s="25" t="s">
        <v>97</v>
      </c>
      <c r="C438" s="69">
        <v>45047.0</v>
      </c>
      <c r="D438" s="21" t="s">
        <v>99</v>
      </c>
      <c r="E438" s="25">
        <v>2.0</v>
      </c>
      <c r="F438" s="21">
        <v>36000.0</v>
      </c>
      <c r="G438" s="21">
        <f t="shared" si="1"/>
        <v>72000</v>
      </c>
      <c r="H438" s="21" t="s">
        <v>424</v>
      </c>
      <c r="I438" s="21" t="s">
        <v>550</v>
      </c>
      <c r="J438" s="25" t="s">
        <v>71</v>
      </c>
    </row>
    <row r="439" ht="15.75" customHeight="1">
      <c r="A439" s="25" t="s">
        <v>1728</v>
      </c>
      <c r="B439" s="25" t="s">
        <v>97</v>
      </c>
      <c r="C439" s="69">
        <v>45078.0</v>
      </c>
      <c r="D439" s="21" t="s">
        <v>99</v>
      </c>
      <c r="E439" s="25">
        <v>0.0</v>
      </c>
      <c r="F439" s="21">
        <v>36000.0</v>
      </c>
      <c r="G439" s="21">
        <f t="shared" si="1"/>
        <v>0</v>
      </c>
      <c r="H439" s="21" t="s">
        <v>424</v>
      </c>
      <c r="I439" s="21" t="s">
        <v>550</v>
      </c>
      <c r="J439" s="25" t="s">
        <v>71</v>
      </c>
    </row>
    <row r="440" ht="15.75" customHeight="1">
      <c r="A440" s="25" t="s">
        <v>1729</v>
      </c>
      <c r="B440" s="25" t="s">
        <v>97</v>
      </c>
      <c r="C440" s="69">
        <v>45108.0</v>
      </c>
      <c r="D440" s="21" t="s">
        <v>99</v>
      </c>
      <c r="E440" s="25">
        <v>1.0</v>
      </c>
      <c r="F440" s="21">
        <v>36000.0</v>
      </c>
      <c r="G440" s="21">
        <f t="shared" si="1"/>
        <v>36000</v>
      </c>
      <c r="H440" s="21" t="s">
        <v>424</v>
      </c>
      <c r="I440" s="21" t="s">
        <v>550</v>
      </c>
      <c r="J440" s="25" t="s">
        <v>71</v>
      </c>
    </row>
    <row r="441" ht="15.75" customHeight="1">
      <c r="A441" s="25" t="s">
        <v>1730</v>
      </c>
      <c r="B441" s="25" t="s">
        <v>97</v>
      </c>
      <c r="C441" s="69">
        <v>45139.0</v>
      </c>
      <c r="D441" s="21" t="s">
        <v>99</v>
      </c>
      <c r="E441" s="25">
        <v>3.0</v>
      </c>
      <c r="F441" s="21">
        <v>36000.0</v>
      </c>
      <c r="G441" s="21">
        <f t="shared" si="1"/>
        <v>108000</v>
      </c>
      <c r="H441" s="21" t="s">
        <v>424</v>
      </c>
      <c r="I441" s="21" t="s">
        <v>550</v>
      </c>
      <c r="J441" s="25" t="s">
        <v>71</v>
      </c>
    </row>
    <row r="442" ht="15.75" customHeight="1">
      <c r="A442" s="25" t="s">
        <v>1731</v>
      </c>
      <c r="B442" s="25" t="s">
        <v>97</v>
      </c>
      <c r="C442" s="69">
        <v>45170.0</v>
      </c>
      <c r="D442" s="21" t="s">
        <v>99</v>
      </c>
      <c r="E442" s="25">
        <v>0.0</v>
      </c>
      <c r="F442" s="21">
        <v>36000.0</v>
      </c>
      <c r="G442" s="21">
        <f t="shared" si="1"/>
        <v>0</v>
      </c>
      <c r="H442" s="21" t="s">
        <v>424</v>
      </c>
      <c r="I442" s="21" t="s">
        <v>550</v>
      </c>
      <c r="J442" s="25" t="s">
        <v>71</v>
      </c>
    </row>
    <row r="443" ht="15.75" customHeight="1">
      <c r="A443" s="25" t="s">
        <v>1733</v>
      </c>
      <c r="B443" s="25" t="s">
        <v>97</v>
      </c>
      <c r="C443" s="69">
        <v>45200.0</v>
      </c>
      <c r="D443" s="21" t="s">
        <v>99</v>
      </c>
      <c r="E443" s="25">
        <v>1.0</v>
      </c>
      <c r="F443" s="21">
        <v>36000.0</v>
      </c>
      <c r="G443" s="21">
        <f t="shared" si="1"/>
        <v>36000</v>
      </c>
      <c r="H443" s="21" t="s">
        <v>424</v>
      </c>
      <c r="I443" s="21" t="s">
        <v>550</v>
      </c>
      <c r="J443" s="25" t="s">
        <v>71</v>
      </c>
    </row>
    <row r="444" ht="15.75" customHeight="1">
      <c r="A444" s="25" t="s">
        <v>1738</v>
      </c>
      <c r="B444" s="25" t="s">
        <v>97</v>
      </c>
      <c r="C444" s="69">
        <v>45231.0</v>
      </c>
      <c r="D444" s="21" t="s">
        <v>99</v>
      </c>
      <c r="E444" s="25">
        <v>3.0</v>
      </c>
      <c r="F444" s="21">
        <v>36000.0</v>
      </c>
      <c r="G444" s="21">
        <f t="shared" si="1"/>
        <v>108000</v>
      </c>
      <c r="H444" s="21" t="s">
        <v>424</v>
      </c>
      <c r="I444" s="21" t="s">
        <v>550</v>
      </c>
      <c r="J444" s="25" t="s">
        <v>71</v>
      </c>
    </row>
    <row r="445" ht="15.75" customHeight="1">
      <c r="A445" s="25" t="s">
        <v>1741</v>
      </c>
      <c r="B445" s="25" t="s">
        <v>97</v>
      </c>
      <c r="C445" s="69">
        <v>45261.0</v>
      </c>
      <c r="D445" s="21" t="s">
        <v>99</v>
      </c>
      <c r="E445" s="25">
        <v>1.0</v>
      </c>
      <c r="F445" s="21">
        <v>36000.0</v>
      </c>
      <c r="G445" s="21">
        <f t="shared" si="1"/>
        <v>36000</v>
      </c>
      <c r="H445" s="21" t="s">
        <v>424</v>
      </c>
      <c r="I445" s="21" t="s">
        <v>550</v>
      </c>
      <c r="J445" s="25" t="s">
        <v>71</v>
      </c>
    </row>
    <row r="446" ht="15.75" customHeight="1">
      <c r="A446" s="25" t="s">
        <v>1743</v>
      </c>
      <c r="B446" s="25" t="s">
        <v>110</v>
      </c>
      <c r="C446" s="69">
        <v>44927.0</v>
      </c>
      <c r="D446" s="21" t="s">
        <v>112</v>
      </c>
      <c r="E446" s="25">
        <v>1.0</v>
      </c>
      <c r="F446" s="21">
        <v>30000.0</v>
      </c>
      <c r="G446" s="21">
        <f t="shared" si="1"/>
        <v>30000</v>
      </c>
      <c r="H446" s="21" t="s">
        <v>758</v>
      </c>
      <c r="I446" s="21" t="s">
        <v>550</v>
      </c>
      <c r="J446" s="25" t="s">
        <v>71</v>
      </c>
    </row>
    <row r="447" ht="15.75" customHeight="1">
      <c r="A447" s="25" t="s">
        <v>1746</v>
      </c>
      <c r="B447" s="25" t="s">
        <v>110</v>
      </c>
      <c r="C447" s="69">
        <v>44958.0</v>
      </c>
      <c r="D447" s="21" t="s">
        <v>112</v>
      </c>
      <c r="E447" s="25">
        <v>0.0</v>
      </c>
      <c r="F447" s="21">
        <v>30000.0</v>
      </c>
      <c r="G447" s="21">
        <f t="shared" si="1"/>
        <v>0</v>
      </c>
      <c r="H447" s="21" t="s">
        <v>758</v>
      </c>
      <c r="I447" s="21" t="s">
        <v>550</v>
      </c>
      <c r="J447" s="25" t="s">
        <v>71</v>
      </c>
    </row>
    <row r="448" ht="15.75" customHeight="1">
      <c r="A448" s="25" t="s">
        <v>1748</v>
      </c>
      <c r="B448" s="25" t="s">
        <v>110</v>
      </c>
      <c r="C448" s="69">
        <v>44986.0</v>
      </c>
      <c r="D448" s="21" t="s">
        <v>112</v>
      </c>
      <c r="E448" s="25">
        <v>0.0</v>
      </c>
      <c r="F448" s="21">
        <v>30000.0</v>
      </c>
      <c r="G448" s="21">
        <f t="shared" si="1"/>
        <v>0</v>
      </c>
      <c r="H448" s="21" t="s">
        <v>758</v>
      </c>
      <c r="I448" s="21" t="s">
        <v>550</v>
      </c>
      <c r="J448" s="25" t="s">
        <v>71</v>
      </c>
    </row>
    <row r="449" ht="15.75" customHeight="1">
      <c r="A449" s="25" t="s">
        <v>1750</v>
      </c>
      <c r="B449" s="25" t="s">
        <v>110</v>
      </c>
      <c r="C449" s="69">
        <v>45017.0</v>
      </c>
      <c r="D449" s="21" t="s">
        <v>112</v>
      </c>
      <c r="E449" s="25">
        <v>3.0</v>
      </c>
      <c r="F449" s="21">
        <v>30000.0</v>
      </c>
      <c r="G449" s="21">
        <f t="shared" si="1"/>
        <v>90000</v>
      </c>
      <c r="H449" s="21" t="s">
        <v>758</v>
      </c>
      <c r="I449" s="21" t="s">
        <v>550</v>
      </c>
      <c r="J449" s="25" t="s">
        <v>71</v>
      </c>
    </row>
    <row r="450" ht="15.75" customHeight="1">
      <c r="A450" s="25" t="s">
        <v>1752</v>
      </c>
      <c r="B450" s="25" t="s">
        <v>110</v>
      </c>
      <c r="C450" s="69">
        <v>45047.0</v>
      </c>
      <c r="D450" s="21" t="s">
        <v>112</v>
      </c>
      <c r="E450" s="25">
        <v>1.0</v>
      </c>
      <c r="F450" s="21">
        <v>30000.0</v>
      </c>
      <c r="G450" s="21">
        <f t="shared" si="1"/>
        <v>30000</v>
      </c>
      <c r="H450" s="21" t="s">
        <v>758</v>
      </c>
      <c r="I450" s="21" t="s">
        <v>550</v>
      </c>
      <c r="J450" s="25" t="s">
        <v>71</v>
      </c>
    </row>
    <row r="451" ht="15.75" customHeight="1">
      <c r="A451" s="25" t="s">
        <v>1755</v>
      </c>
      <c r="B451" s="25" t="s">
        <v>110</v>
      </c>
      <c r="C451" s="69">
        <v>45078.0</v>
      </c>
      <c r="D451" s="21" t="s">
        <v>112</v>
      </c>
      <c r="E451" s="25">
        <v>4.0</v>
      </c>
      <c r="F451" s="21">
        <v>30000.0</v>
      </c>
      <c r="G451" s="21">
        <f t="shared" si="1"/>
        <v>120000</v>
      </c>
      <c r="H451" s="21" t="s">
        <v>758</v>
      </c>
      <c r="I451" s="21" t="s">
        <v>550</v>
      </c>
      <c r="J451" s="25" t="s">
        <v>71</v>
      </c>
    </row>
    <row r="452" ht="15.75" customHeight="1">
      <c r="A452" s="25" t="s">
        <v>1757</v>
      </c>
      <c r="B452" s="25" t="s">
        <v>110</v>
      </c>
      <c r="C452" s="69">
        <v>45108.0</v>
      </c>
      <c r="D452" s="21" t="s">
        <v>112</v>
      </c>
      <c r="E452" s="25">
        <v>4.0</v>
      </c>
      <c r="F452" s="21">
        <v>30000.0</v>
      </c>
      <c r="G452" s="21">
        <f t="shared" si="1"/>
        <v>120000</v>
      </c>
      <c r="H452" s="21" t="s">
        <v>758</v>
      </c>
      <c r="I452" s="21" t="s">
        <v>550</v>
      </c>
      <c r="J452" s="25" t="s">
        <v>71</v>
      </c>
    </row>
    <row r="453" ht="15.75" customHeight="1">
      <c r="A453" s="25" t="s">
        <v>1760</v>
      </c>
      <c r="B453" s="25" t="s">
        <v>110</v>
      </c>
      <c r="C453" s="69">
        <v>45139.0</v>
      </c>
      <c r="D453" s="21" t="s">
        <v>112</v>
      </c>
      <c r="E453" s="25">
        <v>3.0</v>
      </c>
      <c r="F453" s="21">
        <v>30000.0</v>
      </c>
      <c r="G453" s="21">
        <f t="shared" si="1"/>
        <v>90000</v>
      </c>
      <c r="H453" s="21" t="s">
        <v>758</v>
      </c>
      <c r="I453" s="21" t="s">
        <v>550</v>
      </c>
      <c r="J453" s="25" t="s">
        <v>71</v>
      </c>
    </row>
    <row r="454" ht="15.75" customHeight="1">
      <c r="A454" s="25" t="s">
        <v>1762</v>
      </c>
      <c r="B454" s="25" t="s">
        <v>110</v>
      </c>
      <c r="C454" s="69">
        <v>45170.0</v>
      </c>
      <c r="D454" s="21" t="s">
        <v>112</v>
      </c>
      <c r="E454" s="25">
        <v>0.0</v>
      </c>
      <c r="F454" s="21">
        <v>30000.0</v>
      </c>
      <c r="G454" s="21">
        <f t="shared" si="1"/>
        <v>0</v>
      </c>
      <c r="H454" s="21" t="s">
        <v>758</v>
      </c>
      <c r="I454" s="21" t="s">
        <v>550</v>
      </c>
      <c r="J454" s="25" t="s">
        <v>71</v>
      </c>
    </row>
    <row r="455" ht="15.75" customHeight="1">
      <c r="A455" s="25" t="s">
        <v>1765</v>
      </c>
      <c r="B455" s="25" t="s">
        <v>110</v>
      </c>
      <c r="C455" s="69">
        <v>45200.0</v>
      </c>
      <c r="D455" s="21" t="s">
        <v>112</v>
      </c>
      <c r="E455" s="25">
        <v>3.0</v>
      </c>
      <c r="F455" s="21">
        <v>30000.0</v>
      </c>
      <c r="G455" s="21">
        <f t="shared" si="1"/>
        <v>90000</v>
      </c>
      <c r="H455" s="21" t="s">
        <v>758</v>
      </c>
      <c r="I455" s="21" t="s">
        <v>550</v>
      </c>
      <c r="J455" s="25" t="s">
        <v>71</v>
      </c>
    </row>
    <row r="456" ht="15.75" customHeight="1">
      <c r="A456" s="25" t="s">
        <v>1766</v>
      </c>
      <c r="B456" s="25" t="s">
        <v>110</v>
      </c>
      <c r="C456" s="69">
        <v>45231.0</v>
      </c>
      <c r="D456" s="21" t="s">
        <v>112</v>
      </c>
      <c r="E456" s="25">
        <v>2.0</v>
      </c>
      <c r="F456" s="21">
        <v>30000.0</v>
      </c>
      <c r="G456" s="21">
        <f t="shared" si="1"/>
        <v>60000</v>
      </c>
      <c r="H456" s="21" t="s">
        <v>758</v>
      </c>
      <c r="I456" s="21" t="s">
        <v>550</v>
      </c>
      <c r="J456" s="25" t="s">
        <v>71</v>
      </c>
    </row>
    <row r="457" ht="15.75" customHeight="1">
      <c r="A457" s="25" t="s">
        <v>1768</v>
      </c>
      <c r="B457" s="25" t="s">
        <v>110</v>
      </c>
      <c r="C457" s="69">
        <v>45261.0</v>
      </c>
      <c r="D457" s="21" t="s">
        <v>112</v>
      </c>
      <c r="E457" s="25">
        <v>1.0</v>
      </c>
      <c r="F457" s="21">
        <v>30000.0</v>
      </c>
      <c r="G457" s="21">
        <f t="shared" si="1"/>
        <v>30000</v>
      </c>
      <c r="H457" s="21" t="s">
        <v>758</v>
      </c>
      <c r="I457" s="21" t="s">
        <v>550</v>
      </c>
      <c r="J457" s="25" t="s">
        <v>71</v>
      </c>
    </row>
    <row r="458" ht="15.75" customHeight="1">
      <c r="A458" s="25" t="s">
        <v>1771</v>
      </c>
      <c r="B458" s="25" t="s">
        <v>124</v>
      </c>
      <c r="C458" s="69">
        <v>44927.0</v>
      </c>
      <c r="D458" s="21" t="s">
        <v>125</v>
      </c>
      <c r="E458" s="25">
        <v>1.0</v>
      </c>
      <c r="F458" s="21">
        <v>49500.0</v>
      </c>
      <c r="G458" s="21">
        <f t="shared" si="1"/>
        <v>49500</v>
      </c>
      <c r="H458" s="21" t="s">
        <v>549</v>
      </c>
      <c r="I458" s="21" t="s">
        <v>550</v>
      </c>
      <c r="J458" s="25" t="s">
        <v>71</v>
      </c>
    </row>
    <row r="459" ht="15.75" customHeight="1">
      <c r="A459" s="25" t="s">
        <v>1773</v>
      </c>
      <c r="B459" s="25" t="s">
        <v>124</v>
      </c>
      <c r="C459" s="69">
        <v>44958.0</v>
      </c>
      <c r="D459" s="21" t="s">
        <v>125</v>
      </c>
      <c r="E459" s="25">
        <v>2.0</v>
      </c>
      <c r="F459" s="21">
        <v>49500.0</v>
      </c>
      <c r="G459" s="21">
        <f t="shared" si="1"/>
        <v>99000</v>
      </c>
      <c r="H459" s="21" t="s">
        <v>549</v>
      </c>
      <c r="I459" s="21" t="s">
        <v>550</v>
      </c>
      <c r="J459" s="25" t="s">
        <v>71</v>
      </c>
    </row>
    <row r="460" ht="15.75" customHeight="1">
      <c r="A460" s="25" t="s">
        <v>1775</v>
      </c>
      <c r="B460" s="25" t="s">
        <v>124</v>
      </c>
      <c r="C460" s="69">
        <v>44986.0</v>
      </c>
      <c r="D460" s="21" t="s">
        <v>125</v>
      </c>
      <c r="E460" s="25">
        <v>1.0</v>
      </c>
      <c r="F460" s="21">
        <v>49500.0</v>
      </c>
      <c r="G460" s="21">
        <f t="shared" si="1"/>
        <v>49500</v>
      </c>
      <c r="H460" s="21" t="s">
        <v>549</v>
      </c>
      <c r="I460" s="21" t="s">
        <v>550</v>
      </c>
      <c r="J460" s="25" t="s">
        <v>71</v>
      </c>
    </row>
    <row r="461" ht="15.75" customHeight="1">
      <c r="A461" s="25" t="s">
        <v>1777</v>
      </c>
      <c r="B461" s="25" t="s">
        <v>124</v>
      </c>
      <c r="C461" s="69">
        <v>45017.0</v>
      </c>
      <c r="D461" s="21" t="s">
        <v>125</v>
      </c>
      <c r="E461" s="25">
        <v>2.0</v>
      </c>
      <c r="F461" s="21">
        <v>49500.0</v>
      </c>
      <c r="G461" s="21">
        <f t="shared" si="1"/>
        <v>99000</v>
      </c>
      <c r="H461" s="21" t="s">
        <v>549</v>
      </c>
      <c r="I461" s="21" t="s">
        <v>550</v>
      </c>
      <c r="J461" s="25" t="s">
        <v>71</v>
      </c>
    </row>
    <row r="462" ht="15.75" customHeight="1">
      <c r="A462" s="25" t="s">
        <v>1779</v>
      </c>
      <c r="B462" s="25" t="s">
        <v>124</v>
      </c>
      <c r="C462" s="69">
        <v>45047.0</v>
      </c>
      <c r="D462" s="21" t="s">
        <v>125</v>
      </c>
      <c r="E462" s="25">
        <v>1.0</v>
      </c>
      <c r="F462" s="21">
        <v>49500.0</v>
      </c>
      <c r="G462" s="21">
        <f t="shared" si="1"/>
        <v>49500</v>
      </c>
      <c r="H462" s="21" t="s">
        <v>549</v>
      </c>
      <c r="I462" s="21" t="s">
        <v>550</v>
      </c>
      <c r="J462" s="25" t="s">
        <v>71</v>
      </c>
    </row>
    <row r="463" ht="15.75" customHeight="1">
      <c r="A463" s="25" t="s">
        <v>1782</v>
      </c>
      <c r="B463" s="25" t="s">
        <v>124</v>
      </c>
      <c r="C463" s="69">
        <v>45078.0</v>
      </c>
      <c r="D463" s="21" t="s">
        <v>125</v>
      </c>
      <c r="E463" s="25">
        <v>0.0</v>
      </c>
      <c r="F463" s="21">
        <v>49500.0</v>
      </c>
      <c r="G463" s="21">
        <f t="shared" si="1"/>
        <v>0</v>
      </c>
      <c r="H463" s="21" t="s">
        <v>549</v>
      </c>
      <c r="I463" s="21" t="s">
        <v>550</v>
      </c>
      <c r="J463" s="25" t="s">
        <v>71</v>
      </c>
    </row>
    <row r="464" ht="15.75" customHeight="1">
      <c r="A464" s="25" t="s">
        <v>1784</v>
      </c>
      <c r="B464" s="25" t="s">
        <v>124</v>
      </c>
      <c r="C464" s="69">
        <v>45108.0</v>
      </c>
      <c r="D464" s="21" t="s">
        <v>125</v>
      </c>
      <c r="E464" s="25">
        <v>1.0</v>
      </c>
      <c r="F464" s="21">
        <v>49500.0</v>
      </c>
      <c r="G464" s="21">
        <f t="shared" si="1"/>
        <v>49500</v>
      </c>
      <c r="H464" s="21" t="s">
        <v>549</v>
      </c>
      <c r="I464" s="21" t="s">
        <v>550</v>
      </c>
      <c r="J464" s="25" t="s">
        <v>71</v>
      </c>
    </row>
    <row r="465" ht="15.75" customHeight="1">
      <c r="A465" s="25" t="s">
        <v>1786</v>
      </c>
      <c r="B465" s="25" t="s">
        <v>124</v>
      </c>
      <c r="C465" s="69">
        <v>45139.0</v>
      </c>
      <c r="D465" s="21" t="s">
        <v>125</v>
      </c>
      <c r="E465" s="25">
        <v>1.0</v>
      </c>
      <c r="F465" s="21">
        <v>49500.0</v>
      </c>
      <c r="G465" s="21">
        <f t="shared" si="1"/>
        <v>49500</v>
      </c>
      <c r="H465" s="21" t="s">
        <v>549</v>
      </c>
      <c r="I465" s="21" t="s">
        <v>550</v>
      </c>
      <c r="J465" s="25" t="s">
        <v>71</v>
      </c>
    </row>
    <row r="466" ht="15.75" customHeight="1">
      <c r="A466" s="25" t="s">
        <v>1789</v>
      </c>
      <c r="B466" s="25" t="s">
        <v>124</v>
      </c>
      <c r="C466" s="69">
        <v>45170.0</v>
      </c>
      <c r="D466" s="21" t="s">
        <v>125</v>
      </c>
      <c r="E466" s="25">
        <v>0.0</v>
      </c>
      <c r="F466" s="21">
        <v>49500.0</v>
      </c>
      <c r="G466" s="21">
        <f t="shared" si="1"/>
        <v>0</v>
      </c>
      <c r="H466" s="21" t="s">
        <v>549</v>
      </c>
      <c r="I466" s="21" t="s">
        <v>550</v>
      </c>
      <c r="J466" s="25" t="s">
        <v>71</v>
      </c>
    </row>
    <row r="467" ht="15.75" customHeight="1">
      <c r="A467" s="25" t="s">
        <v>1791</v>
      </c>
      <c r="B467" s="25" t="s">
        <v>124</v>
      </c>
      <c r="C467" s="69">
        <v>45200.0</v>
      </c>
      <c r="D467" s="21" t="s">
        <v>125</v>
      </c>
      <c r="E467" s="25">
        <v>5.0</v>
      </c>
      <c r="F467" s="21">
        <v>49500.0</v>
      </c>
      <c r="G467" s="21">
        <f t="shared" si="1"/>
        <v>247500</v>
      </c>
      <c r="H467" s="21" t="s">
        <v>549</v>
      </c>
      <c r="I467" s="21" t="s">
        <v>550</v>
      </c>
      <c r="J467" s="25" t="s">
        <v>71</v>
      </c>
    </row>
    <row r="468" ht="15.75" customHeight="1">
      <c r="A468" s="25" t="s">
        <v>1793</v>
      </c>
      <c r="B468" s="25" t="s">
        <v>124</v>
      </c>
      <c r="C468" s="69">
        <v>45231.0</v>
      </c>
      <c r="D468" s="21" t="s">
        <v>125</v>
      </c>
      <c r="E468" s="25">
        <v>1.0</v>
      </c>
      <c r="F468" s="21">
        <v>49500.0</v>
      </c>
      <c r="G468" s="21">
        <f t="shared" si="1"/>
        <v>49500</v>
      </c>
      <c r="H468" s="21" t="s">
        <v>549</v>
      </c>
      <c r="I468" s="21" t="s">
        <v>550</v>
      </c>
      <c r="J468" s="25" t="s">
        <v>71</v>
      </c>
    </row>
    <row r="469" ht="15.75" customHeight="1">
      <c r="A469" s="25" t="s">
        <v>1799</v>
      </c>
      <c r="B469" s="25" t="s">
        <v>124</v>
      </c>
      <c r="C469" s="69">
        <v>45261.0</v>
      </c>
      <c r="D469" s="21" t="s">
        <v>125</v>
      </c>
      <c r="E469" s="25">
        <v>2.0</v>
      </c>
      <c r="F469" s="21">
        <v>49500.0</v>
      </c>
      <c r="G469" s="21">
        <f t="shared" si="1"/>
        <v>99000</v>
      </c>
      <c r="H469" s="21" t="s">
        <v>549</v>
      </c>
      <c r="I469" s="21" t="s">
        <v>550</v>
      </c>
      <c r="J469" s="25" t="s">
        <v>71</v>
      </c>
    </row>
    <row r="470" ht="15.75" customHeight="1">
      <c r="A470" s="25" t="s">
        <v>1801</v>
      </c>
      <c r="B470" s="25" t="s">
        <v>139</v>
      </c>
      <c r="C470" s="69">
        <v>44927.0</v>
      </c>
      <c r="D470" s="21" t="s">
        <v>140</v>
      </c>
      <c r="E470" s="25">
        <v>1.0</v>
      </c>
      <c r="F470" s="21">
        <v>30000.0</v>
      </c>
      <c r="G470" s="21">
        <f t="shared" si="1"/>
        <v>30000</v>
      </c>
      <c r="H470" s="21" t="s">
        <v>758</v>
      </c>
      <c r="I470" s="21" t="s">
        <v>550</v>
      </c>
      <c r="J470" s="25" t="s">
        <v>71</v>
      </c>
    </row>
    <row r="471" ht="15.75" customHeight="1">
      <c r="A471" s="25" t="s">
        <v>1804</v>
      </c>
      <c r="B471" s="25" t="s">
        <v>139</v>
      </c>
      <c r="C471" s="69">
        <v>44958.0</v>
      </c>
      <c r="D471" s="21" t="s">
        <v>140</v>
      </c>
      <c r="E471" s="25">
        <v>0.0</v>
      </c>
      <c r="F471" s="21">
        <v>30000.0</v>
      </c>
      <c r="G471" s="21">
        <f t="shared" si="1"/>
        <v>0</v>
      </c>
      <c r="H471" s="21" t="s">
        <v>758</v>
      </c>
      <c r="I471" s="21" t="s">
        <v>550</v>
      </c>
      <c r="J471" s="25" t="s">
        <v>71</v>
      </c>
    </row>
    <row r="472" ht="15.75" customHeight="1">
      <c r="A472" s="25" t="s">
        <v>1806</v>
      </c>
      <c r="B472" s="25" t="s">
        <v>139</v>
      </c>
      <c r="C472" s="69">
        <v>44986.0</v>
      </c>
      <c r="D472" s="21" t="s">
        <v>140</v>
      </c>
      <c r="E472" s="25">
        <v>1.0</v>
      </c>
      <c r="F472" s="21">
        <v>30000.0</v>
      </c>
      <c r="G472" s="21">
        <f t="shared" si="1"/>
        <v>30000</v>
      </c>
      <c r="H472" s="21" t="s">
        <v>758</v>
      </c>
      <c r="I472" s="21" t="s">
        <v>550</v>
      </c>
      <c r="J472" s="25" t="s">
        <v>71</v>
      </c>
    </row>
    <row r="473" ht="15.75" customHeight="1">
      <c r="A473" s="25" t="s">
        <v>1808</v>
      </c>
      <c r="B473" s="25" t="s">
        <v>139</v>
      </c>
      <c r="C473" s="69">
        <v>45017.0</v>
      </c>
      <c r="D473" s="21" t="s">
        <v>140</v>
      </c>
      <c r="E473" s="25">
        <v>1.0</v>
      </c>
      <c r="F473" s="21">
        <v>30000.0</v>
      </c>
      <c r="G473" s="21">
        <f t="shared" si="1"/>
        <v>30000</v>
      </c>
      <c r="H473" s="21" t="s">
        <v>758</v>
      </c>
      <c r="I473" s="21" t="s">
        <v>550</v>
      </c>
      <c r="J473" s="25" t="s">
        <v>71</v>
      </c>
    </row>
    <row r="474" ht="15.75" customHeight="1">
      <c r="A474" s="25" t="s">
        <v>1811</v>
      </c>
      <c r="B474" s="25" t="s">
        <v>139</v>
      </c>
      <c r="C474" s="69">
        <v>45047.0</v>
      </c>
      <c r="D474" s="21" t="s">
        <v>140</v>
      </c>
      <c r="E474" s="25">
        <v>0.0</v>
      </c>
      <c r="F474" s="21">
        <v>30000.0</v>
      </c>
      <c r="G474" s="21">
        <f t="shared" si="1"/>
        <v>0</v>
      </c>
      <c r="H474" s="21" t="s">
        <v>758</v>
      </c>
      <c r="I474" s="21" t="s">
        <v>550</v>
      </c>
      <c r="J474" s="25" t="s">
        <v>71</v>
      </c>
    </row>
    <row r="475" ht="15.75" customHeight="1">
      <c r="A475" s="25" t="s">
        <v>1813</v>
      </c>
      <c r="B475" s="25" t="s">
        <v>139</v>
      </c>
      <c r="C475" s="69">
        <v>45078.0</v>
      </c>
      <c r="D475" s="21" t="s">
        <v>140</v>
      </c>
      <c r="E475" s="25">
        <v>0.0</v>
      </c>
      <c r="F475" s="21">
        <v>30000.0</v>
      </c>
      <c r="G475" s="21">
        <f t="shared" si="1"/>
        <v>0</v>
      </c>
      <c r="H475" s="21" t="s">
        <v>758</v>
      </c>
      <c r="I475" s="21" t="s">
        <v>550</v>
      </c>
      <c r="J475" s="25" t="s">
        <v>71</v>
      </c>
    </row>
    <row r="476" ht="15.75" customHeight="1">
      <c r="A476" s="25" t="s">
        <v>1815</v>
      </c>
      <c r="B476" s="25" t="s">
        <v>139</v>
      </c>
      <c r="C476" s="69">
        <v>45108.0</v>
      </c>
      <c r="D476" s="21" t="s">
        <v>140</v>
      </c>
      <c r="E476" s="25">
        <v>0.0</v>
      </c>
      <c r="F476" s="21">
        <v>30000.0</v>
      </c>
      <c r="G476" s="21">
        <f t="shared" si="1"/>
        <v>0</v>
      </c>
      <c r="H476" s="21" t="s">
        <v>758</v>
      </c>
      <c r="I476" s="21" t="s">
        <v>550</v>
      </c>
      <c r="J476" s="25" t="s">
        <v>71</v>
      </c>
    </row>
    <row r="477" ht="15.75" customHeight="1">
      <c r="A477" s="25" t="s">
        <v>1817</v>
      </c>
      <c r="B477" s="25" t="s">
        <v>139</v>
      </c>
      <c r="C477" s="69">
        <v>45139.0</v>
      </c>
      <c r="D477" s="21" t="s">
        <v>140</v>
      </c>
      <c r="E477" s="25">
        <v>0.0</v>
      </c>
      <c r="F477" s="21">
        <v>30000.0</v>
      </c>
      <c r="G477" s="21">
        <f t="shared" si="1"/>
        <v>0</v>
      </c>
      <c r="H477" s="21" t="s">
        <v>758</v>
      </c>
      <c r="I477" s="21" t="s">
        <v>550</v>
      </c>
      <c r="J477" s="25" t="s">
        <v>71</v>
      </c>
    </row>
    <row r="478" ht="15.75" customHeight="1">
      <c r="A478" s="25" t="s">
        <v>1819</v>
      </c>
      <c r="B478" s="25" t="s">
        <v>139</v>
      </c>
      <c r="C478" s="69">
        <v>45170.0</v>
      </c>
      <c r="D478" s="21" t="s">
        <v>140</v>
      </c>
      <c r="E478" s="25">
        <v>0.0</v>
      </c>
      <c r="F478" s="21">
        <v>30000.0</v>
      </c>
      <c r="G478" s="21">
        <f t="shared" si="1"/>
        <v>0</v>
      </c>
      <c r="H478" s="21" t="s">
        <v>758</v>
      </c>
      <c r="I478" s="21" t="s">
        <v>550</v>
      </c>
      <c r="J478" s="25" t="s">
        <v>71</v>
      </c>
    </row>
    <row r="479" ht="15.75" customHeight="1">
      <c r="A479" s="25" t="s">
        <v>1821</v>
      </c>
      <c r="B479" s="25" t="s">
        <v>139</v>
      </c>
      <c r="C479" s="69">
        <v>45200.0</v>
      </c>
      <c r="D479" s="21" t="s">
        <v>140</v>
      </c>
      <c r="E479" s="25">
        <v>1.0</v>
      </c>
      <c r="F479" s="21">
        <v>30000.0</v>
      </c>
      <c r="G479" s="21">
        <f t="shared" si="1"/>
        <v>30000</v>
      </c>
      <c r="H479" s="21" t="s">
        <v>758</v>
      </c>
      <c r="I479" s="21" t="s">
        <v>550</v>
      </c>
      <c r="J479" s="25" t="s">
        <v>71</v>
      </c>
    </row>
    <row r="480" ht="15.75" customHeight="1">
      <c r="A480" s="25" t="s">
        <v>1824</v>
      </c>
      <c r="B480" s="25" t="s">
        <v>139</v>
      </c>
      <c r="C480" s="69">
        <v>45231.0</v>
      </c>
      <c r="D480" s="21" t="s">
        <v>140</v>
      </c>
      <c r="E480" s="25">
        <v>0.0</v>
      </c>
      <c r="F480" s="21">
        <v>30000.0</v>
      </c>
      <c r="G480" s="21">
        <f t="shared" si="1"/>
        <v>0</v>
      </c>
      <c r="H480" s="21" t="s">
        <v>758</v>
      </c>
      <c r="I480" s="21" t="s">
        <v>550</v>
      </c>
      <c r="J480" s="25" t="s">
        <v>71</v>
      </c>
    </row>
    <row r="481" ht="15.75" customHeight="1">
      <c r="A481" s="25" t="s">
        <v>1826</v>
      </c>
      <c r="B481" s="25" t="s">
        <v>139</v>
      </c>
      <c r="C481" s="69">
        <v>45261.0</v>
      </c>
      <c r="D481" s="21" t="s">
        <v>140</v>
      </c>
      <c r="E481" s="25">
        <v>1.0</v>
      </c>
      <c r="F481" s="21">
        <v>30000.0</v>
      </c>
      <c r="G481" s="21">
        <f t="shared" si="1"/>
        <v>30000</v>
      </c>
      <c r="H481" s="21" t="s">
        <v>758</v>
      </c>
      <c r="I481" s="21" t="s">
        <v>550</v>
      </c>
      <c r="J481" s="25" t="s">
        <v>71</v>
      </c>
    </row>
    <row r="482" ht="15.75" customHeight="1">
      <c r="A482" s="25" t="s">
        <v>1828</v>
      </c>
      <c r="B482" s="25" t="s">
        <v>150</v>
      </c>
      <c r="C482" s="69">
        <v>44927.0</v>
      </c>
      <c r="D482" s="21" t="s">
        <v>151</v>
      </c>
      <c r="E482" s="25">
        <v>1.0</v>
      </c>
      <c r="F482" s="21">
        <v>30000.0</v>
      </c>
      <c r="G482" s="21">
        <f t="shared" si="1"/>
        <v>30000</v>
      </c>
      <c r="H482" s="21" t="s">
        <v>758</v>
      </c>
      <c r="I482" s="21" t="s">
        <v>550</v>
      </c>
      <c r="J482" s="25" t="s">
        <v>71</v>
      </c>
    </row>
    <row r="483" ht="15.75" customHeight="1">
      <c r="A483" s="25" t="s">
        <v>1831</v>
      </c>
      <c r="B483" s="25" t="s">
        <v>150</v>
      </c>
      <c r="C483" s="69">
        <v>44958.0</v>
      </c>
      <c r="D483" s="21" t="s">
        <v>151</v>
      </c>
      <c r="E483" s="25">
        <v>1.0</v>
      </c>
      <c r="F483" s="21">
        <v>30000.0</v>
      </c>
      <c r="G483" s="21">
        <f t="shared" si="1"/>
        <v>30000</v>
      </c>
      <c r="H483" s="21" t="s">
        <v>758</v>
      </c>
      <c r="I483" s="21" t="s">
        <v>550</v>
      </c>
      <c r="J483" s="25" t="s">
        <v>71</v>
      </c>
    </row>
    <row r="484" ht="15.75" customHeight="1">
      <c r="A484" s="25" t="s">
        <v>1833</v>
      </c>
      <c r="B484" s="25" t="s">
        <v>150</v>
      </c>
      <c r="C484" s="69">
        <v>44986.0</v>
      </c>
      <c r="D484" s="21" t="s">
        <v>151</v>
      </c>
      <c r="E484" s="25">
        <v>0.0</v>
      </c>
      <c r="F484" s="21">
        <v>30000.0</v>
      </c>
      <c r="G484" s="21">
        <f t="shared" si="1"/>
        <v>0</v>
      </c>
      <c r="H484" s="21" t="s">
        <v>758</v>
      </c>
      <c r="I484" s="21" t="s">
        <v>550</v>
      </c>
      <c r="J484" s="25" t="s">
        <v>71</v>
      </c>
    </row>
    <row r="485" ht="15.75" customHeight="1">
      <c r="A485" s="25" t="s">
        <v>1834</v>
      </c>
      <c r="B485" s="25" t="s">
        <v>150</v>
      </c>
      <c r="C485" s="69">
        <v>45017.0</v>
      </c>
      <c r="D485" s="21" t="s">
        <v>151</v>
      </c>
      <c r="E485" s="25">
        <v>0.0</v>
      </c>
      <c r="F485" s="21">
        <v>30000.0</v>
      </c>
      <c r="G485" s="21">
        <f t="shared" si="1"/>
        <v>0</v>
      </c>
      <c r="H485" s="21" t="s">
        <v>758</v>
      </c>
      <c r="I485" s="21" t="s">
        <v>550</v>
      </c>
      <c r="J485" s="25" t="s">
        <v>71</v>
      </c>
    </row>
    <row r="486" ht="15.75" customHeight="1">
      <c r="A486" s="25" t="s">
        <v>1835</v>
      </c>
      <c r="B486" s="25" t="s">
        <v>150</v>
      </c>
      <c r="C486" s="69">
        <v>45047.0</v>
      </c>
      <c r="D486" s="21" t="s">
        <v>151</v>
      </c>
      <c r="E486" s="25">
        <v>0.0</v>
      </c>
      <c r="F486" s="21">
        <v>30000.0</v>
      </c>
      <c r="G486" s="21">
        <f t="shared" si="1"/>
        <v>0</v>
      </c>
      <c r="H486" s="21" t="s">
        <v>758</v>
      </c>
      <c r="I486" s="21" t="s">
        <v>550</v>
      </c>
      <c r="J486" s="25" t="s">
        <v>71</v>
      </c>
    </row>
    <row r="487" ht="15.75" customHeight="1">
      <c r="A487" s="25" t="s">
        <v>1836</v>
      </c>
      <c r="B487" s="25" t="s">
        <v>150</v>
      </c>
      <c r="C487" s="69">
        <v>45078.0</v>
      </c>
      <c r="D487" s="21" t="s">
        <v>151</v>
      </c>
      <c r="E487" s="25">
        <v>0.0</v>
      </c>
      <c r="F487" s="21">
        <v>30000.0</v>
      </c>
      <c r="G487" s="21">
        <f t="shared" si="1"/>
        <v>0</v>
      </c>
      <c r="H487" s="21" t="s">
        <v>758</v>
      </c>
      <c r="I487" s="21" t="s">
        <v>550</v>
      </c>
      <c r="J487" s="25" t="s">
        <v>71</v>
      </c>
    </row>
    <row r="488" ht="15.75" customHeight="1">
      <c r="A488" s="25" t="s">
        <v>1837</v>
      </c>
      <c r="B488" s="25" t="s">
        <v>150</v>
      </c>
      <c r="C488" s="69">
        <v>45108.0</v>
      </c>
      <c r="D488" s="21" t="s">
        <v>151</v>
      </c>
      <c r="E488" s="25">
        <v>1.0</v>
      </c>
      <c r="F488" s="21">
        <v>30000.0</v>
      </c>
      <c r="G488" s="21">
        <f t="shared" si="1"/>
        <v>30000</v>
      </c>
      <c r="H488" s="21" t="s">
        <v>758</v>
      </c>
      <c r="I488" s="21" t="s">
        <v>550</v>
      </c>
      <c r="J488" s="25" t="s">
        <v>71</v>
      </c>
    </row>
    <row r="489" ht="15.75" customHeight="1">
      <c r="A489" s="25" t="s">
        <v>1838</v>
      </c>
      <c r="B489" s="25" t="s">
        <v>150</v>
      </c>
      <c r="C489" s="69">
        <v>45139.0</v>
      </c>
      <c r="D489" s="21" t="s">
        <v>151</v>
      </c>
      <c r="E489" s="25">
        <v>0.0</v>
      </c>
      <c r="F489" s="21">
        <v>30000.0</v>
      </c>
      <c r="G489" s="21">
        <f t="shared" si="1"/>
        <v>0</v>
      </c>
      <c r="H489" s="21" t="s">
        <v>758</v>
      </c>
      <c r="I489" s="21" t="s">
        <v>550</v>
      </c>
      <c r="J489" s="25" t="s">
        <v>71</v>
      </c>
    </row>
    <row r="490" ht="15.75" customHeight="1">
      <c r="A490" s="25" t="s">
        <v>1839</v>
      </c>
      <c r="B490" s="25" t="s">
        <v>150</v>
      </c>
      <c r="C490" s="69">
        <v>45170.0</v>
      </c>
      <c r="D490" s="21" t="s">
        <v>151</v>
      </c>
      <c r="E490" s="25">
        <v>1.0</v>
      </c>
      <c r="F490" s="21">
        <v>30000.0</v>
      </c>
      <c r="G490" s="21">
        <f t="shared" si="1"/>
        <v>30000</v>
      </c>
      <c r="H490" s="21" t="s">
        <v>758</v>
      </c>
      <c r="I490" s="21" t="s">
        <v>550</v>
      </c>
      <c r="J490" s="25" t="s">
        <v>71</v>
      </c>
    </row>
    <row r="491" ht="15.75" customHeight="1">
      <c r="A491" s="25" t="s">
        <v>1840</v>
      </c>
      <c r="B491" s="25" t="s">
        <v>150</v>
      </c>
      <c r="C491" s="69">
        <v>45200.0</v>
      </c>
      <c r="D491" s="21" t="s">
        <v>151</v>
      </c>
      <c r="E491" s="25">
        <v>0.0</v>
      </c>
      <c r="F491" s="21">
        <v>30000.0</v>
      </c>
      <c r="G491" s="21">
        <f t="shared" si="1"/>
        <v>0</v>
      </c>
      <c r="H491" s="21" t="s">
        <v>758</v>
      </c>
      <c r="I491" s="21" t="s">
        <v>550</v>
      </c>
      <c r="J491" s="25" t="s">
        <v>71</v>
      </c>
    </row>
    <row r="492" ht="15.75" customHeight="1">
      <c r="A492" s="25" t="s">
        <v>1841</v>
      </c>
      <c r="B492" s="25" t="s">
        <v>150</v>
      </c>
      <c r="C492" s="69">
        <v>45231.0</v>
      </c>
      <c r="D492" s="21" t="s">
        <v>151</v>
      </c>
      <c r="E492" s="25">
        <v>0.0</v>
      </c>
      <c r="F492" s="21">
        <v>30000.0</v>
      </c>
      <c r="G492" s="21">
        <f t="shared" si="1"/>
        <v>0</v>
      </c>
      <c r="H492" s="21" t="s">
        <v>758</v>
      </c>
      <c r="I492" s="21" t="s">
        <v>550</v>
      </c>
      <c r="J492" s="25" t="s">
        <v>71</v>
      </c>
    </row>
    <row r="493" ht="15.75" customHeight="1">
      <c r="A493" s="25" t="s">
        <v>1842</v>
      </c>
      <c r="B493" s="25" t="s">
        <v>150</v>
      </c>
      <c r="C493" s="69">
        <v>45261.0</v>
      </c>
      <c r="D493" s="21" t="s">
        <v>151</v>
      </c>
      <c r="E493" s="25">
        <v>0.0</v>
      </c>
      <c r="F493" s="21">
        <v>30000.0</v>
      </c>
      <c r="G493" s="21">
        <f t="shared" si="1"/>
        <v>0</v>
      </c>
      <c r="H493" s="21" t="s">
        <v>758</v>
      </c>
      <c r="I493" s="21" t="s">
        <v>550</v>
      </c>
      <c r="J493" s="25" t="s">
        <v>71</v>
      </c>
    </row>
    <row r="494" ht="15.75" customHeight="1">
      <c r="A494" s="25" t="s">
        <v>1843</v>
      </c>
      <c r="B494" s="25" t="s">
        <v>163</v>
      </c>
      <c r="C494" s="69">
        <v>44927.0</v>
      </c>
      <c r="D494" s="21" t="s">
        <v>165</v>
      </c>
      <c r="E494" s="25">
        <v>1.0</v>
      </c>
      <c r="F494" s="21">
        <v>49500.0</v>
      </c>
      <c r="G494" s="21">
        <f t="shared" si="1"/>
        <v>49500</v>
      </c>
      <c r="H494" s="21" t="s">
        <v>549</v>
      </c>
      <c r="I494" s="21" t="s">
        <v>550</v>
      </c>
      <c r="J494" s="25" t="s">
        <v>71</v>
      </c>
    </row>
    <row r="495" ht="15.75" customHeight="1">
      <c r="A495" s="25" t="s">
        <v>1844</v>
      </c>
      <c r="B495" s="25" t="s">
        <v>163</v>
      </c>
      <c r="C495" s="69">
        <v>44958.0</v>
      </c>
      <c r="D495" s="21" t="s">
        <v>165</v>
      </c>
      <c r="E495" s="25">
        <v>1.0</v>
      </c>
      <c r="F495" s="21">
        <v>49500.0</v>
      </c>
      <c r="G495" s="21">
        <f t="shared" si="1"/>
        <v>49500</v>
      </c>
      <c r="H495" s="21" t="s">
        <v>549</v>
      </c>
      <c r="I495" s="21" t="s">
        <v>550</v>
      </c>
      <c r="J495" s="25" t="s">
        <v>71</v>
      </c>
    </row>
    <row r="496" ht="15.75" customHeight="1">
      <c r="A496" s="25" t="s">
        <v>1845</v>
      </c>
      <c r="B496" s="25" t="s">
        <v>163</v>
      </c>
      <c r="C496" s="69">
        <v>44986.0</v>
      </c>
      <c r="D496" s="21" t="s">
        <v>165</v>
      </c>
      <c r="E496" s="25">
        <v>0.0</v>
      </c>
      <c r="F496" s="21">
        <v>49500.0</v>
      </c>
      <c r="G496" s="21">
        <f t="shared" si="1"/>
        <v>0</v>
      </c>
      <c r="H496" s="21" t="s">
        <v>549</v>
      </c>
      <c r="I496" s="21" t="s">
        <v>550</v>
      </c>
      <c r="J496" s="25" t="s">
        <v>71</v>
      </c>
    </row>
    <row r="497" ht="15.75" customHeight="1">
      <c r="A497" s="25" t="s">
        <v>1846</v>
      </c>
      <c r="B497" s="25" t="s">
        <v>163</v>
      </c>
      <c r="C497" s="69">
        <v>45017.0</v>
      </c>
      <c r="D497" s="21" t="s">
        <v>165</v>
      </c>
      <c r="E497" s="25">
        <v>0.0</v>
      </c>
      <c r="F497" s="21">
        <v>49500.0</v>
      </c>
      <c r="G497" s="21">
        <f t="shared" si="1"/>
        <v>0</v>
      </c>
      <c r="H497" s="21" t="s">
        <v>549</v>
      </c>
      <c r="I497" s="21" t="s">
        <v>550</v>
      </c>
      <c r="J497" s="25" t="s">
        <v>71</v>
      </c>
    </row>
    <row r="498" ht="15.75" customHeight="1">
      <c r="A498" s="25" t="s">
        <v>1847</v>
      </c>
      <c r="B498" s="25" t="s">
        <v>163</v>
      </c>
      <c r="C498" s="69">
        <v>45047.0</v>
      </c>
      <c r="D498" s="21" t="s">
        <v>165</v>
      </c>
      <c r="E498" s="25">
        <v>0.0</v>
      </c>
      <c r="F498" s="21">
        <v>49500.0</v>
      </c>
      <c r="G498" s="21">
        <f t="shared" si="1"/>
        <v>0</v>
      </c>
      <c r="H498" s="21" t="s">
        <v>549</v>
      </c>
      <c r="I498" s="21" t="s">
        <v>550</v>
      </c>
      <c r="J498" s="25" t="s">
        <v>71</v>
      </c>
    </row>
    <row r="499" ht="15.75" customHeight="1">
      <c r="A499" s="25" t="s">
        <v>1848</v>
      </c>
      <c r="B499" s="25" t="s">
        <v>163</v>
      </c>
      <c r="C499" s="69">
        <v>45078.0</v>
      </c>
      <c r="D499" s="21" t="s">
        <v>165</v>
      </c>
      <c r="E499" s="25">
        <v>0.0</v>
      </c>
      <c r="F499" s="21">
        <v>49500.0</v>
      </c>
      <c r="G499" s="21">
        <f t="shared" si="1"/>
        <v>0</v>
      </c>
      <c r="H499" s="21" t="s">
        <v>549</v>
      </c>
      <c r="I499" s="21" t="s">
        <v>550</v>
      </c>
      <c r="J499" s="25" t="s">
        <v>71</v>
      </c>
    </row>
    <row r="500" ht="15.75" customHeight="1">
      <c r="A500" s="25" t="s">
        <v>1849</v>
      </c>
      <c r="B500" s="25" t="s">
        <v>163</v>
      </c>
      <c r="C500" s="69">
        <v>45108.0</v>
      </c>
      <c r="D500" s="21" t="s">
        <v>165</v>
      </c>
      <c r="E500" s="25">
        <v>0.0</v>
      </c>
      <c r="F500" s="21">
        <v>49500.0</v>
      </c>
      <c r="G500" s="21">
        <f t="shared" si="1"/>
        <v>0</v>
      </c>
      <c r="H500" s="21" t="s">
        <v>549</v>
      </c>
      <c r="I500" s="21" t="s">
        <v>550</v>
      </c>
      <c r="J500" s="25" t="s">
        <v>71</v>
      </c>
    </row>
    <row r="501" ht="15.75" customHeight="1">
      <c r="A501" s="25" t="s">
        <v>1850</v>
      </c>
      <c r="B501" s="25" t="s">
        <v>163</v>
      </c>
      <c r="C501" s="69">
        <v>45139.0</v>
      </c>
      <c r="D501" s="21" t="s">
        <v>165</v>
      </c>
      <c r="E501" s="25">
        <v>1.0</v>
      </c>
      <c r="F501" s="21">
        <v>49500.0</v>
      </c>
      <c r="G501" s="21">
        <f t="shared" si="1"/>
        <v>49500</v>
      </c>
      <c r="H501" s="21" t="s">
        <v>549</v>
      </c>
      <c r="I501" s="21" t="s">
        <v>550</v>
      </c>
      <c r="J501" s="25" t="s">
        <v>71</v>
      </c>
    </row>
    <row r="502" ht="15.75" customHeight="1">
      <c r="A502" s="25" t="s">
        <v>1851</v>
      </c>
      <c r="B502" s="25" t="s">
        <v>163</v>
      </c>
      <c r="C502" s="69">
        <v>45170.0</v>
      </c>
      <c r="D502" s="21" t="s">
        <v>165</v>
      </c>
      <c r="E502" s="25">
        <v>0.0</v>
      </c>
      <c r="F502" s="21">
        <v>49500.0</v>
      </c>
      <c r="G502" s="21">
        <f t="shared" si="1"/>
        <v>0</v>
      </c>
      <c r="H502" s="21" t="s">
        <v>549</v>
      </c>
      <c r="I502" s="21" t="s">
        <v>550</v>
      </c>
      <c r="J502" s="25" t="s">
        <v>71</v>
      </c>
    </row>
    <row r="503" ht="15.75" customHeight="1">
      <c r="A503" s="25" t="s">
        <v>1852</v>
      </c>
      <c r="B503" s="25" t="s">
        <v>163</v>
      </c>
      <c r="C503" s="69">
        <v>45200.0</v>
      </c>
      <c r="D503" s="21" t="s">
        <v>165</v>
      </c>
      <c r="E503" s="25">
        <v>1.0</v>
      </c>
      <c r="F503" s="21">
        <v>49500.0</v>
      </c>
      <c r="G503" s="21">
        <f t="shared" si="1"/>
        <v>49500</v>
      </c>
      <c r="H503" s="21" t="s">
        <v>549</v>
      </c>
      <c r="I503" s="21" t="s">
        <v>550</v>
      </c>
      <c r="J503" s="25" t="s">
        <v>71</v>
      </c>
    </row>
    <row r="504" ht="15.75" customHeight="1">
      <c r="A504" s="25" t="s">
        <v>1853</v>
      </c>
      <c r="B504" s="25" t="s">
        <v>163</v>
      </c>
      <c r="C504" s="69">
        <v>45231.0</v>
      </c>
      <c r="D504" s="21" t="s">
        <v>165</v>
      </c>
      <c r="E504" s="25">
        <v>0.0</v>
      </c>
      <c r="F504" s="21">
        <v>49500.0</v>
      </c>
      <c r="G504" s="21">
        <f t="shared" si="1"/>
        <v>0</v>
      </c>
      <c r="H504" s="21" t="s">
        <v>549</v>
      </c>
      <c r="I504" s="21" t="s">
        <v>550</v>
      </c>
      <c r="J504" s="25" t="s">
        <v>71</v>
      </c>
    </row>
    <row r="505" ht="15.75" customHeight="1">
      <c r="A505" s="25" t="s">
        <v>1854</v>
      </c>
      <c r="B505" s="25" t="s">
        <v>163</v>
      </c>
      <c r="C505" s="69">
        <v>45261.0</v>
      </c>
      <c r="D505" s="21" t="s">
        <v>165</v>
      </c>
      <c r="E505" s="25">
        <v>0.0</v>
      </c>
      <c r="F505" s="21">
        <v>49500.0</v>
      </c>
      <c r="G505" s="21">
        <f t="shared" si="1"/>
        <v>0</v>
      </c>
      <c r="H505" s="21" t="s">
        <v>549</v>
      </c>
      <c r="I505" s="21" t="s">
        <v>550</v>
      </c>
      <c r="J505" s="25" t="s">
        <v>71</v>
      </c>
    </row>
    <row r="506" ht="15.75" customHeight="1">
      <c r="A506" s="25" t="s">
        <v>1855</v>
      </c>
      <c r="B506" s="25" t="s">
        <v>175</v>
      </c>
      <c r="C506" s="69">
        <v>44927.0</v>
      </c>
      <c r="D506" s="21" t="s">
        <v>176</v>
      </c>
      <c r="E506" s="25">
        <v>8.0</v>
      </c>
      <c r="F506" s="21">
        <v>49500.0</v>
      </c>
      <c r="G506" s="21">
        <f t="shared" si="1"/>
        <v>396000</v>
      </c>
      <c r="H506" s="21" t="s">
        <v>549</v>
      </c>
      <c r="I506" s="21" t="s">
        <v>550</v>
      </c>
      <c r="J506" s="25" t="s">
        <v>71</v>
      </c>
    </row>
    <row r="507" ht="15.75" customHeight="1">
      <c r="A507" s="25" t="s">
        <v>1856</v>
      </c>
      <c r="B507" s="25" t="s">
        <v>175</v>
      </c>
      <c r="C507" s="69">
        <v>44958.0</v>
      </c>
      <c r="D507" s="21" t="s">
        <v>176</v>
      </c>
      <c r="E507" s="25">
        <v>0.0</v>
      </c>
      <c r="F507" s="21">
        <v>49500.0</v>
      </c>
      <c r="G507" s="21">
        <f t="shared" si="1"/>
        <v>0</v>
      </c>
      <c r="H507" s="21" t="s">
        <v>549</v>
      </c>
      <c r="I507" s="21" t="s">
        <v>550</v>
      </c>
      <c r="J507" s="25" t="s">
        <v>71</v>
      </c>
    </row>
    <row r="508" ht="15.75" customHeight="1">
      <c r="A508" s="25" t="s">
        <v>1857</v>
      </c>
      <c r="B508" s="25" t="s">
        <v>175</v>
      </c>
      <c r="C508" s="69">
        <v>44986.0</v>
      </c>
      <c r="D508" s="21" t="s">
        <v>176</v>
      </c>
      <c r="E508" s="25">
        <v>2.0</v>
      </c>
      <c r="F508" s="21">
        <v>49500.0</v>
      </c>
      <c r="G508" s="21">
        <f t="shared" si="1"/>
        <v>99000</v>
      </c>
      <c r="H508" s="21" t="s">
        <v>549</v>
      </c>
      <c r="I508" s="21" t="s">
        <v>550</v>
      </c>
      <c r="J508" s="25" t="s">
        <v>71</v>
      </c>
    </row>
    <row r="509" ht="15.75" customHeight="1">
      <c r="A509" s="25" t="s">
        <v>1858</v>
      </c>
      <c r="B509" s="25" t="s">
        <v>175</v>
      </c>
      <c r="C509" s="69">
        <v>45017.0</v>
      </c>
      <c r="D509" s="21" t="s">
        <v>176</v>
      </c>
      <c r="E509" s="25">
        <v>0.0</v>
      </c>
      <c r="F509" s="21">
        <v>49500.0</v>
      </c>
      <c r="G509" s="21">
        <f t="shared" si="1"/>
        <v>0</v>
      </c>
      <c r="H509" s="21" t="s">
        <v>549</v>
      </c>
      <c r="I509" s="21" t="s">
        <v>550</v>
      </c>
      <c r="J509" s="25" t="s">
        <v>71</v>
      </c>
    </row>
    <row r="510" ht="15.75" customHeight="1">
      <c r="A510" s="25" t="s">
        <v>1859</v>
      </c>
      <c r="B510" s="25" t="s">
        <v>175</v>
      </c>
      <c r="C510" s="69">
        <v>45047.0</v>
      </c>
      <c r="D510" s="21" t="s">
        <v>176</v>
      </c>
      <c r="E510" s="25">
        <v>5.0</v>
      </c>
      <c r="F510" s="21">
        <v>49500.0</v>
      </c>
      <c r="G510" s="21">
        <f t="shared" si="1"/>
        <v>247500</v>
      </c>
      <c r="H510" s="21" t="s">
        <v>549</v>
      </c>
      <c r="I510" s="21" t="s">
        <v>550</v>
      </c>
      <c r="J510" s="25" t="s">
        <v>71</v>
      </c>
    </row>
    <row r="511" ht="15.75" customHeight="1">
      <c r="A511" s="25" t="s">
        <v>1860</v>
      </c>
      <c r="B511" s="25" t="s">
        <v>175</v>
      </c>
      <c r="C511" s="69">
        <v>45078.0</v>
      </c>
      <c r="D511" s="21" t="s">
        <v>176</v>
      </c>
      <c r="E511" s="25">
        <v>1.0</v>
      </c>
      <c r="F511" s="21">
        <v>49500.0</v>
      </c>
      <c r="G511" s="21">
        <f t="shared" si="1"/>
        <v>49500</v>
      </c>
      <c r="H511" s="21" t="s">
        <v>549</v>
      </c>
      <c r="I511" s="21" t="s">
        <v>550</v>
      </c>
      <c r="J511" s="25" t="s">
        <v>71</v>
      </c>
    </row>
    <row r="512" ht="15.75" customHeight="1">
      <c r="A512" s="25" t="s">
        <v>1861</v>
      </c>
      <c r="B512" s="25" t="s">
        <v>175</v>
      </c>
      <c r="C512" s="69">
        <v>45108.0</v>
      </c>
      <c r="D512" s="21" t="s">
        <v>176</v>
      </c>
      <c r="E512" s="25">
        <v>4.0</v>
      </c>
      <c r="F512" s="21">
        <v>49500.0</v>
      </c>
      <c r="G512" s="21">
        <f t="shared" si="1"/>
        <v>198000</v>
      </c>
      <c r="H512" s="21" t="s">
        <v>549</v>
      </c>
      <c r="I512" s="21" t="s">
        <v>550</v>
      </c>
      <c r="J512" s="25" t="s">
        <v>71</v>
      </c>
    </row>
    <row r="513" ht="15.75" customHeight="1">
      <c r="A513" s="25" t="s">
        <v>1863</v>
      </c>
      <c r="B513" s="25" t="s">
        <v>175</v>
      </c>
      <c r="C513" s="69">
        <v>45139.0</v>
      </c>
      <c r="D513" s="21" t="s">
        <v>176</v>
      </c>
      <c r="E513" s="25">
        <v>4.0</v>
      </c>
      <c r="F513" s="21">
        <v>49500.0</v>
      </c>
      <c r="G513" s="21">
        <f t="shared" si="1"/>
        <v>198000</v>
      </c>
      <c r="H513" s="21" t="s">
        <v>549</v>
      </c>
      <c r="I513" s="21" t="s">
        <v>550</v>
      </c>
      <c r="J513" s="25" t="s">
        <v>71</v>
      </c>
    </row>
    <row r="514" ht="15.75" customHeight="1">
      <c r="A514" s="25" t="s">
        <v>1867</v>
      </c>
      <c r="B514" s="25" t="s">
        <v>175</v>
      </c>
      <c r="C514" s="69">
        <v>45170.0</v>
      </c>
      <c r="D514" s="21" t="s">
        <v>176</v>
      </c>
      <c r="E514" s="25">
        <v>0.0</v>
      </c>
      <c r="F514" s="21">
        <v>49500.0</v>
      </c>
      <c r="G514" s="21">
        <f t="shared" si="1"/>
        <v>0</v>
      </c>
      <c r="H514" s="21" t="s">
        <v>549</v>
      </c>
      <c r="I514" s="21" t="s">
        <v>550</v>
      </c>
      <c r="J514" s="25" t="s">
        <v>71</v>
      </c>
    </row>
    <row r="515" ht="15.75" customHeight="1">
      <c r="A515" s="25" t="s">
        <v>1873</v>
      </c>
      <c r="B515" s="25" t="s">
        <v>175</v>
      </c>
      <c r="C515" s="69">
        <v>45200.0</v>
      </c>
      <c r="D515" s="21" t="s">
        <v>176</v>
      </c>
      <c r="E515" s="25">
        <v>5.0</v>
      </c>
      <c r="F515" s="21">
        <v>49500.0</v>
      </c>
      <c r="G515" s="21">
        <f t="shared" si="1"/>
        <v>247500</v>
      </c>
      <c r="H515" s="21" t="s">
        <v>549</v>
      </c>
      <c r="I515" s="21" t="s">
        <v>550</v>
      </c>
      <c r="J515" s="25" t="s">
        <v>71</v>
      </c>
    </row>
    <row r="516" ht="15.75" customHeight="1">
      <c r="A516" s="25" t="s">
        <v>1878</v>
      </c>
      <c r="B516" s="25" t="s">
        <v>175</v>
      </c>
      <c r="C516" s="69">
        <v>45231.0</v>
      </c>
      <c r="D516" s="21" t="s">
        <v>176</v>
      </c>
      <c r="E516" s="25">
        <v>2.0</v>
      </c>
      <c r="F516" s="21">
        <v>49500.0</v>
      </c>
      <c r="G516" s="21">
        <f t="shared" si="1"/>
        <v>99000</v>
      </c>
      <c r="H516" s="21" t="s">
        <v>549</v>
      </c>
      <c r="I516" s="21" t="s">
        <v>550</v>
      </c>
      <c r="J516" s="25" t="s">
        <v>71</v>
      </c>
    </row>
    <row r="517" ht="15.75" customHeight="1">
      <c r="A517" s="25" t="s">
        <v>1880</v>
      </c>
      <c r="B517" s="25" t="s">
        <v>175</v>
      </c>
      <c r="C517" s="69">
        <v>45261.0</v>
      </c>
      <c r="D517" s="21" t="s">
        <v>176</v>
      </c>
      <c r="E517" s="25">
        <v>1.0</v>
      </c>
      <c r="F517" s="21">
        <v>49500.0</v>
      </c>
      <c r="G517" s="21">
        <f t="shared" si="1"/>
        <v>49500</v>
      </c>
      <c r="H517" s="21" t="s">
        <v>549</v>
      </c>
      <c r="I517" s="21" t="s">
        <v>550</v>
      </c>
      <c r="J517" s="25" t="s">
        <v>71</v>
      </c>
    </row>
    <row r="518" ht="15.75" customHeight="1">
      <c r="A518" s="25" t="s">
        <v>1883</v>
      </c>
      <c r="B518" s="25" t="s">
        <v>188</v>
      </c>
      <c r="C518" s="69">
        <v>44927.0</v>
      </c>
      <c r="D518" s="21" t="s">
        <v>189</v>
      </c>
      <c r="E518" s="25">
        <v>0.0</v>
      </c>
      <c r="F518" s="21">
        <v>49500.0</v>
      </c>
      <c r="G518" s="21">
        <f t="shared" si="1"/>
        <v>0</v>
      </c>
      <c r="H518" s="21" t="s">
        <v>549</v>
      </c>
      <c r="I518" s="21" t="s">
        <v>550</v>
      </c>
      <c r="J518" s="25" t="s">
        <v>71</v>
      </c>
    </row>
    <row r="519" ht="15.75" customHeight="1">
      <c r="A519" s="25" t="s">
        <v>1885</v>
      </c>
      <c r="B519" s="25" t="s">
        <v>188</v>
      </c>
      <c r="C519" s="69">
        <v>44958.0</v>
      </c>
      <c r="D519" s="21" t="s">
        <v>189</v>
      </c>
      <c r="E519" s="25">
        <v>2.0</v>
      </c>
      <c r="F519" s="21">
        <v>49500.0</v>
      </c>
      <c r="G519" s="21">
        <f t="shared" si="1"/>
        <v>99000</v>
      </c>
      <c r="H519" s="21" t="s">
        <v>549</v>
      </c>
      <c r="I519" s="21" t="s">
        <v>550</v>
      </c>
      <c r="J519" s="25" t="s">
        <v>71</v>
      </c>
    </row>
    <row r="520" ht="15.75" customHeight="1">
      <c r="A520" s="25" t="s">
        <v>1889</v>
      </c>
      <c r="B520" s="25" t="s">
        <v>188</v>
      </c>
      <c r="C520" s="69">
        <v>44986.0</v>
      </c>
      <c r="D520" s="21" t="s">
        <v>189</v>
      </c>
      <c r="E520" s="25">
        <v>0.0</v>
      </c>
      <c r="F520" s="21">
        <v>49500.0</v>
      </c>
      <c r="G520" s="21">
        <f t="shared" si="1"/>
        <v>0</v>
      </c>
      <c r="H520" s="21" t="s">
        <v>549</v>
      </c>
      <c r="I520" s="21" t="s">
        <v>550</v>
      </c>
      <c r="J520" s="25" t="s">
        <v>71</v>
      </c>
    </row>
    <row r="521" ht="15.75" customHeight="1">
      <c r="A521" s="25" t="s">
        <v>1891</v>
      </c>
      <c r="B521" s="25" t="s">
        <v>188</v>
      </c>
      <c r="C521" s="69">
        <v>45017.0</v>
      </c>
      <c r="D521" s="21" t="s">
        <v>189</v>
      </c>
      <c r="E521" s="25">
        <v>0.0</v>
      </c>
      <c r="F521" s="21">
        <v>49500.0</v>
      </c>
      <c r="G521" s="21">
        <f t="shared" si="1"/>
        <v>0</v>
      </c>
      <c r="H521" s="21" t="s">
        <v>549</v>
      </c>
      <c r="I521" s="21" t="s">
        <v>550</v>
      </c>
      <c r="J521" s="25" t="s">
        <v>71</v>
      </c>
    </row>
    <row r="522" ht="15.75" customHeight="1">
      <c r="A522" s="25" t="s">
        <v>1895</v>
      </c>
      <c r="B522" s="25" t="s">
        <v>188</v>
      </c>
      <c r="C522" s="69">
        <v>45047.0</v>
      </c>
      <c r="D522" s="21" t="s">
        <v>189</v>
      </c>
      <c r="E522" s="25">
        <v>1.0</v>
      </c>
      <c r="F522" s="21">
        <v>49500.0</v>
      </c>
      <c r="G522" s="21">
        <f t="shared" si="1"/>
        <v>49500</v>
      </c>
      <c r="H522" s="21" t="s">
        <v>549</v>
      </c>
      <c r="I522" s="21" t="s">
        <v>550</v>
      </c>
      <c r="J522" s="25" t="s">
        <v>71</v>
      </c>
    </row>
    <row r="523" ht="15.75" customHeight="1">
      <c r="A523" s="25" t="s">
        <v>1897</v>
      </c>
      <c r="B523" s="25" t="s">
        <v>188</v>
      </c>
      <c r="C523" s="69">
        <v>45078.0</v>
      </c>
      <c r="D523" s="21" t="s">
        <v>189</v>
      </c>
      <c r="E523" s="25">
        <v>0.0</v>
      </c>
      <c r="F523" s="21">
        <v>49500.0</v>
      </c>
      <c r="G523" s="21">
        <f t="shared" si="1"/>
        <v>0</v>
      </c>
      <c r="H523" s="21" t="s">
        <v>549</v>
      </c>
      <c r="I523" s="21" t="s">
        <v>550</v>
      </c>
      <c r="J523" s="25" t="s">
        <v>71</v>
      </c>
    </row>
    <row r="524" ht="15.75" customHeight="1">
      <c r="A524" s="25" t="s">
        <v>1901</v>
      </c>
      <c r="B524" s="25" t="s">
        <v>188</v>
      </c>
      <c r="C524" s="69">
        <v>45108.0</v>
      </c>
      <c r="D524" s="21" t="s">
        <v>189</v>
      </c>
      <c r="E524" s="25">
        <v>0.0</v>
      </c>
      <c r="F524" s="21">
        <v>49500.0</v>
      </c>
      <c r="G524" s="21">
        <f t="shared" si="1"/>
        <v>0</v>
      </c>
      <c r="H524" s="21" t="s">
        <v>549</v>
      </c>
      <c r="I524" s="21" t="s">
        <v>550</v>
      </c>
      <c r="J524" s="25" t="s">
        <v>71</v>
      </c>
    </row>
    <row r="525" ht="15.75" customHeight="1">
      <c r="A525" s="25" t="s">
        <v>1904</v>
      </c>
      <c r="B525" s="25" t="s">
        <v>188</v>
      </c>
      <c r="C525" s="69">
        <v>45139.0</v>
      </c>
      <c r="D525" s="21" t="s">
        <v>189</v>
      </c>
      <c r="E525" s="25">
        <v>2.0</v>
      </c>
      <c r="F525" s="21">
        <v>49500.0</v>
      </c>
      <c r="G525" s="21">
        <f t="shared" si="1"/>
        <v>99000</v>
      </c>
      <c r="H525" s="21" t="s">
        <v>549</v>
      </c>
      <c r="I525" s="21" t="s">
        <v>550</v>
      </c>
      <c r="J525" s="25" t="s">
        <v>71</v>
      </c>
    </row>
    <row r="526" ht="15.75" customHeight="1">
      <c r="A526" s="25" t="s">
        <v>1908</v>
      </c>
      <c r="B526" s="25" t="s">
        <v>188</v>
      </c>
      <c r="C526" s="69">
        <v>45170.0</v>
      </c>
      <c r="D526" s="21" t="s">
        <v>189</v>
      </c>
      <c r="E526" s="25">
        <v>1.0</v>
      </c>
      <c r="F526" s="21">
        <v>49500.0</v>
      </c>
      <c r="G526" s="21">
        <f t="shared" si="1"/>
        <v>49500</v>
      </c>
      <c r="H526" s="21" t="s">
        <v>549</v>
      </c>
      <c r="I526" s="21" t="s">
        <v>550</v>
      </c>
      <c r="J526" s="25" t="s">
        <v>71</v>
      </c>
    </row>
    <row r="527" ht="15.75" customHeight="1">
      <c r="A527" s="25" t="s">
        <v>1912</v>
      </c>
      <c r="B527" s="25" t="s">
        <v>188</v>
      </c>
      <c r="C527" s="69">
        <v>45200.0</v>
      </c>
      <c r="D527" s="21" t="s">
        <v>189</v>
      </c>
      <c r="E527" s="25">
        <v>0.0</v>
      </c>
      <c r="F527" s="21">
        <v>49500.0</v>
      </c>
      <c r="G527" s="21">
        <f t="shared" si="1"/>
        <v>0</v>
      </c>
      <c r="H527" s="21" t="s">
        <v>549</v>
      </c>
      <c r="I527" s="21" t="s">
        <v>550</v>
      </c>
      <c r="J527" s="25" t="s">
        <v>71</v>
      </c>
    </row>
    <row r="528" ht="15.75" customHeight="1">
      <c r="A528" s="25" t="s">
        <v>1914</v>
      </c>
      <c r="B528" s="25" t="s">
        <v>188</v>
      </c>
      <c r="C528" s="69">
        <v>45231.0</v>
      </c>
      <c r="D528" s="21" t="s">
        <v>189</v>
      </c>
      <c r="E528" s="25">
        <v>1.0</v>
      </c>
      <c r="F528" s="21">
        <v>49500.0</v>
      </c>
      <c r="G528" s="21">
        <f t="shared" si="1"/>
        <v>49500</v>
      </c>
      <c r="H528" s="21" t="s">
        <v>549</v>
      </c>
      <c r="I528" s="21" t="s">
        <v>550</v>
      </c>
      <c r="J528" s="25" t="s">
        <v>71</v>
      </c>
    </row>
    <row r="529" ht="15.75" customHeight="1">
      <c r="A529" s="25" t="s">
        <v>1915</v>
      </c>
      <c r="B529" s="25" t="s">
        <v>188</v>
      </c>
      <c r="C529" s="69">
        <v>45261.0</v>
      </c>
      <c r="D529" s="21" t="s">
        <v>189</v>
      </c>
      <c r="E529" s="25">
        <v>1.0</v>
      </c>
      <c r="F529" s="21">
        <v>49500.0</v>
      </c>
      <c r="G529" s="21">
        <f t="shared" si="1"/>
        <v>49500</v>
      </c>
      <c r="H529" s="21" t="s">
        <v>549</v>
      </c>
      <c r="I529" s="21" t="s">
        <v>550</v>
      </c>
      <c r="J529" s="25" t="s">
        <v>71</v>
      </c>
    </row>
    <row r="530" ht="15.75" customHeight="1">
      <c r="A530" s="25" t="s">
        <v>1916</v>
      </c>
      <c r="B530" s="25" t="s">
        <v>38</v>
      </c>
      <c r="C530" s="69">
        <v>45292.0</v>
      </c>
      <c r="D530" s="21" t="s">
        <v>41</v>
      </c>
      <c r="E530" s="25">
        <v>40.0</v>
      </c>
      <c r="F530" s="21">
        <v>45000.0</v>
      </c>
      <c r="G530" s="21">
        <f t="shared" si="1"/>
        <v>1800000</v>
      </c>
      <c r="H530" s="21" t="s">
        <v>549</v>
      </c>
      <c r="I530" s="21" t="s">
        <v>550</v>
      </c>
      <c r="J530" s="25" t="s">
        <v>71</v>
      </c>
    </row>
    <row r="531" ht="15.75" customHeight="1">
      <c r="A531" s="25" t="s">
        <v>1917</v>
      </c>
      <c r="B531" s="25" t="s">
        <v>38</v>
      </c>
      <c r="C531" s="69">
        <v>45323.0</v>
      </c>
      <c r="D531" s="21" t="s">
        <v>41</v>
      </c>
      <c r="E531" s="25">
        <v>43.0</v>
      </c>
      <c r="F531" s="21">
        <v>45000.0</v>
      </c>
      <c r="G531" s="21">
        <f t="shared" si="1"/>
        <v>1935000</v>
      </c>
      <c r="H531" s="21" t="s">
        <v>549</v>
      </c>
      <c r="I531" s="21" t="s">
        <v>550</v>
      </c>
      <c r="J531" s="25" t="s">
        <v>71</v>
      </c>
    </row>
    <row r="532" ht="15.75" customHeight="1">
      <c r="A532" s="25" t="s">
        <v>1918</v>
      </c>
      <c r="B532" s="25" t="s">
        <v>38</v>
      </c>
      <c r="C532" s="69">
        <v>45352.0</v>
      </c>
      <c r="D532" s="21" t="s">
        <v>41</v>
      </c>
      <c r="E532" s="25">
        <v>22.0</v>
      </c>
      <c r="F532" s="21">
        <v>45000.0</v>
      </c>
      <c r="G532" s="21">
        <f t="shared" si="1"/>
        <v>990000</v>
      </c>
      <c r="H532" s="21" t="s">
        <v>549</v>
      </c>
      <c r="I532" s="21" t="s">
        <v>550</v>
      </c>
      <c r="J532" s="25" t="s">
        <v>71</v>
      </c>
    </row>
    <row r="533" ht="15.75" customHeight="1">
      <c r="A533" s="25" t="s">
        <v>1919</v>
      </c>
      <c r="B533" s="25" t="s">
        <v>38</v>
      </c>
      <c r="C533" s="69">
        <v>45383.0</v>
      </c>
      <c r="D533" s="21" t="s">
        <v>41</v>
      </c>
      <c r="E533" s="25">
        <v>37.0</v>
      </c>
      <c r="F533" s="21">
        <v>45000.0</v>
      </c>
      <c r="G533" s="21">
        <f t="shared" si="1"/>
        <v>1665000</v>
      </c>
      <c r="H533" s="21" t="s">
        <v>549</v>
      </c>
      <c r="I533" s="21" t="s">
        <v>550</v>
      </c>
      <c r="J533" s="25" t="s">
        <v>71</v>
      </c>
    </row>
    <row r="534" ht="15.75" customHeight="1">
      <c r="A534" s="25" t="s">
        <v>1920</v>
      </c>
      <c r="B534" s="25" t="s">
        <v>38</v>
      </c>
      <c r="C534" s="69">
        <v>45413.0</v>
      </c>
      <c r="D534" s="21" t="s">
        <v>41</v>
      </c>
      <c r="E534" s="25">
        <v>70.0</v>
      </c>
      <c r="F534" s="21">
        <v>45000.0</v>
      </c>
      <c r="G534" s="21">
        <f t="shared" si="1"/>
        <v>3150000</v>
      </c>
      <c r="H534" s="21" t="s">
        <v>549</v>
      </c>
      <c r="I534" s="21" t="s">
        <v>550</v>
      </c>
      <c r="J534" s="25" t="s">
        <v>71</v>
      </c>
    </row>
    <row r="535" ht="15.75" customHeight="1">
      <c r="A535" s="25" t="s">
        <v>1921</v>
      </c>
      <c r="B535" s="25" t="s">
        <v>38</v>
      </c>
      <c r="C535" s="69">
        <v>45444.0</v>
      </c>
      <c r="D535" s="21" t="s">
        <v>41</v>
      </c>
      <c r="E535" s="25">
        <v>54.0</v>
      </c>
      <c r="F535" s="21">
        <v>45000.0</v>
      </c>
      <c r="G535" s="21">
        <f t="shared" si="1"/>
        <v>2430000</v>
      </c>
      <c r="H535" s="21" t="s">
        <v>549</v>
      </c>
      <c r="I535" s="21" t="s">
        <v>550</v>
      </c>
      <c r="J535" s="25" t="s">
        <v>71</v>
      </c>
    </row>
    <row r="536" ht="15.75" customHeight="1">
      <c r="A536" s="25" t="s">
        <v>1922</v>
      </c>
      <c r="B536" s="25" t="s">
        <v>38</v>
      </c>
      <c r="C536" s="69">
        <v>45474.0</v>
      </c>
      <c r="D536" s="21" t="s">
        <v>41</v>
      </c>
      <c r="E536" s="25">
        <v>35.0</v>
      </c>
      <c r="F536" s="21">
        <v>45000.0</v>
      </c>
      <c r="G536" s="21">
        <f t="shared" si="1"/>
        <v>1575000</v>
      </c>
      <c r="H536" s="21" t="s">
        <v>549</v>
      </c>
      <c r="I536" s="21" t="s">
        <v>550</v>
      </c>
      <c r="J536" s="25" t="s">
        <v>71</v>
      </c>
    </row>
    <row r="537" ht="15.75" customHeight="1">
      <c r="A537" s="25" t="s">
        <v>1923</v>
      </c>
      <c r="B537" s="25" t="s">
        <v>38</v>
      </c>
      <c r="C537" s="69">
        <v>45505.0</v>
      </c>
      <c r="D537" s="21" t="s">
        <v>41</v>
      </c>
      <c r="E537" s="25">
        <v>23.0</v>
      </c>
      <c r="F537" s="21">
        <v>45000.0</v>
      </c>
      <c r="G537" s="21">
        <f t="shared" si="1"/>
        <v>1035000</v>
      </c>
      <c r="H537" s="21" t="s">
        <v>549</v>
      </c>
      <c r="I537" s="21" t="s">
        <v>550</v>
      </c>
      <c r="J537" s="25" t="s">
        <v>71</v>
      </c>
    </row>
    <row r="538" ht="15.75" customHeight="1">
      <c r="A538" s="25" t="s">
        <v>1924</v>
      </c>
      <c r="B538" s="25" t="s">
        <v>38</v>
      </c>
      <c r="C538" s="69">
        <v>45536.0</v>
      </c>
      <c r="D538" s="21" t="s">
        <v>41</v>
      </c>
      <c r="E538" s="25">
        <v>8.0</v>
      </c>
      <c r="F538" s="21">
        <v>45000.0</v>
      </c>
      <c r="G538" s="21">
        <f t="shared" si="1"/>
        <v>360000</v>
      </c>
      <c r="H538" s="21" t="s">
        <v>549</v>
      </c>
      <c r="I538" s="21" t="s">
        <v>550</v>
      </c>
      <c r="J538" s="25" t="s">
        <v>71</v>
      </c>
    </row>
    <row r="539" ht="15.75" customHeight="1">
      <c r="A539" s="25" t="s">
        <v>1925</v>
      </c>
      <c r="B539" s="25" t="s">
        <v>38</v>
      </c>
      <c r="C539" s="69">
        <v>45566.0</v>
      </c>
      <c r="D539" s="21" t="s">
        <v>41</v>
      </c>
      <c r="E539" s="25">
        <v>25.0</v>
      </c>
      <c r="F539" s="21">
        <v>45000.0</v>
      </c>
      <c r="G539" s="21">
        <f t="shared" si="1"/>
        <v>1125000</v>
      </c>
      <c r="H539" s="21" t="s">
        <v>549</v>
      </c>
      <c r="I539" s="21" t="s">
        <v>550</v>
      </c>
      <c r="J539" s="25" t="s">
        <v>71</v>
      </c>
    </row>
    <row r="540" ht="15.75" customHeight="1">
      <c r="A540" s="25" t="s">
        <v>1926</v>
      </c>
      <c r="B540" s="25" t="s">
        <v>38</v>
      </c>
      <c r="C540" s="69">
        <v>45597.0</v>
      </c>
      <c r="D540" s="21" t="s">
        <v>41</v>
      </c>
      <c r="E540" s="25">
        <v>38.0</v>
      </c>
      <c r="F540" s="21">
        <v>45000.0</v>
      </c>
      <c r="G540" s="21">
        <f t="shared" si="1"/>
        <v>1710000</v>
      </c>
      <c r="H540" s="21" t="s">
        <v>549</v>
      </c>
      <c r="I540" s="21" t="s">
        <v>550</v>
      </c>
      <c r="J540" s="25" t="s">
        <v>71</v>
      </c>
    </row>
    <row r="541" ht="15.75" customHeight="1">
      <c r="A541" s="25" t="s">
        <v>1927</v>
      </c>
      <c r="B541" s="25" t="s">
        <v>38</v>
      </c>
      <c r="C541" s="69">
        <v>45627.0</v>
      </c>
      <c r="D541" s="21" t="s">
        <v>41</v>
      </c>
      <c r="E541" s="25">
        <v>15.0</v>
      </c>
      <c r="F541" s="21">
        <v>45000.0</v>
      </c>
      <c r="G541" s="21">
        <f t="shared" si="1"/>
        <v>675000</v>
      </c>
      <c r="H541" s="21" t="s">
        <v>549</v>
      </c>
      <c r="I541" s="21" t="s">
        <v>550</v>
      </c>
      <c r="J541" s="25" t="s">
        <v>71</v>
      </c>
    </row>
    <row r="542" ht="15.75" customHeight="1">
      <c r="A542" s="25" t="s">
        <v>1928</v>
      </c>
      <c r="B542" s="25" t="s">
        <v>40</v>
      </c>
      <c r="C542" s="69">
        <v>45292.0</v>
      </c>
      <c r="D542" s="21" t="s">
        <v>42</v>
      </c>
      <c r="E542" s="25">
        <v>4.0</v>
      </c>
      <c r="F542" s="21">
        <v>45500.0</v>
      </c>
      <c r="G542" s="21">
        <f t="shared" si="1"/>
        <v>182000</v>
      </c>
      <c r="H542" s="21" t="s">
        <v>549</v>
      </c>
      <c r="I542" s="21" t="s">
        <v>550</v>
      </c>
      <c r="J542" s="25" t="s">
        <v>71</v>
      </c>
    </row>
    <row r="543" ht="15.75" customHeight="1">
      <c r="A543" s="25" t="s">
        <v>1929</v>
      </c>
      <c r="B543" s="25" t="s">
        <v>40</v>
      </c>
      <c r="C543" s="69">
        <v>45323.0</v>
      </c>
      <c r="D543" s="21" t="s">
        <v>42</v>
      </c>
      <c r="E543" s="25">
        <v>4.0</v>
      </c>
      <c r="F543" s="21">
        <v>45500.0</v>
      </c>
      <c r="G543" s="21">
        <f t="shared" si="1"/>
        <v>182000</v>
      </c>
      <c r="H543" s="21" t="s">
        <v>549</v>
      </c>
      <c r="I543" s="21" t="s">
        <v>550</v>
      </c>
      <c r="J543" s="25" t="s">
        <v>71</v>
      </c>
    </row>
    <row r="544" ht="15.75" customHeight="1">
      <c r="A544" s="25" t="s">
        <v>1930</v>
      </c>
      <c r="B544" s="25" t="s">
        <v>40</v>
      </c>
      <c r="C544" s="69">
        <v>45352.0</v>
      </c>
      <c r="D544" s="21" t="s">
        <v>42</v>
      </c>
      <c r="E544" s="25">
        <v>3.0</v>
      </c>
      <c r="F544" s="21">
        <v>45500.0</v>
      </c>
      <c r="G544" s="21">
        <f t="shared" si="1"/>
        <v>136500</v>
      </c>
      <c r="H544" s="21" t="s">
        <v>549</v>
      </c>
      <c r="I544" s="21" t="s">
        <v>550</v>
      </c>
      <c r="J544" s="25" t="s">
        <v>71</v>
      </c>
    </row>
    <row r="545" ht="15.75" customHeight="1">
      <c r="A545" s="25" t="s">
        <v>1931</v>
      </c>
      <c r="B545" s="25" t="s">
        <v>40</v>
      </c>
      <c r="C545" s="69">
        <v>45383.0</v>
      </c>
      <c r="D545" s="21" t="s">
        <v>42</v>
      </c>
      <c r="E545" s="25">
        <v>5.0</v>
      </c>
      <c r="F545" s="21">
        <v>45500.0</v>
      </c>
      <c r="G545" s="21">
        <f t="shared" si="1"/>
        <v>227500</v>
      </c>
      <c r="H545" s="21" t="s">
        <v>549</v>
      </c>
      <c r="I545" s="21" t="s">
        <v>550</v>
      </c>
      <c r="J545" s="25" t="s">
        <v>71</v>
      </c>
    </row>
    <row r="546" ht="15.75" customHeight="1">
      <c r="A546" s="25" t="s">
        <v>1932</v>
      </c>
      <c r="B546" s="25" t="s">
        <v>40</v>
      </c>
      <c r="C546" s="69">
        <v>45413.0</v>
      </c>
      <c r="D546" s="21" t="s">
        <v>42</v>
      </c>
      <c r="E546" s="25">
        <v>5.0</v>
      </c>
      <c r="F546" s="21">
        <v>45500.0</v>
      </c>
      <c r="G546" s="21">
        <f t="shared" si="1"/>
        <v>227500</v>
      </c>
      <c r="H546" s="21" t="s">
        <v>549</v>
      </c>
      <c r="I546" s="21" t="s">
        <v>550</v>
      </c>
      <c r="J546" s="25" t="s">
        <v>71</v>
      </c>
    </row>
    <row r="547" ht="15.75" customHeight="1">
      <c r="A547" s="25" t="s">
        <v>1933</v>
      </c>
      <c r="B547" s="25" t="s">
        <v>40</v>
      </c>
      <c r="C547" s="69">
        <v>45444.0</v>
      </c>
      <c r="D547" s="21" t="s">
        <v>42</v>
      </c>
      <c r="E547" s="25">
        <v>8.0</v>
      </c>
      <c r="F547" s="21">
        <v>45500.0</v>
      </c>
      <c r="G547" s="21">
        <f t="shared" si="1"/>
        <v>364000</v>
      </c>
      <c r="H547" s="21" t="s">
        <v>549</v>
      </c>
      <c r="I547" s="21" t="s">
        <v>550</v>
      </c>
      <c r="J547" s="25" t="s">
        <v>71</v>
      </c>
    </row>
    <row r="548" ht="15.75" customHeight="1">
      <c r="A548" s="25" t="s">
        <v>1934</v>
      </c>
      <c r="B548" s="25" t="s">
        <v>40</v>
      </c>
      <c r="C548" s="69">
        <v>45474.0</v>
      </c>
      <c r="D548" s="21" t="s">
        <v>42</v>
      </c>
      <c r="E548" s="25">
        <v>4.0</v>
      </c>
      <c r="F548" s="21">
        <v>45500.0</v>
      </c>
      <c r="G548" s="21">
        <f t="shared" si="1"/>
        <v>182000</v>
      </c>
      <c r="H548" s="21" t="s">
        <v>549</v>
      </c>
      <c r="I548" s="21" t="s">
        <v>550</v>
      </c>
      <c r="J548" s="25" t="s">
        <v>71</v>
      </c>
    </row>
    <row r="549" ht="15.75" customHeight="1">
      <c r="A549" s="25" t="s">
        <v>1935</v>
      </c>
      <c r="B549" s="25" t="s">
        <v>40</v>
      </c>
      <c r="C549" s="69">
        <v>45505.0</v>
      </c>
      <c r="D549" s="21" t="s">
        <v>42</v>
      </c>
      <c r="E549" s="25">
        <v>10.0</v>
      </c>
      <c r="F549" s="21">
        <v>45500.0</v>
      </c>
      <c r="G549" s="21">
        <f t="shared" si="1"/>
        <v>455000</v>
      </c>
      <c r="H549" s="21" t="s">
        <v>549</v>
      </c>
      <c r="I549" s="21" t="s">
        <v>550</v>
      </c>
      <c r="J549" s="25" t="s">
        <v>71</v>
      </c>
    </row>
    <row r="550" ht="15.75" customHeight="1">
      <c r="A550" s="25" t="s">
        <v>1936</v>
      </c>
      <c r="B550" s="25" t="s">
        <v>40</v>
      </c>
      <c r="C550" s="69">
        <v>45536.0</v>
      </c>
      <c r="D550" s="21" t="s">
        <v>42</v>
      </c>
      <c r="E550" s="25">
        <v>14.0</v>
      </c>
      <c r="F550" s="21">
        <v>45500.0</v>
      </c>
      <c r="G550" s="21">
        <f t="shared" si="1"/>
        <v>637000</v>
      </c>
      <c r="H550" s="21" t="s">
        <v>549</v>
      </c>
      <c r="I550" s="21" t="s">
        <v>550</v>
      </c>
      <c r="J550" s="25" t="s">
        <v>71</v>
      </c>
    </row>
    <row r="551" ht="15.75" customHeight="1">
      <c r="A551" s="25" t="s">
        <v>1937</v>
      </c>
      <c r="B551" s="25" t="s">
        <v>40</v>
      </c>
      <c r="C551" s="69">
        <v>45566.0</v>
      </c>
      <c r="D551" s="21" t="s">
        <v>42</v>
      </c>
      <c r="E551" s="25">
        <v>6.0</v>
      </c>
      <c r="F551" s="21">
        <v>45500.0</v>
      </c>
      <c r="G551" s="21">
        <f t="shared" si="1"/>
        <v>273000</v>
      </c>
      <c r="H551" s="21" t="s">
        <v>549</v>
      </c>
      <c r="I551" s="21" t="s">
        <v>550</v>
      </c>
      <c r="J551" s="25" t="s">
        <v>71</v>
      </c>
    </row>
    <row r="552" ht="15.75" customHeight="1">
      <c r="A552" s="25" t="s">
        <v>1938</v>
      </c>
      <c r="B552" s="25" t="s">
        <v>40</v>
      </c>
      <c r="C552" s="69">
        <v>45597.0</v>
      </c>
      <c r="D552" s="21" t="s">
        <v>42</v>
      </c>
      <c r="E552" s="25">
        <v>1.0</v>
      </c>
      <c r="F552" s="21">
        <v>45500.0</v>
      </c>
      <c r="G552" s="21">
        <f t="shared" si="1"/>
        <v>45500</v>
      </c>
      <c r="H552" s="21" t="s">
        <v>549</v>
      </c>
      <c r="I552" s="21" t="s">
        <v>550</v>
      </c>
      <c r="J552" s="25" t="s">
        <v>71</v>
      </c>
    </row>
    <row r="553" ht="15.75" customHeight="1">
      <c r="A553" s="25" t="s">
        <v>1939</v>
      </c>
      <c r="B553" s="25" t="s">
        <v>40</v>
      </c>
      <c r="C553" s="69">
        <v>45627.0</v>
      </c>
      <c r="D553" s="21" t="s">
        <v>42</v>
      </c>
      <c r="E553" s="25">
        <v>7.0</v>
      </c>
      <c r="F553" s="21">
        <v>45500.0</v>
      </c>
      <c r="G553" s="21">
        <f t="shared" si="1"/>
        <v>318500</v>
      </c>
      <c r="H553" s="21" t="s">
        <v>549</v>
      </c>
      <c r="I553" s="21" t="s">
        <v>550</v>
      </c>
      <c r="J553" s="25" t="s">
        <v>71</v>
      </c>
    </row>
    <row r="554" ht="15.75" customHeight="1">
      <c r="A554" s="25" t="s">
        <v>1940</v>
      </c>
      <c r="B554" s="25" t="s">
        <v>82</v>
      </c>
      <c r="C554" s="69">
        <v>45292.0</v>
      </c>
      <c r="D554" s="21" t="s">
        <v>84</v>
      </c>
      <c r="E554" s="25">
        <v>31.0</v>
      </c>
      <c r="F554" s="21">
        <v>45000.0</v>
      </c>
      <c r="G554" s="21">
        <f t="shared" si="1"/>
        <v>1395000</v>
      </c>
      <c r="H554" s="21" t="s">
        <v>549</v>
      </c>
      <c r="I554" s="21" t="s">
        <v>550</v>
      </c>
      <c r="J554" s="25" t="s">
        <v>71</v>
      </c>
    </row>
    <row r="555" ht="15.75" customHeight="1">
      <c r="A555" s="25" t="s">
        <v>1941</v>
      </c>
      <c r="B555" s="25" t="s">
        <v>82</v>
      </c>
      <c r="C555" s="69">
        <v>45323.0</v>
      </c>
      <c r="D555" s="21" t="s">
        <v>84</v>
      </c>
      <c r="E555" s="25">
        <v>5.0</v>
      </c>
      <c r="F555" s="21">
        <v>45000.0</v>
      </c>
      <c r="G555" s="21">
        <f t="shared" si="1"/>
        <v>225000</v>
      </c>
      <c r="H555" s="21" t="s">
        <v>549</v>
      </c>
      <c r="I555" s="21" t="s">
        <v>550</v>
      </c>
      <c r="J555" s="25" t="s">
        <v>71</v>
      </c>
    </row>
    <row r="556" ht="15.75" customHeight="1">
      <c r="A556" s="25" t="s">
        <v>1942</v>
      </c>
      <c r="B556" s="25" t="s">
        <v>82</v>
      </c>
      <c r="C556" s="69">
        <v>45352.0</v>
      </c>
      <c r="D556" s="21" t="s">
        <v>84</v>
      </c>
      <c r="E556" s="25">
        <v>20.0</v>
      </c>
      <c r="F556" s="21">
        <v>45000.0</v>
      </c>
      <c r="G556" s="21">
        <f t="shared" si="1"/>
        <v>900000</v>
      </c>
      <c r="H556" s="21" t="s">
        <v>549</v>
      </c>
      <c r="I556" s="21" t="s">
        <v>550</v>
      </c>
      <c r="J556" s="25" t="s">
        <v>71</v>
      </c>
    </row>
    <row r="557" ht="15.75" customHeight="1">
      <c r="A557" s="25" t="s">
        <v>1943</v>
      </c>
      <c r="B557" s="25" t="s">
        <v>82</v>
      </c>
      <c r="C557" s="69">
        <v>45383.0</v>
      </c>
      <c r="D557" s="21" t="s">
        <v>84</v>
      </c>
      <c r="E557" s="25">
        <v>12.0</v>
      </c>
      <c r="F557" s="21">
        <v>45000.0</v>
      </c>
      <c r="G557" s="21">
        <f t="shared" si="1"/>
        <v>540000</v>
      </c>
      <c r="H557" s="21" t="s">
        <v>549</v>
      </c>
      <c r="I557" s="21" t="s">
        <v>550</v>
      </c>
      <c r="J557" s="25" t="s">
        <v>71</v>
      </c>
    </row>
    <row r="558" ht="15.75" customHeight="1">
      <c r="A558" s="25" t="s">
        <v>1944</v>
      </c>
      <c r="B558" s="25" t="s">
        <v>82</v>
      </c>
      <c r="C558" s="69">
        <v>45413.0</v>
      </c>
      <c r="D558" s="21" t="s">
        <v>84</v>
      </c>
      <c r="E558" s="25">
        <v>50.0</v>
      </c>
      <c r="F558" s="21">
        <v>45000.0</v>
      </c>
      <c r="G558" s="21">
        <f t="shared" si="1"/>
        <v>2250000</v>
      </c>
      <c r="H558" s="21" t="s">
        <v>549</v>
      </c>
      <c r="I558" s="21" t="s">
        <v>550</v>
      </c>
      <c r="J558" s="25" t="s">
        <v>71</v>
      </c>
    </row>
    <row r="559" ht="15.75" customHeight="1">
      <c r="A559" s="25" t="s">
        <v>1945</v>
      </c>
      <c r="B559" s="25" t="s">
        <v>82</v>
      </c>
      <c r="C559" s="69">
        <v>45444.0</v>
      </c>
      <c r="D559" s="21" t="s">
        <v>84</v>
      </c>
      <c r="E559" s="25">
        <v>26.0</v>
      </c>
      <c r="F559" s="21">
        <v>45000.0</v>
      </c>
      <c r="G559" s="21">
        <f t="shared" si="1"/>
        <v>1170000</v>
      </c>
      <c r="H559" s="21" t="s">
        <v>549</v>
      </c>
      <c r="I559" s="21" t="s">
        <v>550</v>
      </c>
      <c r="J559" s="25" t="s">
        <v>71</v>
      </c>
    </row>
    <row r="560" ht="15.75" customHeight="1">
      <c r="A560" s="25" t="s">
        <v>1946</v>
      </c>
      <c r="B560" s="25" t="s">
        <v>82</v>
      </c>
      <c r="C560" s="69">
        <v>45474.0</v>
      </c>
      <c r="D560" s="21" t="s">
        <v>84</v>
      </c>
      <c r="E560" s="25">
        <v>17.0</v>
      </c>
      <c r="F560" s="21">
        <v>45000.0</v>
      </c>
      <c r="G560" s="21">
        <f t="shared" si="1"/>
        <v>765000</v>
      </c>
      <c r="H560" s="21" t="s">
        <v>549</v>
      </c>
      <c r="I560" s="21" t="s">
        <v>550</v>
      </c>
      <c r="J560" s="25" t="s">
        <v>71</v>
      </c>
    </row>
    <row r="561" ht="15.75" customHeight="1">
      <c r="A561" s="25" t="s">
        <v>1947</v>
      </c>
      <c r="B561" s="25" t="s">
        <v>82</v>
      </c>
      <c r="C561" s="69">
        <v>45505.0</v>
      </c>
      <c r="D561" s="21" t="s">
        <v>84</v>
      </c>
      <c r="E561" s="25">
        <v>8.0</v>
      </c>
      <c r="F561" s="21">
        <v>45000.0</v>
      </c>
      <c r="G561" s="21">
        <f t="shared" si="1"/>
        <v>360000</v>
      </c>
      <c r="H561" s="21" t="s">
        <v>549</v>
      </c>
      <c r="I561" s="21" t="s">
        <v>550</v>
      </c>
      <c r="J561" s="25" t="s">
        <v>71</v>
      </c>
    </row>
    <row r="562" ht="15.75" customHeight="1">
      <c r="A562" s="25" t="s">
        <v>1948</v>
      </c>
      <c r="B562" s="25" t="s">
        <v>82</v>
      </c>
      <c r="C562" s="69">
        <v>45536.0</v>
      </c>
      <c r="D562" s="21" t="s">
        <v>84</v>
      </c>
      <c r="E562" s="25">
        <v>10.0</v>
      </c>
      <c r="F562" s="21">
        <v>45000.0</v>
      </c>
      <c r="G562" s="21">
        <f t="shared" si="1"/>
        <v>450000</v>
      </c>
      <c r="H562" s="21" t="s">
        <v>549</v>
      </c>
      <c r="I562" s="21" t="s">
        <v>550</v>
      </c>
      <c r="J562" s="25" t="s">
        <v>71</v>
      </c>
    </row>
    <row r="563" ht="15.75" customHeight="1">
      <c r="A563" s="25" t="s">
        <v>1949</v>
      </c>
      <c r="B563" s="25" t="s">
        <v>82</v>
      </c>
      <c r="C563" s="69">
        <v>45566.0</v>
      </c>
      <c r="D563" s="21" t="s">
        <v>84</v>
      </c>
      <c r="E563" s="25">
        <v>9.0</v>
      </c>
      <c r="F563" s="21">
        <v>45000.0</v>
      </c>
      <c r="G563" s="21">
        <f t="shared" si="1"/>
        <v>405000</v>
      </c>
      <c r="H563" s="21" t="s">
        <v>549</v>
      </c>
      <c r="I563" s="21" t="s">
        <v>550</v>
      </c>
      <c r="J563" s="25" t="s">
        <v>71</v>
      </c>
    </row>
    <row r="564" ht="15.75" customHeight="1">
      <c r="A564" s="25" t="s">
        <v>1950</v>
      </c>
      <c r="B564" s="25" t="s">
        <v>82</v>
      </c>
      <c r="C564" s="69">
        <v>45597.0</v>
      </c>
      <c r="D564" s="21" t="s">
        <v>84</v>
      </c>
      <c r="E564" s="25">
        <v>6.0</v>
      </c>
      <c r="F564" s="21">
        <v>45000.0</v>
      </c>
      <c r="G564" s="21">
        <f t="shared" si="1"/>
        <v>270000</v>
      </c>
      <c r="H564" s="21" t="s">
        <v>549</v>
      </c>
      <c r="I564" s="21" t="s">
        <v>550</v>
      </c>
      <c r="J564" s="25" t="s">
        <v>71</v>
      </c>
    </row>
    <row r="565" ht="15.75" customHeight="1">
      <c r="A565" s="25" t="s">
        <v>1951</v>
      </c>
      <c r="B565" s="25" t="s">
        <v>82</v>
      </c>
      <c r="C565" s="69">
        <v>45627.0</v>
      </c>
      <c r="D565" s="21" t="s">
        <v>84</v>
      </c>
      <c r="E565" s="25">
        <v>46.0</v>
      </c>
      <c r="F565" s="21">
        <v>45000.0</v>
      </c>
      <c r="G565" s="21">
        <f t="shared" si="1"/>
        <v>2070000</v>
      </c>
      <c r="H565" s="21" t="s">
        <v>549</v>
      </c>
      <c r="I565" s="21" t="s">
        <v>550</v>
      </c>
      <c r="J565" s="25" t="s">
        <v>71</v>
      </c>
    </row>
    <row r="566" ht="15.75" customHeight="1">
      <c r="A566" s="25" t="s">
        <v>1952</v>
      </c>
      <c r="B566" s="25" t="s">
        <v>97</v>
      </c>
      <c r="C566" s="69">
        <v>45292.0</v>
      </c>
      <c r="D566" s="21" t="s">
        <v>99</v>
      </c>
      <c r="E566" s="25">
        <v>0.0</v>
      </c>
      <c r="F566" s="21">
        <v>36000.0</v>
      </c>
      <c r="G566" s="21">
        <f t="shared" si="1"/>
        <v>0</v>
      </c>
      <c r="H566" s="21" t="s">
        <v>424</v>
      </c>
      <c r="I566" s="21" t="s">
        <v>550</v>
      </c>
      <c r="J566" s="25" t="s">
        <v>71</v>
      </c>
    </row>
    <row r="567" ht="15.75" customHeight="1">
      <c r="A567" s="25" t="s">
        <v>1953</v>
      </c>
      <c r="B567" s="25" t="s">
        <v>97</v>
      </c>
      <c r="C567" s="69">
        <v>45323.0</v>
      </c>
      <c r="D567" s="21" t="s">
        <v>99</v>
      </c>
      <c r="E567" s="25">
        <v>3.0</v>
      </c>
      <c r="F567" s="21">
        <v>36000.0</v>
      </c>
      <c r="G567" s="21">
        <f t="shared" si="1"/>
        <v>108000</v>
      </c>
      <c r="H567" s="21" t="s">
        <v>424</v>
      </c>
      <c r="I567" s="21" t="s">
        <v>550</v>
      </c>
      <c r="J567" s="25" t="s">
        <v>71</v>
      </c>
    </row>
    <row r="568" ht="15.75" customHeight="1">
      <c r="A568" s="25" t="s">
        <v>1954</v>
      </c>
      <c r="B568" s="25" t="s">
        <v>97</v>
      </c>
      <c r="C568" s="69">
        <v>45352.0</v>
      </c>
      <c r="D568" s="21" t="s">
        <v>99</v>
      </c>
      <c r="E568" s="25">
        <v>2.0</v>
      </c>
      <c r="F568" s="21">
        <v>36000.0</v>
      </c>
      <c r="G568" s="21">
        <f t="shared" si="1"/>
        <v>72000</v>
      </c>
      <c r="H568" s="21" t="s">
        <v>424</v>
      </c>
      <c r="I568" s="21" t="s">
        <v>550</v>
      </c>
      <c r="J568" s="25" t="s">
        <v>71</v>
      </c>
    </row>
    <row r="569" ht="15.75" customHeight="1">
      <c r="A569" s="25" t="s">
        <v>1955</v>
      </c>
      <c r="B569" s="25" t="s">
        <v>97</v>
      </c>
      <c r="C569" s="69">
        <v>45383.0</v>
      </c>
      <c r="D569" s="21" t="s">
        <v>99</v>
      </c>
      <c r="E569" s="25">
        <v>15.0</v>
      </c>
      <c r="F569" s="21">
        <v>36000.0</v>
      </c>
      <c r="G569" s="21">
        <f t="shared" si="1"/>
        <v>540000</v>
      </c>
      <c r="H569" s="21" t="s">
        <v>424</v>
      </c>
      <c r="I569" s="21" t="s">
        <v>550</v>
      </c>
      <c r="J569" s="25" t="s">
        <v>71</v>
      </c>
    </row>
    <row r="570" ht="15.75" customHeight="1">
      <c r="A570" s="25" t="s">
        <v>1956</v>
      </c>
      <c r="B570" s="25" t="s">
        <v>97</v>
      </c>
      <c r="C570" s="69">
        <v>45413.0</v>
      </c>
      <c r="D570" s="21" t="s">
        <v>99</v>
      </c>
      <c r="E570" s="25">
        <v>0.0</v>
      </c>
      <c r="F570" s="21">
        <v>36000.0</v>
      </c>
      <c r="G570" s="21">
        <f t="shared" si="1"/>
        <v>0</v>
      </c>
      <c r="H570" s="21" t="s">
        <v>424</v>
      </c>
      <c r="I570" s="21" t="s">
        <v>550</v>
      </c>
      <c r="J570" s="25" t="s">
        <v>71</v>
      </c>
    </row>
    <row r="571" ht="15.75" customHeight="1">
      <c r="A571" s="25" t="s">
        <v>1957</v>
      </c>
      <c r="B571" s="25" t="s">
        <v>97</v>
      </c>
      <c r="C571" s="69">
        <v>45444.0</v>
      </c>
      <c r="D571" s="21" t="s">
        <v>99</v>
      </c>
      <c r="E571" s="25">
        <v>10.0</v>
      </c>
      <c r="F571" s="21">
        <v>36000.0</v>
      </c>
      <c r="G571" s="21">
        <f t="shared" si="1"/>
        <v>360000</v>
      </c>
      <c r="H571" s="21" t="s">
        <v>424</v>
      </c>
      <c r="I571" s="21" t="s">
        <v>550</v>
      </c>
      <c r="J571" s="25" t="s">
        <v>71</v>
      </c>
    </row>
    <row r="572" ht="15.75" customHeight="1">
      <c r="A572" s="25" t="s">
        <v>1958</v>
      </c>
      <c r="B572" s="25" t="s">
        <v>97</v>
      </c>
      <c r="C572" s="69">
        <v>45474.0</v>
      </c>
      <c r="D572" s="21" t="s">
        <v>99</v>
      </c>
      <c r="E572" s="25">
        <v>2.0</v>
      </c>
      <c r="F572" s="21">
        <v>36000.0</v>
      </c>
      <c r="G572" s="21">
        <f t="shared" si="1"/>
        <v>72000</v>
      </c>
      <c r="H572" s="21" t="s">
        <v>424</v>
      </c>
      <c r="I572" s="21" t="s">
        <v>550</v>
      </c>
      <c r="J572" s="25" t="s">
        <v>71</v>
      </c>
    </row>
    <row r="573" ht="15.75" customHeight="1">
      <c r="A573" s="25" t="s">
        <v>1959</v>
      </c>
      <c r="B573" s="25" t="s">
        <v>97</v>
      </c>
      <c r="C573" s="69">
        <v>45505.0</v>
      </c>
      <c r="D573" s="21" t="s">
        <v>99</v>
      </c>
      <c r="E573" s="25">
        <v>2.0</v>
      </c>
      <c r="F573" s="21">
        <v>36000.0</v>
      </c>
      <c r="G573" s="21">
        <f t="shared" si="1"/>
        <v>72000</v>
      </c>
      <c r="H573" s="21" t="s">
        <v>424</v>
      </c>
      <c r="I573" s="21" t="s">
        <v>550</v>
      </c>
      <c r="J573" s="25" t="s">
        <v>71</v>
      </c>
    </row>
    <row r="574" ht="15.75" customHeight="1">
      <c r="A574" s="25" t="s">
        <v>1960</v>
      </c>
      <c r="B574" s="25" t="s">
        <v>97</v>
      </c>
      <c r="C574" s="69">
        <v>45536.0</v>
      </c>
      <c r="D574" s="21" t="s">
        <v>99</v>
      </c>
      <c r="E574" s="25">
        <v>0.0</v>
      </c>
      <c r="F574" s="21">
        <v>36000.0</v>
      </c>
      <c r="G574" s="21">
        <f t="shared" si="1"/>
        <v>0</v>
      </c>
      <c r="H574" s="21" t="s">
        <v>424</v>
      </c>
      <c r="I574" s="21" t="s">
        <v>550</v>
      </c>
      <c r="J574" s="25" t="s">
        <v>71</v>
      </c>
    </row>
    <row r="575" ht="15.75" customHeight="1">
      <c r="A575" s="25" t="s">
        <v>1961</v>
      </c>
      <c r="B575" s="25" t="s">
        <v>97</v>
      </c>
      <c r="C575" s="69">
        <v>45566.0</v>
      </c>
      <c r="D575" s="21" t="s">
        <v>99</v>
      </c>
      <c r="E575" s="25">
        <v>2.0</v>
      </c>
      <c r="F575" s="21">
        <v>36000.0</v>
      </c>
      <c r="G575" s="21">
        <f t="shared" si="1"/>
        <v>72000</v>
      </c>
      <c r="H575" s="21" t="s">
        <v>424</v>
      </c>
      <c r="I575" s="21" t="s">
        <v>550</v>
      </c>
      <c r="J575" s="25" t="s">
        <v>71</v>
      </c>
    </row>
    <row r="576" ht="15.75" customHeight="1">
      <c r="A576" s="25" t="s">
        <v>1962</v>
      </c>
      <c r="B576" s="25" t="s">
        <v>97</v>
      </c>
      <c r="C576" s="69">
        <v>45597.0</v>
      </c>
      <c r="D576" s="21" t="s">
        <v>99</v>
      </c>
      <c r="E576" s="25">
        <v>2.0</v>
      </c>
      <c r="F576" s="21">
        <v>36000.0</v>
      </c>
      <c r="G576" s="21">
        <f t="shared" si="1"/>
        <v>72000</v>
      </c>
      <c r="H576" s="21" t="s">
        <v>424</v>
      </c>
      <c r="I576" s="21" t="s">
        <v>550</v>
      </c>
      <c r="J576" s="25" t="s">
        <v>71</v>
      </c>
    </row>
    <row r="577" ht="15.75" customHeight="1">
      <c r="A577" s="25" t="s">
        <v>1963</v>
      </c>
      <c r="B577" s="25" t="s">
        <v>97</v>
      </c>
      <c r="C577" s="69">
        <v>45627.0</v>
      </c>
      <c r="D577" s="21" t="s">
        <v>99</v>
      </c>
      <c r="E577" s="25">
        <v>1.0</v>
      </c>
      <c r="F577" s="21">
        <v>36000.0</v>
      </c>
      <c r="G577" s="21">
        <f t="shared" si="1"/>
        <v>36000</v>
      </c>
      <c r="H577" s="21" t="s">
        <v>424</v>
      </c>
      <c r="I577" s="21" t="s">
        <v>550</v>
      </c>
      <c r="J577" s="25" t="s">
        <v>71</v>
      </c>
    </row>
    <row r="578" ht="15.75" customHeight="1">
      <c r="A578" s="25" t="s">
        <v>1964</v>
      </c>
      <c r="B578" s="25" t="s">
        <v>110</v>
      </c>
      <c r="C578" s="69">
        <v>45292.0</v>
      </c>
      <c r="D578" s="21" t="s">
        <v>112</v>
      </c>
      <c r="E578" s="25">
        <v>0.0</v>
      </c>
      <c r="F578" s="21">
        <v>30000.0</v>
      </c>
      <c r="G578" s="21">
        <f t="shared" si="1"/>
        <v>0</v>
      </c>
      <c r="H578" s="21" t="s">
        <v>758</v>
      </c>
      <c r="I578" s="21" t="s">
        <v>550</v>
      </c>
      <c r="J578" s="25" t="s">
        <v>71</v>
      </c>
    </row>
    <row r="579" ht="15.75" customHeight="1">
      <c r="A579" s="25" t="s">
        <v>1965</v>
      </c>
      <c r="B579" s="25" t="s">
        <v>110</v>
      </c>
      <c r="C579" s="69">
        <v>45323.0</v>
      </c>
      <c r="D579" s="21" t="s">
        <v>112</v>
      </c>
      <c r="E579" s="25">
        <v>8.0</v>
      </c>
      <c r="F579" s="21">
        <v>30000.0</v>
      </c>
      <c r="G579" s="21">
        <f t="shared" si="1"/>
        <v>240000</v>
      </c>
      <c r="H579" s="21" t="s">
        <v>758</v>
      </c>
      <c r="I579" s="21" t="s">
        <v>550</v>
      </c>
      <c r="J579" s="25" t="s">
        <v>71</v>
      </c>
    </row>
    <row r="580" ht="15.75" customHeight="1">
      <c r="A580" s="25" t="s">
        <v>1966</v>
      </c>
      <c r="B580" s="25" t="s">
        <v>110</v>
      </c>
      <c r="C580" s="69">
        <v>45352.0</v>
      </c>
      <c r="D580" s="21" t="s">
        <v>112</v>
      </c>
      <c r="E580" s="25">
        <v>3.0</v>
      </c>
      <c r="F580" s="21">
        <v>30000.0</v>
      </c>
      <c r="G580" s="21">
        <f t="shared" si="1"/>
        <v>90000</v>
      </c>
      <c r="H580" s="21" t="s">
        <v>758</v>
      </c>
      <c r="I580" s="21" t="s">
        <v>550</v>
      </c>
      <c r="J580" s="25" t="s">
        <v>71</v>
      </c>
    </row>
    <row r="581" ht="15.75" customHeight="1">
      <c r="A581" s="25" t="s">
        <v>1967</v>
      </c>
      <c r="B581" s="25" t="s">
        <v>110</v>
      </c>
      <c r="C581" s="69">
        <v>45383.0</v>
      </c>
      <c r="D581" s="21" t="s">
        <v>112</v>
      </c>
      <c r="E581" s="25">
        <v>0.0</v>
      </c>
      <c r="F581" s="21">
        <v>30000.0</v>
      </c>
      <c r="G581" s="21">
        <f t="shared" si="1"/>
        <v>0</v>
      </c>
      <c r="H581" s="21" t="s">
        <v>758</v>
      </c>
      <c r="I581" s="21" t="s">
        <v>550</v>
      </c>
      <c r="J581" s="25" t="s">
        <v>71</v>
      </c>
    </row>
    <row r="582" ht="15.75" customHeight="1">
      <c r="A582" s="25" t="s">
        <v>1968</v>
      </c>
      <c r="B582" s="25" t="s">
        <v>110</v>
      </c>
      <c r="C582" s="69">
        <v>45413.0</v>
      </c>
      <c r="D582" s="21" t="s">
        <v>112</v>
      </c>
      <c r="E582" s="25">
        <v>5.0</v>
      </c>
      <c r="F582" s="21">
        <v>30000.0</v>
      </c>
      <c r="G582" s="21">
        <f t="shared" si="1"/>
        <v>150000</v>
      </c>
      <c r="H582" s="21" t="s">
        <v>758</v>
      </c>
      <c r="I582" s="21" t="s">
        <v>550</v>
      </c>
      <c r="J582" s="25" t="s">
        <v>71</v>
      </c>
    </row>
    <row r="583" ht="15.75" customHeight="1">
      <c r="A583" s="25" t="s">
        <v>1969</v>
      </c>
      <c r="B583" s="25" t="s">
        <v>110</v>
      </c>
      <c r="C583" s="69">
        <v>45444.0</v>
      </c>
      <c r="D583" s="21" t="s">
        <v>112</v>
      </c>
      <c r="E583" s="25">
        <v>1.0</v>
      </c>
      <c r="F583" s="21">
        <v>30000.0</v>
      </c>
      <c r="G583" s="21">
        <f t="shared" si="1"/>
        <v>30000</v>
      </c>
      <c r="H583" s="21" t="s">
        <v>758</v>
      </c>
      <c r="I583" s="21" t="s">
        <v>550</v>
      </c>
      <c r="J583" s="25" t="s">
        <v>71</v>
      </c>
    </row>
    <row r="584" ht="15.75" customHeight="1">
      <c r="A584" s="25" t="s">
        <v>1970</v>
      </c>
      <c r="B584" s="25" t="s">
        <v>110</v>
      </c>
      <c r="C584" s="69">
        <v>45474.0</v>
      </c>
      <c r="D584" s="21" t="s">
        <v>112</v>
      </c>
      <c r="E584" s="25">
        <v>3.0</v>
      </c>
      <c r="F584" s="21">
        <v>30000.0</v>
      </c>
      <c r="G584" s="21">
        <f t="shared" si="1"/>
        <v>90000</v>
      </c>
      <c r="H584" s="21" t="s">
        <v>758</v>
      </c>
      <c r="I584" s="21" t="s">
        <v>550</v>
      </c>
      <c r="J584" s="25" t="s">
        <v>71</v>
      </c>
    </row>
    <row r="585" ht="15.75" customHeight="1">
      <c r="A585" s="25" t="s">
        <v>1971</v>
      </c>
      <c r="B585" s="25" t="s">
        <v>110</v>
      </c>
      <c r="C585" s="69">
        <v>45505.0</v>
      </c>
      <c r="D585" s="21" t="s">
        <v>112</v>
      </c>
      <c r="E585" s="25">
        <v>2.0</v>
      </c>
      <c r="F585" s="21">
        <v>30000.0</v>
      </c>
      <c r="G585" s="21">
        <f t="shared" si="1"/>
        <v>60000</v>
      </c>
      <c r="H585" s="21" t="s">
        <v>758</v>
      </c>
      <c r="I585" s="21" t="s">
        <v>550</v>
      </c>
      <c r="J585" s="25" t="s">
        <v>71</v>
      </c>
    </row>
    <row r="586" ht="15.75" customHeight="1">
      <c r="A586" s="25" t="s">
        <v>1972</v>
      </c>
      <c r="B586" s="25" t="s">
        <v>110</v>
      </c>
      <c r="C586" s="69">
        <v>45536.0</v>
      </c>
      <c r="D586" s="21" t="s">
        <v>112</v>
      </c>
      <c r="E586" s="25">
        <v>3.0</v>
      </c>
      <c r="F586" s="21">
        <v>30000.0</v>
      </c>
      <c r="G586" s="21">
        <f t="shared" si="1"/>
        <v>90000</v>
      </c>
      <c r="H586" s="21" t="s">
        <v>758</v>
      </c>
      <c r="I586" s="21" t="s">
        <v>550</v>
      </c>
      <c r="J586" s="25" t="s">
        <v>71</v>
      </c>
    </row>
    <row r="587" ht="15.75" customHeight="1">
      <c r="A587" s="25" t="s">
        <v>1973</v>
      </c>
      <c r="B587" s="25" t="s">
        <v>110</v>
      </c>
      <c r="C587" s="69">
        <v>45566.0</v>
      </c>
      <c r="D587" s="21" t="s">
        <v>112</v>
      </c>
      <c r="E587" s="25">
        <v>5.0</v>
      </c>
      <c r="F587" s="21">
        <v>30000.0</v>
      </c>
      <c r="G587" s="21">
        <f t="shared" si="1"/>
        <v>150000</v>
      </c>
      <c r="H587" s="21" t="s">
        <v>758</v>
      </c>
      <c r="I587" s="21" t="s">
        <v>550</v>
      </c>
      <c r="J587" s="25" t="s">
        <v>71</v>
      </c>
    </row>
    <row r="588" ht="15.75" customHeight="1">
      <c r="A588" s="25" t="s">
        <v>1974</v>
      </c>
      <c r="B588" s="25" t="s">
        <v>110</v>
      </c>
      <c r="C588" s="69">
        <v>45597.0</v>
      </c>
      <c r="D588" s="21" t="s">
        <v>112</v>
      </c>
      <c r="E588" s="25">
        <v>1.0</v>
      </c>
      <c r="F588" s="21">
        <v>30000.0</v>
      </c>
      <c r="G588" s="21">
        <f t="shared" si="1"/>
        <v>30000</v>
      </c>
      <c r="H588" s="21" t="s">
        <v>758</v>
      </c>
      <c r="I588" s="21" t="s">
        <v>550</v>
      </c>
      <c r="J588" s="25" t="s">
        <v>71</v>
      </c>
    </row>
    <row r="589" ht="15.75" customHeight="1">
      <c r="A589" s="25" t="s">
        <v>1975</v>
      </c>
      <c r="B589" s="25" t="s">
        <v>110</v>
      </c>
      <c r="C589" s="69">
        <v>45627.0</v>
      </c>
      <c r="D589" s="21" t="s">
        <v>112</v>
      </c>
      <c r="E589" s="25">
        <v>0.0</v>
      </c>
      <c r="F589" s="21">
        <v>30000.0</v>
      </c>
      <c r="G589" s="21">
        <f t="shared" si="1"/>
        <v>0</v>
      </c>
      <c r="H589" s="21" t="s">
        <v>758</v>
      </c>
      <c r="I589" s="21" t="s">
        <v>550</v>
      </c>
      <c r="J589" s="25" t="s">
        <v>71</v>
      </c>
    </row>
    <row r="590" ht="15.75" customHeight="1">
      <c r="A590" s="25" t="s">
        <v>1976</v>
      </c>
      <c r="B590" s="25" t="s">
        <v>124</v>
      </c>
      <c r="C590" s="69">
        <v>45292.0</v>
      </c>
      <c r="D590" s="21" t="s">
        <v>125</v>
      </c>
      <c r="E590" s="25">
        <v>2.0</v>
      </c>
      <c r="F590" s="21">
        <v>49500.0</v>
      </c>
      <c r="G590" s="21">
        <f t="shared" si="1"/>
        <v>99000</v>
      </c>
      <c r="H590" s="21" t="s">
        <v>549</v>
      </c>
      <c r="I590" s="21" t="s">
        <v>550</v>
      </c>
      <c r="J590" s="25" t="s">
        <v>71</v>
      </c>
    </row>
    <row r="591" ht="15.75" customHeight="1">
      <c r="A591" s="25" t="s">
        <v>1977</v>
      </c>
      <c r="B591" s="25" t="s">
        <v>124</v>
      </c>
      <c r="C591" s="69">
        <v>45323.0</v>
      </c>
      <c r="D591" s="21" t="s">
        <v>125</v>
      </c>
      <c r="E591" s="25">
        <v>5.0</v>
      </c>
      <c r="F591" s="21">
        <v>49500.0</v>
      </c>
      <c r="G591" s="21">
        <f t="shared" si="1"/>
        <v>247500</v>
      </c>
      <c r="H591" s="21" t="s">
        <v>549</v>
      </c>
      <c r="I591" s="21" t="s">
        <v>550</v>
      </c>
      <c r="J591" s="25" t="s">
        <v>71</v>
      </c>
    </row>
    <row r="592" ht="15.75" customHeight="1">
      <c r="A592" s="25" t="s">
        <v>1978</v>
      </c>
      <c r="B592" s="25" t="s">
        <v>124</v>
      </c>
      <c r="C592" s="69">
        <v>45352.0</v>
      </c>
      <c r="D592" s="21" t="s">
        <v>125</v>
      </c>
      <c r="E592" s="25">
        <v>0.0</v>
      </c>
      <c r="F592" s="21">
        <v>49500.0</v>
      </c>
      <c r="G592" s="21">
        <f t="shared" si="1"/>
        <v>0</v>
      </c>
      <c r="H592" s="21" t="s">
        <v>549</v>
      </c>
      <c r="I592" s="21" t="s">
        <v>550</v>
      </c>
      <c r="J592" s="25" t="s">
        <v>71</v>
      </c>
    </row>
    <row r="593" ht="15.75" customHeight="1">
      <c r="A593" s="25" t="s">
        <v>1979</v>
      </c>
      <c r="B593" s="25" t="s">
        <v>124</v>
      </c>
      <c r="C593" s="69">
        <v>45383.0</v>
      </c>
      <c r="D593" s="21" t="s">
        <v>125</v>
      </c>
      <c r="E593" s="25">
        <v>5.0</v>
      </c>
      <c r="F593" s="21">
        <v>49500.0</v>
      </c>
      <c r="G593" s="21">
        <f t="shared" si="1"/>
        <v>247500</v>
      </c>
      <c r="H593" s="21" t="s">
        <v>549</v>
      </c>
      <c r="I593" s="21" t="s">
        <v>550</v>
      </c>
      <c r="J593" s="25" t="s">
        <v>71</v>
      </c>
    </row>
    <row r="594" ht="15.75" customHeight="1">
      <c r="A594" s="25" t="s">
        <v>1980</v>
      </c>
      <c r="B594" s="25" t="s">
        <v>124</v>
      </c>
      <c r="C594" s="69">
        <v>45413.0</v>
      </c>
      <c r="D594" s="21" t="s">
        <v>125</v>
      </c>
      <c r="E594" s="25">
        <v>0.0</v>
      </c>
      <c r="F594" s="21">
        <v>49500.0</v>
      </c>
      <c r="G594" s="21">
        <f t="shared" si="1"/>
        <v>0</v>
      </c>
      <c r="H594" s="21" t="s">
        <v>549</v>
      </c>
      <c r="I594" s="21" t="s">
        <v>550</v>
      </c>
      <c r="J594" s="25" t="s">
        <v>71</v>
      </c>
    </row>
    <row r="595" ht="15.75" customHeight="1">
      <c r="A595" s="25" t="s">
        <v>1983</v>
      </c>
      <c r="B595" s="25" t="s">
        <v>124</v>
      </c>
      <c r="C595" s="69">
        <v>45444.0</v>
      </c>
      <c r="D595" s="21" t="s">
        <v>125</v>
      </c>
      <c r="E595" s="25">
        <v>2.0</v>
      </c>
      <c r="F595" s="21">
        <v>49500.0</v>
      </c>
      <c r="G595" s="21">
        <f t="shared" si="1"/>
        <v>99000</v>
      </c>
      <c r="H595" s="21" t="s">
        <v>549</v>
      </c>
      <c r="I595" s="21" t="s">
        <v>550</v>
      </c>
      <c r="J595" s="25" t="s">
        <v>71</v>
      </c>
    </row>
    <row r="596" ht="15.75" customHeight="1">
      <c r="A596" s="25" t="s">
        <v>1984</v>
      </c>
      <c r="B596" s="25" t="s">
        <v>124</v>
      </c>
      <c r="C596" s="69">
        <v>45474.0</v>
      </c>
      <c r="D596" s="21" t="s">
        <v>125</v>
      </c>
      <c r="E596" s="25">
        <v>3.0</v>
      </c>
      <c r="F596" s="21">
        <v>49500.0</v>
      </c>
      <c r="G596" s="21">
        <f t="shared" si="1"/>
        <v>148500</v>
      </c>
      <c r="H596" s="21" t="s">
        <v>549</v>
      </c>
      <c r="I596" s="21" t="s">
        <v>550</v>
      </c>
      <c r="J596" s="25" t="s">
        <v>71</v>
      </c>
    </row>
    <row r="597" ht="15.75" customHeight="1">
      <c r="A597" s="25" t="s">
        <v>1985</v>
      </c>
      <c r="B597" s="25" t="s">
        <v>124</v>
      </c>
      <c r="C597" s="69">
        <v>45505.0</v>
      </c>
      <c r="D597" s="21" t="s">
        <v>125</v>
      </c>
      <c r="E597" s="25">
        <v>5.0</v>
      </c>
      <c r="F597" s="21">
        <v>49500.0</v>
      </c>
      <c r="G597" s="21">
        <f t="shared" si="1"/>
        <v>247500</v>
      </c>
      <c r="H597" s="21" t="s">
        <v>549</v>
      </c>
      <c r="I597" s="21" t="s">
        <v>550</v>
      </c>
      <c r="J597" s="25" t="s">
        <v>71</v>
      </c>
    </row>
    <row r="598" ht="15.75" customHeight="1">
      <c r="A598" s="25" t="s">
        <v>1986</v>
      </c>
      <c r="B598" s="25" t="s">
        <v>124</v>
      </c>
      <c r="C598" s="69">
        <v>45536.0</v>
      </c>
      <c r="D598" s="21" t="s">
        <v>125</v>
      </c>
      <c r="E598" s="25">
        <v>0.0</v>
      </c>
      <c r="F598" s="21">
        <v>49500.0</v>
      </c>
      <c r="G598" s="21">
        <f t="shared" si="1"/>
        <v>0</v>
      </c>
      <c r="H598" s="21" t="s">
        <v>549</v>
      </c>
      <c r="I598" s="21" t="s">
        <v>550</v>
      </c>
      <c r="J598" s="25" t="s">
        <v>71</v>
      </c>
    </row>
    <row r="599" ht="15.75" customHeight="1">
      <c r="A599" s="25" t="s">
        <v>1988</v>
      </c>
      <c r="B599" s="25" t="s">
        <v>124</v>
      </c>
      <c r="C599" s="69">
        <v>45566.0</v>
      </c>
      <c r="D599" s="21" t="s">
        <v>125</v>
      </c>
      <c r="E599" s="25">
        <v>0.0</v>
      </c>
      <c r="F599" s="21">
        <v>49500.0</v>
      </c>
      <c r="G599" s="21">
        <f t="shared" si="1"/>
        <v>0</v>
      </c>
      <c r="H599" s="21" t="s">
        <v>549</v>
      </c>
      <c r="I599" s="21" t="s">
        <v>550</v>
      </c>
      <c r="J599" s="25" t="s">
        <v>71</v>
      </c>
    </row>
    <row r="600" ht="15.75" customHeight="1">
      <c r="A600" s="25" t="s">
        <v>1989</v>
      </c>
      <c r="B600" s="25" t="s">
        <v>124</v>
      </c>
      <c r="C600" s="69">
        <v>45597.0</v>
      </c>
      <c r="D600" s="21" t="s">
        <v>125</v>
      </c>
      <c r="E600" s="25">
        <v>2.0</v>
      </c>
      <c r="F600" s="21">
        <v>49500.0</v>
      </c>
      <c r="G600" s="21">
        <f t="shared" si="1"/>
        <v>99000</v>
      </c>
      <c r="H600" s="21" t="s">
        <v>549</v>
      </c>
      <c r="I600" s="21" t="s">
        <v>550</v>
      </c>
      <c r="J600" s="25" t="s">
        <v>71</v>
      </c>
    </row>
    <row r="601" ht="15.75" customHeight="1">
      <c r="A601" s="25" t="s">
        <v>1991</v>
      </c>
      <c r="B601" s="25" t="s">
        <v>124</v>
      </c>
      <c r="C601" s="69">
        <v>45627.0</v>
      </c>
      <c r="D601" s="21" t="s">
        <v>125</v>
      </c>
      <c r="E601" s="25">
        <v>2.0</v>
      </c>
      <c r="F601" s="21">
        <v>49500.0</v>
      </c>
      <c r="G601" s="21">
        <f t="shared" si="1"/>
        <v>99000</v>
      </c>
      <c r="H601" s="21" t="s">
        <v>549</v>
      </c>
      <c r="I601" s="21" t="s">
        <v>550</v>
      </c>
      <c r="J601" s="25" t="s">
        <v>71</v>
      </c>
    </row>
    <row r="602" ht="15.75" customHeight="1">
      <c r="A602" s="25" t="s">
        <v>1992</v>
      </c>
      <c r="B602" s="25" t="s">
        <v>139</v>
      </c>
      <c r="C602" s="69">
        <v>45292.0</v>
      </c>
      <c r="D602" s="21" t="s">
        <v>140</v>
      </c>
      <c r="E602" s="25">
        <v>1.0</v>
      </c>
      <c r="F602" s="21">
        <v>30000.0</v>
      </c>
      <c r="G602" s="21">
        <f t="shared" si="1"/>
        <v>30000</v>
      </c>
      <c r="H602" s="21" t="s">
        <v>758</v>
      </c>
      <c r="I602" s="21" t="s">
        <v>550</v>
      </c>
      <c r="J602" s="25" t="s">
        <v>71</v>
      </c>
    </row>
    <row r="603" ht="15.75" customHeight="1">
      <c r="A603" s="25" t="s">
        <v>1995</v>
      </c>
      <c r="B603" s="25" t="s">
        <v>139</v>
      </c>
      <c r="C603" s="69">
        <v>45323.0</v>
      </c>
      <c r="D603" s="21" t="s">
        <v>140</v>
      </c>
      <c r="E603" s="25">
        <v>0.0</v>
      </c>
      <c r="F603" s="21">
        <v>30000.0</v>
      </c>
      <c r="G603" s="21">
        <f t="shared" si="1"/>
        <v>0</v>
      </c>
      <c r="H603" s="21" t="s">
        <v>758</v>
      </c>
      <c r="I603" s="21" t="s">
        <v>550</v>
      </c>
      <c r="J603" s="25" t="s">
        <v>71</v>
      </c>
    </row>
    <row r="604" ht="15.75" customHeight="1">
      <c r="A604" s="25" t="s">
        <v>1996</v>
      </c>
      <c r="B604" s="25" t="s">
        <v>139</v>
      </c>
      <c r="C604" s="69">
        <v>45352.0</v>
      </c>
      <c r="D604" s="21" t="s">
        <v>140</v>
      </c>
      <c r="E604" s="25">
        <v>0.0</v>
      </c>
      <c r="F604" s="21">
        <v>30000.0</v>
      </c>
      <c r="G604" s="21">
        <f t="shared" si="1"/>
        <v>0</v>
      </c>
      <c r="H604" s="21" t="s">
        <v>758</v>
      </c>
      <c r="I604" s="21" t="s">
        <v>550</v>
      </c>
      <c r="J604" s="25" t="s">
        <v>71</v>
      </c>
    </row>
    <row r="605" ht="15.75" customHeight="1">
      <c r="A605" s="25" t="s">
        <v>1998</v>
      </c>
      <c r="B605" s="25" t="s">
        <v>139</v>
      </c>
      <c r="C605" s="69">
        <v>45383.0</v>
      </c>
      <c r="D605" s="21" t="s">
        <v>140</v>
      </c>
      <c r="E605" s="25">
        <v>1.0</v>
      </c>
      <c r="F605" s="21">
        <v>30000.0</v>
      </c>
      <c r="G605" s="21">
        <f t="shared" si="1"/>
        <v>30000</v>
      </c>
      <c r="H605" s="21" t="s">
        <v>758</v>
      </c>
      <c r="I605" s="21" t="s">
        <v>550</v>
      </c>
      <c r="J605" s="25" t="s">
        <v>71</v>
      </c>
    </row>
    <row r="606" ht="15.75" customHeight="1">
      <c r="A606" s="25" t="s">
        <v>1999</v>
      </c>
      <c r="B606" s="25" t="s">
        <v>139</v>
      </c>
      <c r="C606" s="69">
        <v>45413.0</v>
      </c>
      <c r="D606" s="21" t="s">
        <v>140</v>
      </c>
      <c r="E606" s="25">
        <v>0.0</v>
      </c>
      <c r="F606" s="21">
        <v>30000.0</v>
      </c>
      <c r="G606" s="21">
        <f t="shared" si="1"/>
        <v>0</v>
      </c>
      <c r="H606" s="21" t="s">
        <v>758</v>
      </c>
      <c r="I606" s="21" t="s">
        <v>550</v>
      </c>
      <c r="J606" s="25" t="s">
        <v>71</v>
      </c>
    </row>
    <row r="607" ht="15.75" customHeight="1">
      <c r="A607" s="25" t="s">
        <v>2001</v>
      </c>
      <c r="B607" s="25" t="s">
        <v>139</v>
      </c>
      <c r="C607" s="69">
        <v>45444.0</v>
      </c>
      <c r="D607" s="21" t="s">
        <v>140</v>
      </c>
      <c r="E607" s="25">
        <v>3.0</v>
      </c>
      <c r="F607" s="21">
        <v>30000.0</v>
      </c>
      <c r="G607" s="21">
        <f t="shared" si="1"/>
        <v>90000</v>
      </c>
      <c r="H607" s="21" t="s">
        <v>758</v>
      </c>
      <c r="I607" s="21" t="s">
        <v>550</v>
      </c>
      <c r="J607" s="25" t="s">
        <v>71</v>
      </c>
    </row>
    <row r="608" ht="15.75" customHeight="1">
      <c r="A608" s="25" t="s">
        <v>2004</v>
      </c>
      <c r="B608" s="25" t="s">
        <v>139</v>
      </c>
      <c r="C608" s="69">
        <v>45474.0</v>
      </c>
      <c r="D608" s="21" t="s">
        <v>140</v>
      </c>
      <c r="E608" s="25">
        <v>0.0</v>
      </c>
      <c r="F608" s="21">
        <v>30000.0</v>
      </c>
      <c r="G608" s="21">
        <f t="shared" si="1"/>
        <v>0</v>
      </c>
      <c r="H608" s="21" t="s">
        <v>758</v>
      </c>
      <c r="I608" s="21" t="s">
        <v>550</v>
      </c>
      <c r="J608" s="25" t="s">
        <v>71</v>
      </c>
    </row>
    <row r="609" ht="15.75" customHeight="1">
      <c r="A609" s="25" t="s">
        <v>2006</v>
      </c>
      <c r="B609" s="25" t="s">
        <v>139</v>
      </c>
      <c r="C609" s="69">
        <v>45505.0</v>
      </c>
      <c r="D609" s="21" t="s">
        <v>140</v>
      </c>
      <c r="E609" s="25">
        <v>1.0</v>
      </c>
      <c r="F609" s="21">
        <v>30000.0</v>
      </c>
      <c r="G609" s="21">
        <f t="shared" si="1"/>
        <v>30000</v>
      </c>
      <c r="H609" s="21" t="s">
        <v>758</v>
      </c>
      <c r="I609" s="21" t="s">
        <v>550</v>
      </c>
      <c r="J609" s="25" t="s">
        <v>71</v>
      </c>
    </row>
    <row r="610" ht="15.75" customHeight="1">
      <c r="A610" s="25" t="s">
        <v>2007</v>
      </c>
      <c r="B610" s="25" t="s">
        <v>139</v>
      </c>
      <c r="C610" s="69">
        <v>45536.0</v>
      </c>
      <c r="D610" s="21" t="s">
        <v>140</v>
      </c>
      <c r="E610" s="25">
        <v>0.0</v>
      </c>
      <c r="F610" s="21">
        <v>30000.0</v>
      </c>
      <c r="G610" s="21">
        <f t="shared" si="1"/>
        <v>0</v>
      </c>
      <c r="H610" s="21" t="s">
        <v>758</v>
      </c>
      <c r="I610" s="21" t="s">
        <v>550</v>
      </c>
      <c r="J610" s="25" t="s">
        <v>71</v>
      </c>
    </row>
    <row r="611" ht="15.75" customHeight="1">
      <c r="A611" s="25" t="s">
        <v>2008</v>
      </c>
      <c r="B611" s="25" t="s">
        <v>139</v>
      </c>
      <c r="C611" s="69">
        <v>45566.0</v>
      </c>
      <c r="D611" s="21" t="s">
        <v>140</v>
      </c>
      <c r="E611" s="25">
        <v>2.0</v>
      </c>
      <c r="F611" s="21">
        <v>30000.0</v>
      </c>
      <c r="G611" s="21">
        <f t="shared" si="1"/>
        <v>60000</v>
      </c>
      <c r="H611" s="21" t="s">
        <v>758</v>
      </c>
      <c r="I611" s="21" t="s">
        <v>550</v>
      </c>
      <c r="J611" s="25" t="s">
        <v>71</v>
      </c>
    </row>
    <row r="612" ht="15.75" customHeight="1">
      <c r="A612" s="25" t="s">
        <v>2009</v>
      </c>
      <c r="B612" s="25" t="s">
        <v>139</v>
      </c>
      <c r="C612" s="69">
        <v>45597.0</v>
      </c>
      <c r="D612" s="21" t="s">
        <v>140</v>
      </c>
      <c r="E612" s="25">
        <v>1.0</v>
      </c>
      <c r="F612" s="21">
        <v>30000.0</v>
      </c>
      <c r="G612" s="21">
        <f t="shared" si="1"/>
        <v>30000</v>
      </c>
      <c r="H612" s="21" t="s">
        <v>758</v>
      </c>
      <c r="I612" s="21" t="s">
        <v>550</v>
      </c>
      <c r="J612" s="25" t="s">
        <v>71</v>
      </c>
    </row>
    <row r="613" ht="15.75" customHeight="1">
      <c r="A613" s="25" t="s">
        <v>2010</v>
      </c>
      <c r="B613" s="25" t="s">
        <v>139</v>
      </c>
      <c r="C613" s="69">
        <v>45627.0</v>
      </c>
      <c r="D613" s="21" t="s">
        <v>140</v>
      </c>
      <c r="E613" s="25">
        <v>0.0</v>
      </c>
      <c r="F613" s="21">
        <v>30000.0</v>
      </c>
      <c r="G613" s="21">
        <f t="shared" si="1"/>
        <v>0</v>
      </c>
      <c r="H613" s="21" t="s">
        <v>758</v>
      </c>
      <c r="I613" s="21" t="s">
        <v>550</v>
      </c>
      <c r="J613" s="25" t="s">
        <v>71</v>
      </c>
    </row>
    <row r="614" ht="15.75" customHeight="1">
      <c r="A614" s="25" t="s">
        <v>2011</v>
      </c>
      <c r="B614" s="25" t="s">
        <v>150</v>
      </c>
      <c r="C614" s="69">
        <v>45292.0</v>
      </c>
      <c r="D614" s="21" t="s">
        <v>151</v>
      </c>
      <c r="E614" s="25">
        <v>2.0</v>
      </c>
      <c r="F614" s="21">
        <v>30000.0</v>
      </c>
      <c r="G614" s="21">
        <f t="shared" si="1"/>
        <v>60000</v>
      </c>
      <c r="H614" s="21" t="s">
        <v>758</v>
      </c>
      <c r="I614" s="21" t="s">
        <v>550</v>
      </c>
      <c r="J614" s="25" t="s">
        <v>71</v>
      </c>
    </row>
    <row r="615" ht="15.75" customHeight="1">
      <c r="A615" s="25" t="s">
        <v>2012</v>
      </c>
      <c r="B615" s="25" t="s">
        <v>150</v>
      </c>
      <c r="C615" s="69">
        <v>45323.0</v>
      </c>
      <c r="D615" s="21" t="s">
        <v>151</v>
      </c>
      <c r="E615" s="25">
        <v>1.0</v>
      </c>
      <c r="F615" s="21">
        <v>30000.0</v>
      </c>
      <c r="G615" s="21">
        <f t="shared" si="1"/>
        <v>30000</v>
      </c>
      <c r="H615" s="21" t="s">
        <v>758</v>
      </c>
      <c r="I615" s="21" t="s">
        <v>550</v>
      </c>
      <c r="J615" s="25" t="s">
        <v>71</v>
      </c>
    </row>
    <row r="616" ht="15.75" customHeight="1">
      <c r="A616" s="25" t="s">
        <v>2013</v>
      </c>
      <c r="B616" s="25" t="s">
        <v>150</v>
      </c>
      <c r="C616" s="69">
        <v>45352.0</v>
      </c>
      <c r="D616" s="21" t="s">
        <v>151</v>
      </c>
      <c r="E616" s="25">
        <v>0.0</v>
      </c>
      <c r="F616" s="21">
        <v>30000.0</v>
      </c>
      <c r="G616" s="21">
        <f t="shared" si="1"/>
        <v>0</v>
      </c>
      <c r="H616" s="21" t="s">
        <v>758</v>
      </c>
      <c r="I616" s="21" t="s">
        <v>550</v>
      </c>
      <c r="J616" s="25" t="s">
        <v>71</v>
      </c>
    </row>
    <row r="617" ht="15.75" customHeight="1">
      <c r="A617" s="25" t="s">
        <v>2014</v>
      </c>
      <c r="B617" s="25" t="s">
        <v>150</v>
      </c>
      <c r="C617" s="69">
        <v>45383.0</v>
      </c>
      <c r="D617" s="21" t="s">
        <v>151</v>
      </c>
      <c r="E617" s="25">
        <v>2.0</v>
      </c>
      <c r="F617" s="21">
        <v>30000.0</v>
      </c>
      <c r="G617" s="21">
        <f t="shared" si="1"/>
        <v>60000</v>
      </c>
      <c r="H617" s="21" t="s">
        <v>758</v>
      </c>
      <c r="I617" s="21" t="s">
        <v>550</v>
      </c>
      <c r="J617" s="25" t="s">
        <v>71</v>
      </c>
    </row>
    <row r="618" ht="15.75" customHeight="1">
      <c r="A618" s="25" t="s">
        <v>2015</v>
      </c>
      <c r="B618" s="25" t="s">
        <v>150</v>
      </c>
      <c r="C618" s="69">
        <v>45413.0</v>
      </c>
      <c r="D618" s="21" t="s">
        <v>151</v>
      </c>
      <c r="E618" s="25">
        <v>1.0</v>
      </c>
      <c r="F618" s="21">
        <v>30000.0</v>
      </c>
      <c r="G618" s="21">
        <f t="shared" si="1"/>
        <v>30000</v>
      </c>
      <c r="H618" s="21" t="s">
        <v>758</v>
      </c>
      <c r="I618" s="21" t="s">
        <v>550</v>
      </c>
      <c r="J618" s="25" t="s">
        <v>71</v>
      </c>
    </row>
    <row r="619" ht="15.75" customHeight="1">
      <c r="A619" s="25" t="s">
        <v>2016</v>
      </c>
      <c r="B619" s="25" t="s">
        <v>150</v>
      </c>
      <c r="C619" s="69">
        <v>45444.0</v>
      </c>
      <c r="D619" s="21" t="s">
        <v>151</v>
      </c>
      <c r="E619" s="25">
        <v>2.0</v>
      </c>
      <c r="F619" s="21">
        <v>30000.0</v>
      </c>
      <c r="G619" s="21">
        <f t="shared" si="1"/>
        <v>60000</v>
      </c>
      <c r="H619" s="21" t="s">
        <v>758</v>
      </c>
      <c r="I619" s="21" t="s">
        <v>550</v>
      </c>
      <c r="J619" s="25" t="s">
        <v>71</v>
      </c>
    </row>
    <row r="620" ht="15.75" customHeight="1">
      <c r="A620" s="25" t="s">
        <v>2017</v>
      </c>
      <c r="B620" s="25" t="s">
        <v>150</v>
      </c>
      <c r="C620" s="69">
        <v>45474.0</v>
      </c>
      <c r="D620" s="21" t="s">
        <v>151</v>
      </c>
      <c r="E620" s="25">
        <v>0.0</v>
      </c>
      <c r="F620" s="21">
        <v>30000.0</v>
      </c>
      <c r="G620" s="21">
        <f t="shared" si="1"/>
        <v>0</v>
      </c>
      <c r="H620" s="21" t="s">
        <v>758</v>
      </c>
      <c r="I620" s="21" t="s">
        <v>550</v>
      </c>
      <c r="J620" s="25" t="s">
        <v>71</v>
      </c>
    </row>
    <row r="621" ht="15.75" customHeight="1">
      <c r="A621" s="25" t="s">
        <v>2018</v>
      </c>
      <c r="B621" s="25" t="s">
        <v>150</v>
      </c>
      <c r="C621" s="69">
        <v>45505.0</v>
      </c>
      <c r="D621" s="21" t="s">
        <v>151</v>
      </c>
      <c r="E621" s="25">
        <v>0.0</v>
      </c>
      <c r="F621" s="21">
        <v>30000.0</v>
      </c>
      <c r="G621" s="21">
        <f t="shared" si="1"/>
        <v>0</v>
      </c>
      <c r="H621" s="21" t="s">
        <v>758</v>
      </c>
      <c r="I621" s="21" t="s">
        <v>550</v>
      </c>
      <c r="J621" s="25" t="s">
        <v>71</v>
      </c>
    </row>
    <row r="622" ht="15.75" customHeight="1">
      <c r="A622" s="25" t="s">
        <v>2019</v>
      </c>
      <c r="B622" s="25" t="s">
        <v>150</v>
      </c>
      <c r="C622" s="69">
        <v>45536.0</v>
      </c>
      <c r="D622" s="21" t="s">
        <v>151</v>
      </c>
      <c r="E622" s="25">
        <v>0.0</v>
      </c>
      <c r="F622" s="21">
        <v>30000.0</v>
      </c>
      <c r="G622" s="21">
        <f t="shared" si="1"/>
        <v>0</v>
      </c>
      <c r="H622" s="21" t="s">
        <v>758</v>
      </c>
      <c r="I622" s="21" t="s">
        <v>550</v>
      </c>
      <c r="J622" s="25" t="s">
        <v>71</v>
      </c>
    </row>
    <row r="623" ht="15.75" customHeight="1">
      <c r="A623" s="25" t="s">
        <v>2020</v>
      </c>
      <c r="B623" s="25" t="s">
        <v>150</v>
      </c>
      <c r="C623" s="69">
        <v>45566.0</v>
      </c>
      <c r="D623" s="21" t="s">
        <v>151</v>
      </c>
      <c r="E623" s="25">
        <v>0.0</v>
      </c>
      <c r="F623" s="21">
        <v>30000.0</v>
      </c>
      <c r="G623" s="21">
        <f t="shared" si="1"/>
        <v>0</v>
      </c>
      <c r="H623" s="21" t="s">
        <v>758</v>
      </c>
      <c r="I623" s="21" t="s">
        <v>550</v>
      </c>
      <c r="J623" s="25" t="s">
        <v>71</v>
      </c>
    </row>
    <row r="624" ht="15.75" customHeight="1">
      <c r="A624" s="25" t="s">
        <v>2021</v>
      </c>
      <c r="B624" s="25" t="s">
        <v>150</v>
      </c>
      <c r="C624" s="69">
        <v>45597.0</v>
      </c>
      <c r="D624" s="21" t="s">
        <v>151</v>
      </c>
      <c r="E624" s="25">
        <v>1.0</v>
      </c>
      <c r="F624" s="21">
        <v>30000.0</v>
      </c>
      <c r="G624" s="21">
        <f t="shared" si="1"/>
        <v>30000</v>
      </c>
      <c r="H624" s="21" t="s">
        <v>758</v>
      </c>
      <c r="I624" s="21" t="s">
        <v>550</v>
      </c>
      <c r="J624" s="25" t="s">
        <v>71</v>
      </c>
    </row>
    <row r="625" ht="15.75" customHeight="1">
      <c r="A625" s="25" t="s">
        <v>2022</v>
      </c>
      <c r="B625" s="25" t="s">
        <v>150</v>
      </c>
      <c r="C625" s="69">
        <v>45627.0</v>
      </c>
      <c r="D625" s="21" t="s">
        <v>151</v>
      </c>
      <c r="E625" s="25">
        <v>0.0</v>
      </c>
      <c r="F625" s="21">
        <v>30000.0</v>
      </c>
      <c r="G625" s="21">
        <f t="shared" si="1"/>
        <v>0</v>
      </c>
      <c r="H625" s="21" t="s">
        <v>758</v>
      </c>
      <c r="I625" s="21" t="s">
        <v>550</v>
      </c>
      <c r="J625" s="25" t="s">
        <v>71</v>
      </c>
    </row>
    <row r="626" ht="15.75" customHeight="1">
      <c r="A626" s="25" t="s">
        <v>2023</v>
      </c>
      <c r="B626" s="25" t="s">
        <v>163</v>
      </c>
      <c r="C626" s="69">
        <v>45292.0</v>
      </c>
      <c r="D626" s="21" t="s">
        <v>165</v>
      </c>
      <c r="E626" s="25">
        <v>1.0</v>
      </c>
      <c r="F626" s="21">
        <v>49500.0</v>
      </c>
      <c r="G626" s="21">
        <f t="shared" si="1"/>
        <v>49500</v>
      </c>
      <c r="H626" s="21" t="s">
        <v>549</v>
      </c>
      <c r="I626" s="21" t="s">
        <v>550</v>
      </c>
      <c r="J626" s="25" t="s">
        <v>71</v>
      </c>
    </row>
    <row r="627" ht="15.75" customHeight="1">
      <c r="A627" s="25" t="s">
        <v>2024</v>
      </c>
      <c r="B627" s="25" t="s">
        <v>163</v>
      </c>
      <c r="C627" s="69">
        <v>45323.0</v>
      </c>
      <c r="D627" s="21" t="s">
        <v>165</v>
      </c>
      <c r="E627" s="25">
        <v>0.0</v>
      </c>
      <c r="F627" s="21">
        <v>49500.0</v>
      </c>
      <c r="G627" s="21">
        <f t="shared" si="1"/>
        <v>0</v>
      </c>
      <c r="H627" s="21" t="s">
        <v>549</v>
      </c>
      <c r="I627" s="21" t="s">
        <v>550</v>
      </c>
      <c r="J627" s="25" t="s">
        <v>71</v>
      </c>
    </row>
    <row r="628" ht="15.75" customHeight="1">
      <c r="A628" s="25" t="s">
        <v>2025</v>
      </c>
      <c r="B628" s="25" t="s">
        <v>163</v>
      </c>
      <c r="C628" s="69">
        <v>45352.0</v>
      </c>
      <c r="D628" s="21" t="s">
        <v>165</v>
      </c>
      <c r="E628" s="25">
        <v>1.0</v>
      </c>
      <c r="F628" s="21">
        <v>49500.0</v>
      </c>
      <c r="G628" s="21">
        <f t="shared" si="1"/>
        <v>49500</v>
      </c>
      <c r="H628" s="21" t="s">
        <v>549</v>
      </c>
      <c r="I628" s="21" t="s">
        <v>550</v>
      </c>
      <c r="J628" s="25" t="s">
        <v>71</v>
      </c>
    </row>
    <row r="629" ht="15.75" customHeight="1">
      <c r="A629" s="25" t="s">
        <v>2026</v>
      </c>
      <c r="B629" s="25" t="s">
        <v>163</v>
      </c>
      <c r="C629" s="69">
        <v>45383.0</v>
      </c>
      <c r="D629" s="21" t="s">
        <v>165</v>
      </c>
      <c r="E629" s="25">
        <v>0.0</v>
      </c>
      <c r="F629" s="21">
        <v>49500.0</v>
      </c>
      <c r="G629" s="21">
        <f t="shared" si="1"/>
        <v>0</v>
      </c>
      <c r="H629" s="21" t="s">
        <v>549</v>
      </c>
      <c r="I629" s="21" t="s">
        <v>550</v>
      </c>
      <c r="J629" s="25" t="s">
        <v>71</v>
      </c>
    </row>
    <row r="630" ht="15.75" customHeight="1">
      <c r="A630" s="25" t="s">
        <v>2027</v>
      </c>
      <c r="B630" s="25" t="s">
        <v>163</v>
      </c>
      <c r="C630" s="69">
        <v>45413.0</v>
      </c>
      <c r="D630" s="21" t="s">
        <v>165</v>
      </c>
      <c r="E630" s="25">
        <v>0.0</v>
      </c>
      <c r="F630" s="21">
        <v>49500.0</v>
      </c>
      <c r="G630" s="21">
        <f t="shared" si="1"/>
        <v>0</v>
      </c>
      <c r="H630" s="21" t="s">
        <v>549</v>
      </c>
      <c r="I630" s="21" t="s">
        <v>550</v>
      </c>
      <c r="J630" s="25" t="s">
        <v>71</v>
      </c>
    </row>
    <row r="631" ht="15.75" customHeight="1">
      <c r="A631" s="25" t="s">
        <v>2028</v>
      </c>
      <c r="B631" s="25" t="s">
        <v>163</v>
      </c>
      <c r="C631" s="69">
        <v>45444.0</v>
      </c>
      <c r="D631" s="21" t="s">
        <v>165</v>
      </c>
      <c r="E631" s="25">
        <v>3.0</v>
      </c>
      <c r="F631" s="21">
        <v>49500.0</v>
      </c>
      <c r="G631" s="21">
        <f t="shared" si="1"/>
        <v>148500</v>
      </c>
      <c r="H631" s="21" t="s">
        <v>549</v>
      </c>
      <c r="I631" s="21" t="s">
        <v>550</v>
      </c>
      <c r="J631" s="25" t="s">
        <v>71</v>
      </c>
    </row>
    <row r="632" ht="15.75" customHeight="1">
      <c r="A632" s="25" t="s">
        <v>2029</v>
      </c>
      <c r="B632" s="25" t="s">
        <v>163</v>
      </c>
      <c r="C632" s="69">
        <v>45474.0</v>
      </c>
      <c r="D632" s="21" t="s">
        <v>165</v>
      </c>
      <c r="E632" s="25">
        <v>0.0</v>
      </c>
      <c r="F632" s="21">
        <v>49500.0</v>
      </c>
      <c r="G632" s="21">
        <f t="shared" si="1"/>
        <v>0</v>
      </c>
      <c r="H632" s="21" t="s">
        <v>549</v>
      </c>
      <c r="I632" s="21" t="s">
        <v>550</v>
      </c>
      <c r="J632" s="25" t="s">
        <v>71</v>
      </c>
    </row>
    <row r="633" ht="15.75" customHeight="1">
      <c r="A633" s="25" t="s">
        <v>2030</v>
      </c>
      <c r="B633" s="25" t="s">
        <v>163</v>
      </c>
      <c r="C633" s="69">
        <v>45505.0</v>
      </c>
      <c r="D633" s="21" t="s">
        <v>165</v>
      </c>
      <c r="E633" s="25">
        <v>1.0</v>
      </c>
      <c r="F633" s="21">
        <v>49500.0</v>
      </c>
      <c r="G633" s="21">
        <f t="shared" si="1"/>
        <v>49500</v>
      </c>
      <c r="H633" s="21" t="s">
        <v>549</v>
      </c>
      <c r="I633" s="21" t="s">
        <v>550</v>
      </c>
      <c r="J633" s="25" t="s">
        <v>71</v>
      </c>
    </row>
    <row r="634" ht="15.75" customHeight="1">
      <c r="A634" s="25" t="s">
        <v>2031</v>
      </c>
      <c r="B634" s="25" t="s">
        <v>163</v>
      </c>
      <c r="C634" s="69">
        <v>45536.0</v>
      </c>
      <c r="D634" s="21" t="s">
        <v>165</v>
      </c>
      <c r="E634" s="25">
        <v>0.0</v>
      </c>
      <c r="F634" s="21">
        <v>49500.0</v>
      </c>
      <c r="G634" s="21">
        <f t="shared" si="1"/>
        <v>0</v>
      </c>
      <c r="H634" s="21" t="s">
        <v>549</v>
      </c>
      <c r="I634" s="21" t="s">
        <v>550</v>
      </c>
      <c r="J634" s="25" t="s">
        <v>71</v>
      </c>
    </row>
    <row r="635" ht="15.75" customHeight="1">
      <c r="A635" s="25" t="s">
        <v>2032</v>
      </c>
      <c r="B635" s="25" t="s">
        <v>163</v>
      </c>
      <c r="C635" s="69">
        <v>45566.0</v>
      </c>
      <c r="D635" s="21" t="s">
        <v>165</v>
      </c>
      <c r="E635" s="25">
        <v>2.0</v>
      </c>
      <c r="F635" s="21">
        <v>49500.0</v>
      </c>
      <c r="G635" s="21">
        <f t="shared" si="1"/>
        <v>99000</v>
      </c>
      <c r="H635" s="21" t="s">
        <v>549</v>
      </c>
      <c r="I635" s="21" t="s">
        <v>550</v>
      </c>
      <c r="J635" s="25" t="s">
        <v>71</v>
      </c>
    </row>
    <row r="636" ht="15.75" customHeight="1">
      <c r="A636" s="25" t="s">
        <v>2033</v>
      </c>
      <c r="B636" s="25" t="s">
        <v>163</v>
      </c>
      <c r="C636" s="69">
        <v>45597.0</v>
      </c>
      <c r="D636" s="21" t="s">
        <v>165</v>
      </c>
      <c r="E636" s="25">
        <v>0.0</v>
      </c>
      <c r="F636" s="21">
        <v>49500.0</v>
      </c>
      <c r="G636" s="21">
        <f t="shared" si="1"/>
        <v>0</v>
      </c>
      <c r="H636" s="21" t="s">
        <v>549</v>
      </c>
      <c r="I636" s="21" t="s">
        <v>550</v>
      </c>
      <c r="J636" s="25" t="s">
        <v>71</v>
      </c>
    </row>
    <row r="637" ht="15.75" customHeight="1">
      <c r="A637" s="25" t="s">
        <v>2034</v>
      </c>
      <c r="B637" s="25" t="s">
        <v>163</v>
      </c>
      <c r="C637" s="69">
        <v>45627.0</v>
      </c>
      <c r="D637" s="21" t="s">
        <v>165</v>
      </c>
      <c r="E637" s="25">
        <v>0.0</v>
      </c>
      <c r="F637" s="21">
        <v>49500.0</v>
      </c>
      <c r="G637" s="21">
        <f t="shared" si="1"/>
        <v>0</v>
      </c>
      <c r="H637" s="21" t="s">
        <v>549</v>
      </c>
      <c r="I637" s="21" t="s">
        <v>550</v>
      </c>
      <c r="J637" s="25" t="s">
        <v>71</v>
      </c>
    </row>
    <row r="638" ht="15.75" customHeight="1">
      <c r="A638" s="25" t="s">
        <v>2035</v>
      </c>
      <c r="B638" s="25" t="s">
        <v>175</v>
      </c>
      <c r="C638" s="69">
        <v>45292.0</v>
      </c>
      <c r="D638" s="21" t="s">
        <v>176</v>
      </c>
      <c r="E638" s="25">
        <v>4.0</v>
      </c>
      <c r="F638" s="21">
        <v>49500.0</v>
      </c>
      <c r="G638" s="21">
        <f t="shared" si="1"/>
        <v>198000</v>
      </c>
      <c r="H638" s="21" t="s">
        <v>549</v>
      </c>
      <c r="I638" s="21" t="s">
        <v>550</v>
      </c>
      <c r="J638" s="25" t="s">
        <v>71</v>
      </c>
    </row>
    <row r="639" ht="15.75" customHeight="1">
      <c r="A639" s="25" t="s">
        <v>2036</v>
      </c>
      <c r="B639" s="25" t="s">
        <v>175</v>
      </c>
      <c r="C639" s="69">
        <v>45323.0</v>
      </c>
      <c r="D639" s="21" t="s">
        <v>176</v>
      </c>
      <c r="E639" s="25">
        <v>0.0</v>
      </c>
      <c r="F639" s="21">
        <v>49500.0</v>
      </c>
      <c r="G639" s="21">
        <f t="shared" si="1"/>
        <v>0</v>
      </c>
      <c r="H639" s="21" t="s">
        <v>549</v>
      </c>
      <c r="I639" s="21" t="s">
        <v>550</v>
      </c>
      <c r="J639" s="25" t="s">
        <v>71</v>
      </c>
    </row>
    <row r="640" ht="15.75" customHeight="1">
      <c r="A640" s="25" t="s">
        <v>2037</v>
      </c>
      <c r="B640" s="25" t="s">
        <v>175</v>
      </c>
      <c r="C640" s="69">
        <v>45352.0</v>
      </c>
      <c r="D640" s="21" t="s">
        <v>176</v>
      </c>
      <c r="E640" s="25">
        <v>4.0</v>
      </c>
      <c r="F640" s="21">
        <v>49500.0</v>
      </c>
      <c r="G640" s="21">
        <f t="shared" si="1"/>
        <v>198000</v>
      </c>
      <c r="H640" s="21" t="s">
        <v>549</v>
      </c>
      <c r="I640" s="21" t="s">
        <v>550</v>
      </c>
      <c r="J640" s="25" t="s">
        <v>71</v>
      </c>
    </row>
    <row r="641" ht="15.75" customHeight="1">
      <c r="A641" s="25" t="s">
        <v>2038</v>
      </c>
      <c r="B641" s="25" t="s">
        <v>175</v>
      </c>
      <c r="C641" s="69">
        <v>45383.0</v>
      </c>
      <c r="D641" s="21" t="s">
        <v>176</v>
      </c>
      <c r="E641" s="25">
        <v>1.0</v>
      </c>
      <c r="F641" s="21">
        <v>49500.0</v>
      </c>
      <c r="G641" s="21">
        <f t="shared" si="1"/>
        <v>49500</v>
      </c>
      <c r="H641" s="21" t="s">
        <v>549</v>
      </c>
      <c r="I641" s="21" t="s">
        <v>550</v>
      </c>
      <c r="J641" s="25" t="s">
        <v>71</v>
      </c>
    </row>
    <row r="642" ht="15.75" customHeight="1">
      <c r="A642" s="25" t="s">
        <v>2039</v>
      </c>
      <c r="B642" s="25" t="s">
        <v>175</v>
      </c>
      <c r="C642" s="69">
        <v>45413.0</v>
      </c>
      <c r="D642" s="21" t="s">
        <v>176</v>
      </c>
      <c r="E642" s="25">
        <v>5.0</v>
      </c>
      <c r="F642" s="21">
        <v>49500.0</v>
      </c>
      <c r="G642" s="21">
        <f t="shared" si="1"/>
        <v>247500</v>
      </c>
      <c r="H642" s="21" t="s">
        <v>549</v>
      </c>
      <c r="I642" s="21" t="s">
        <v>550</v>
      </c>
      <c r="J642" s="25" t="s">
        <v>71</v>
      </c>
    </row>
    <row r="643" ht="15.75" customHeight="1">
      <c r="A643" s="25" t="s">
        <v>2040</v>
      </c>
      <c r="B643" s="25" t="s">
        <v>175</v>
      </c>
      <c r="C643" s="69">
        <v>45444.0</v>
      </c>
      <c r="D643" s="21" t="s">
        <v>176</v>
      </c>
      <c r="E643" s="25">
        <v>5.0</v>
      </c>
      <c r="F643" s="21">
        <v>49500.0</v>
      </c>
      <c r="G643" s="21">
        <f t="shared" si="1"/>
        <v>247500</v>
      </c>
      <c r="H643" s="21" t="s">
        <v>549</v>
      </c>
      <c r="I643" s="21" t="s">
        <v>550</v>
      </c>
      <c r="J643" s="25" t="s">
        <v>71</v>
      </c>
    </row>
    <row r="644" ht="15.75" customHeight="1">
      <c r="A644" s="25" t="s">
        <v>2041</v>
      </c>
      <c r="B644" s="25" t="s">
        <v>175</v>
      </c>
      <c r="C644" s="69">
        <v>45474.0</v>
      </c>
      <c r="D644" s="21" t="s">
        <v>176</v>
      </c>
      <c r="E644" s="25">
        <v>1.0</v>
      </c>
      <c r="F644" s="21">
        <v>49500.0</v>
      </c>
      <c r="G644" s="21">
        <f t="shared" si="1"/>
        <v>49500</v>
      </c>
      <c r="H644" s="21" t="s">
        <v>549</v>
      </c>
      <c r="I644" s="21" t="s">
        <v>550</v>
      </c>
      <c r="J644" s="25" t="s">
        <v>71</v>
      </c>
    </row>
    <row r="645" ht="15.75" customHeight="1">
      <c r="A645" s="25" t="s">
        <v>2042</v>
      </c>
      <c r="B645" s="25" t="s">
        <v>175</v>
      </c>
      <c r="C645" s="69">
        <v>45505.0</v>
      </c>
      <c r="D645" s="21" t="s">
        <v>176</v>
      </c>
      <c r="E645" s="25">
        <v>3.0</v>
      </c>
      <c r="F645" s="21">
        <v>49500.0</v>
      </c>
      <c r="G645" s="21">
        <f t="shared" si="1"/>
        <v>148500</v>
      </c>
      <c r="H645" s="21" t="s">
        <v>549</v>
      </c>
      <c r="I645" s="21" t="s">
        <v>550</v>
      </c>
      <c r="J645" s="25" t="s">
        <v>71</v>
      </c>
    </row>
    <row r="646" ht="15.75" customHeight="1">
      <c r="A646" s="25" t="s">
        <v>2043</v>
      </c>
      <c r="B646" s="25" t="s">
        <v>175</v>
      </c>
      <c r="C646" s="69">
        <v>45536.0</v>
      </c>
      <c r="D646" s="21" t="s">
        <v>176</v>
      </c>
      <c r="E646" s="25">
        <v>5.0</v>
      </c>
      <c r="F646" s="21">
        <v>49500.0</v>
      </c>
      <c r="G646" s="21">
        <f t="shared" si="1"/>
        <v>247500</v>
      </c>
      <c r="H646" s="21" t="s">
        <v>549</v>
      </c>
      <c r="I646" s="21" t="s">
        <v>550</v>
      </c>
      <c r="J646" s="25" t="s">
        <v>71</v>
      </c>
    </row>
    <row r="647" ht="15.75" customHeight="1">
      <c r="A647" s="25" t="s">
        <v>2044</v>
      </c>
      <c r="B647" s="25" t="s">
        <v>175</v>
      </c>
      <c r="C647" s="69">
        <v>45566.0</v>
      </c>
      <c r="D647" s="21" t="s">
        <v>176</v>
      </c>
      <c r="E647" s="25">
        <v>0.0</v>
      </c>
      <c r="F647" s="21">
        <v>49500.0</v>
      </c>
      <c r="G647" s="21">
        <f t="shared" si="1"/>
        <v>0</v>
      </c>
      <c r="H647" s="21" t="s">
        <v>549</v>
      </c>
      <c r="I647" s="21" t="s">
        <v>550</v>
      </c>
      <c r="J647" s="25" t="s">
        <v>71</v>
      </c>
    </row>
    <row r="648" ht="15.75" customHeight="1">
      <c r="A648" s="25" t="s">
        <v>2045</v>
      </c>
      <c r="B648" s="25" t="s">
        <v>175</v>
      </c>
      <c r="C648" s="69">
        <v>45597.0</v>
      </c>
      <c r="D648" s="21" t="s">
        <v>176</v>
      </c>
      <c r="E648" s="25">
        <v>3.0</v>
      </c>
      <c r="F648" s="21">
        <v>49500.0</v>
      </c>
      <c r="G648" s="21">
        <f t="shared" si="1"/>
        <v>148500</v>
      </c>
      <c r="H648" s="21" t="s">
        <v>549</v>
      </c>
      <c r="I648" s="21" t="s">
        <v>550</v>
      </c>
      <c r="J648" s="25" t="s">
        <v>71</v>
      </c>
    </row>
    <row r="649" ht="15.75" customHeight="1">
      <c r="A649" s="25" t="s">
        <v>2046</v>
      </c>
      <c r="B649" s="25" t="s">
        <v>175</v>
      </c>
      <c r="C649" s="69">
        <v>45627.0</v>
      </c>
      <c r="D649" s="21" t="s">
        <v>176</v>
      </c>
      <c r="E649" s="25">
        <v>0.0</v>
      </c>
      <c r="F649" s="21">
        <v>49500.0</v>
      </c>
      <c r="G649" s="21">
        <f t="shared" si="1"/>
        <v>0</v>
      </c>
      <c r="H649" s="21" t="s">
        <v>549</v>
      </c>
      <c r="I649" s="21" t="s">
        <v>550</v>
      </c>
      <c r="J649" s="25" t="s">
        <v>71</v>
      </c>
    </row>
    <row r="650" ht="15.75" customHeight="1">
      <c r="A650" s="25" t="s">
        <v>2047</v>
      </c>
      <c r="B650" s="25" t="s">
        <v>188</v>
      </c>
      <c r="C650" s="69">
        <v>45292.0</v>
      </c>
      <c r="D650" s="21" t="s">
        <v>189</v>
      </c>
      <c r="E650" s="25">
        <v>1.0</v>
      </c>
      <c r="F650" s="21">
        <v>49500.0</v>
      </c>
      <c r="G650" s="21">
        <f t="shared" si="1"/>
        <v>49500</v>
      </c>
      <c r="H650" s="21" t="s">
        <v>549</v>
      </c>
      <c r="I650" s="21" t="s">
        <v>550</v>
      </c>
      <c r="J650" s="25" t="s">
        <v>71</v>
      </c>
    </row>
    <row r="651" ht="15.75" customHeight="1">
      <c r="A651" s="25" t="s">
        <v>2048</v>
      </c>
      <c r="B651" s="25" t="s">
        <v>188</v>
      </c>
      <c r="C651" s="69">
        <v>45323.0</v>
      </c>
      <c r="D651" s="21" t="s">
        <v>189</v>
      </c>
      <c r="E651" s="25">
        <v>0.0</v>
      </c>
      <c r="F651" s="21">
        <v>49500.0</v>
      </c>
      <c r="G651" s="21">
        <f t="shared" si="1"/>
        <v>0</v>
      </c>
      <c r="H651" s="21" t="s">
        <v>549</v>
      </c>
      <c r="I651" s="21" t="s">
        <v>550</v>
      </c>
      <c r="J651" s="25" t="s">
        <v>71</v>
      </c>
    </row>
    <row r="652" ht="15.75" customHeight="1">
      <c r="A652" s="25" t="s">
        <v>2049</v>
      </c>
      <c r="B652" s="25" t="s">
        <v>188</v>
      </c>
      <c r="C652" s="69">
        <v>45352.0</v>
      </c>
      <c r="D652" s="21" t="s">
        <v>189</v>
      </c>
      <c r="E652" s="25">
        <v>1.0</v>
      </c>
      <c r="F652" s="21">
        <v>49500.0</v>
      </c>
      <c r="G652" s="21">
        <f t="shared" si="1"/>
        <v>49500</v>
      </c>
      <c r="H652" s="21" t="s">
        <v>549</v>
      </c>
      <c r="I652" s="21" t="s">
        <v>550</v>
      </c>
      <c r="J652" s="25" t="s">
        <v>71</v>
      </c>
    </row>
    <row r="653" ht="15.75" customHeight="1">
      <c r="A653" s="25" t="s">
        <v>2050</v>
      </c>
      <c r="B653" s="25" t="s">
        <v>188</v>
      </c>
      <c r="C653" s="69">
        <v>45383.0</v>
      </c>
      <c r="D653" s="21" t="s">
        <v>189</v>
      </c>
      <c r="E653" s="25">
        <v>0.0</v>
      </c>
      <c r="F653" s="21">
        <v>49500.0</v>
      </c>
      <c r="G653" s="21">
        <f t="shared" si="1"/>
        <v>0</v>
      </c>
      <c r="H653" s="21" t="s">
        <v>549</v>
      </c>
      <c r="I653" s="21" t="s">
        <v>550</v>
      </c>
      <c r="J653" s="25" t="s">
        <v>71</v>
      </c>
    </row>
    <row r="654" ht="15.75" customHeight="1">
      <c r="A654" s="25" t="s">
        <v>2051</v>
      </c>
      <c r="B654" s="25" t="s">
        <v>188</v>
      </c>
      <c r="C654" s="69">
        <v>45413.0</v>
      </c>
      <c r="D654" s="21" t="s">
        <v>189</v>
      </c>
      <c r="E654" s="25">
        <v>2.0</v>
      </c>
      <c r="F654" s="21">
        <v>49500.0</v>
      </c>
      <c r="G654" s="21">
        <f t="shared" si="1"/>
        <v>99000</v>
      </c>
      <c r="H654" s="21" t="s">
        <v>549</v>
      </c>
      <c r="I654" s="21" t="s">
        <v>550</v>
      </c>
      <c r="J654" s="25" t="s">
        <v>71</v>
      </c>
    </row>
    <row r="655" ht="15.75" customHeight="1">
      <c r="A655" s="25" t="s">
        <v>2052</v>
      </c>
      <c r="B655" s="25" t="s">
        <v>188</v>
      </c>
      <c r="C655" s="69">
        <v>45444.0</v>
      </c>
      <c r="D655" s="21" t="s">
        <v>189</v>
      </c>
      <c r="E655" s="25">
        <v>2.0</v>
      </c>
      <c r="F655" s="21">
        <v>49500.0</v>
      </c>
      <c r="G655" s="21">
        <f t="shared" si="1"/>
        <v>99000</v>
      </c>
      <c r="H655" s="21" t="s">
        <v>549</v>
      </c>
      <c r="I655" s="21" t="s">
        <v>550</v>
      </c>
      <c r="J655" s="25" t="s">
        <v>71</v>
      </c>
    </row>
    <row r="656" ht="15.75" customHeight="1">
      <c r="A656" s="25" t="s">
        <v>2053</v>
      </c>
      <c r="B656" s="25" t="s">
        <v>188</v>
      </c>
      <c r="C656" s="69">
        <v>45474.0</v>
      </c>
      <c r="D656" s="21" t="s">
        <v>189</v>
      </c>
      <c r="E656" s="25">
        <v>1.0</v>
      </c>
      <c r="F656" s="21">
        <v>49500.0</v>
      </c>
      <c r="G656" s="21">
        <f t="shared" si="1"/>
        <v>49500</v>
      </c>
      <c r="H656" s="21" t="s">
        <v>549</v>
      </c>
      <c r="I656" s="21" t="s">
        <v>550</v>
      </c>
      <c r="J656" s="25" t="s">
        <v>71</v>
      </c>
    </row>
    <row r="657" ht="15.75" customHeight="1">
      <c r="A657" s="25" t="s">
        <v>2054</v>
      </c>
      <c r="B657" s="25" t="s">
        <v>188</v>
      </c>
      <c r="C657" s="69">
        <v>45505.0</v>
      </c>
      <c r="D657" s="21" t="s">
        <v>189</v>
      </c>
      <c r="E657" s="25">
        <v>0.0</v>
      </c>
      <c r="F657" s="21">
        <v>49500.0</v>
      </c>
      <c r="G657" s="21">
        <f t="shared" si="1"/>
        <v>0</v>
      </c>
      <c r="H657" s="21" t="s">
        <v>549</v>
      </c>
      <c r="I657" s="21" t="s">
        <v>550</v>
      </c>
      <c r="J657" s="25" t="s">
        <v>71</v>
      </c>
    </row>
    <row r="658" ht="15.75" customHeight="1">
      <c r="A658" s="25" t="s">
        <v>2055</v>
      </c>
      <c r="B658" s="25" t="s">
        <v>188</v>
      </c>
      <c r="C658" s="69">
        <v>45536.0</v>
      </c>
      <c r="D658" s="21" t="s">
        <v>189</v>
      </c>
      <c r="E658" s="25">
        <v>3.0</v>
      </c>
      <c r="F658" s="21">
        <v>49500.0</v>
      </c>
      <c r="G658" s="21">
        <f t="shared" si="1"/>
        <v>148500</v>
      </c>
      <c r="H658" s="21" t="s">
        <v>549</v>
      </c>
      <c r="I658" s="21" t="s">
        <v>550</v>
      </c>
      <c r="J658" s="25" t="s">
        <v>71</v>
      </c>
    </row>
    <row r="659" ht="15.75" customHeight="1">
      <c r="A659" s="25" t="s">
        <v>2056</v>
      </c>
      <c r="B659" s="25" t="s">
        <v>188</v>
      </c>
      <c r="C659" s="69">
        <v>45566.0</v>
      </c>
      <c r="D659" s="21" t="s">
        <v>189</v>
      </c>
      <c r="E659" s="25">
        <v>1.0</v>
      </c>
      <c r="F659" s="21">
        <v>49500.0</v>
      </c>
      <c r="G659" s="21">
        <f t="shared" si="1"/>
        <v>49500</v>
      </c>
      <c r="H659" s="21" t="s">
        <v>549</v>
      </c>
      <c r="I659" s="21" t="s">
        <v>550</v>
      </c>
      <c r="J659" s="25" t="s">
        <v>71</v>
      </c>
    </row>
    <row r="660" ht="15.75" customHeight="1">
      <c r="A660" s="25" t="s">
        <v>2057</v>
      </c>
      <c r="B660" s="25" t="s">
        <v>188</v>
      </c>
      <c r="C660" s="69">
        <v>45597.0</v>
      </c>
      <c r="D660" s="21" t="s">
        <v>189</v>
      </c>
      <c r="E660" s="25">
        <v>0.0</v>
      </c>
      <c r="F660" s="21">
        <v>49500.0</v>
      </c>
      <c r="G660" s="21">
        <f t="shared" si="1"/>
        <v>0</v>
      </c>
      <c r="H660" s="21" t="s">
        <v>549</v>
      </c>
      <c r="I660" s="21" t="s">
        <v>550</v>
      </c>
      <c r="J660" s="25" t="s">
        <v>71</v>
      </c>
    </row>
    <row r="661" ht="15.75" customHeight="1">
      <c r="A661" s="25" t="s">
        <v>2058</v>
      </c>
      <c r="B661" s="25" t="s">
        <v>188</v>
      </c>
      <c r="C661" s="69">
        <v>45627.0</v>
      </c>
      <c r="D661" s="21" t="s">
        <v>189</v>
      </c>
      <c r="E661" s="25">
        <v>2.0</v>
      </c>
      <c r="F661" s="21">
        <v>49500.0</v>
      </c>
      <c r="G661" s="21">
        <f t="shared" si="1"/>
        <v>99000</v>
      </c>
      <c r="H661" s="21" t="s">
        <v>549</v>
      </c>
      <c r="I661" s="21" t="s">
        <v>550</v>
      </c>
      <c r="J661" s="25" t="s">
        <v>71</v>
      </c>
    </row>
    <row r="662" ht="15.75" customHeight="1">
      <c r="A662" s="25" t="s">
        <v>2059</v>
      </c>
      <c r="B662" s="25" t="s">
        <v>38</v>
      </c>
      <c r="C662" s="69">
        <v>45658.0</v>
      </c>
      <c r="D662" s="21" t="s">
        <v>41</v>
      </c>
      <c r="E662" s="25">
        <v>11.0</v>
      </c>
      <c r="F662" s="21">
        <v>45000.0</v>
      </c>
      <c r="G662" s="21">
        <f t="shared" si="1"/>
        <v>495000</v>
      </c>
      <c r="H662" s="21" t="s">
        <v>549</v>
      </c>
      <c r="I662" s="21" t="s">
        <v>550</v>
      </c>
      <c r="J662" s="25" t="s">
        <v>71</v>
      </c>
    </row>
    <row r="663" ht="15.75" customHeight="1">
      <c r="A663" s="25" t="s">
        <v>2060</v>
      </c>
      <c r="B663" s="25" t="s">
        <v>38</v>
      </c>
      <c r="C663" s="69">
        <v>45689.0</v>
      </c>
      <c r="D663" s="21" t="s">
        <v>41</v>
      </c>
      <c r="E663" s="25">
        <v>70.0</v>
      </c>
      <c r="F663" s="21">
        <v>45000.0</v>
      </c>
      <c r="G663" s="21">
        <f t="shared" si="1"/>
        <v>3150000</v>
      </c>
      <c r="H663" s="21" t="s">
        <v>549</v>
      </c>
      <c r="I663" s="21" t="s">
        <v>550</v>
      </c>
      <c r="J663" s="25" t="s">
        <v>71</v>
      </c>
    </row>
    <row r="664" ht="15.75" customHeight="1">
      <c r="A664" s="25" t="s">
        <v>2061</v>
      </c>
      <c r="B664" s="25" t="s">
        <v>38</v>
      </c>
      <c r="C664" s="69">
        <v>45717.0</v>
      </c>
      <c r="D664" s="21" t="s">
        <v>41</v>
      </c>
      <c r="E664" s="25">
        <v>24.0</v>
      </c>
      <c r="F664" s="21">
        <v>45000.0</v>
      </c>
      <c r="G664" s="21">
        <f t="shared" si="1"/>
        <v>1080000</v>
      </c>
      <c r="H664" s="21" t="s">
        <v>549</v>
      </c>
      <c r="I664" s="21" t="s">
        <v>550</v>
      </c>
      <c r="J664" s="25" t="s">
        <v>71</v>
      </c>
    </row>
    <row r="665" ht="15.75" customHeight="1">
      <c r="A665" s="25" t="s">
        <v>2062</v>
      </c>
      <c r="B665" s="25" t="s">
        <v>38</v>
      </c>
      <c r="C665" s="69">
        <v>45748.0</v>
      </c>
      <c r="D665" s="21" t="s">
        <v>41</v>
      </c>
      <c r="E665" s="25">
        <v>30.0</v>
      </c>
      <c r="F665" s="21">
        <v>45000.0</v>
      </c>
      <c r="G665" s="21">
        <f t="shared" si="1"/>
        <v>1350000</v>
      </c>
      <c r="H665" s="21" t="s">
        <v>549</v>
      </c>
      <c r="I665" s="21" t="s">
        <v>550</v>
      </c>
      <c r="J665" s="25" t="s">
        <v>71</v>
      </c>
    </row>
    <row r="666" ht="15.75" customHeight="1">
      <c r="A666" s="25" t="s">
        <v>2063</v>
      </c>
      <c r="B666" s="25" t="s">
        <v>38</v>
      </c>
      <c r="C666" s="69">
        <v>45778.0</v>
      </c>
      <c r="D666" s="21" t="s">
        <v>41</v>
      </c>
      <c r="E666" s="25">
        <v>55.0</v>
      </c>
      <c r="F666" s="21">
        <v>45000.0</v>
      </c>
      <c r="G666" s="21">
        <f t="shared" si="1"/>
        <v>2475000</v>
      </c>
      <c r="H666" s="21" t="s">
        <v>549</v>
      </c>
      <c r="I666" s="21" t="s">
        <v>550</v>
      </c>
      <c r="J666" s="25" t="s">
        <v>71</v>
      </c>
    </row>
    <row r="667" ht="15.75" customHeight="1">
      <c r="A667" s="25" t="s">
        <v>2064</v>
      </c>
      <c r="B667" s="25" t="s">
        <v>38</v>
      </c>
      <c r="C667" s="69">
        <v>45809.0</v>
      </c>
      <c r="D667" s="21" t="s">
        <v>41</v>
      </c>
      <c r="E667" s="25">
        <v>45.0</v>
      </c>
      <c r="F667" s="21">
        <v>45000.0</v>
      </c>
      <c r="G667" s="21">
        <f t="shared" si="1"/>
        <v>2025000</v>
      </c>
      <c r="H667" s="21" t="s">
        <v>549</v>
      </c>
      <c r="I667" s="21" t="s">
        <v>550</v>
      </c>
      <c r="J667" s="25" t="s">
        <v>71</v>
      </c>
    </row>
    <row r="668" ht="15.75" customHeight="1">
      <c r="A668" s="25" t="s">
        <v>2065</v>
      </c>
      <c r="B668" s="25" t="s">
        <v>38</v>
      </c>
      <c r="C668" s="69">
        <v>45839.0</v>
      </c>
      <c r="D668" s="21" t="s">
        <v>41</v>
      </c>
      <c r="E668" s="25">
        <v>100.0</v>
      </c>
      <c r="F668" s="21">
        <v>45000.0</v>
      </c>
      <c r="G668" s="21">
        <f t="shared" si="1"/>
        <v>4500000</v>
      </c>
      <c r="H668" s="21" t="s">
        <v>549</v>
      </c>
      <c r="I668" s="21" t="s">
        <v>550</v>
      </c>
      <c r="J668" s="25" t="s">
        <v>71</v>
      </c>
    </row>
    <row r="669" ht="15.75" customHeight="1">
      <c r="A669" s="25" t="s">
        <v>2066</v>
      </c>
      <c r="B669" s="25" t="s">
        <v>38</v>
      </c>
      <c r="C669" s="69">
        <v>45870.0</v>
      </c>
      <c r="D669" s="21" t="s">
        <v>41</v>
      </c>
      <c r="E669" s="25">
        <v>15.0</v>
      </c>
      <c r="F669" s="21">
        <v>45000.0</v>
      </c>
      <c r="G669" s="21">
        <f t="shared" si="1"/>
        <v>675000</v>
      </c>
      <c r="H669" s="21" t="s">
        <v>549</v>
      </c>
      <c r="I669" s="21" t="s">
        <v>550</v>
      </c>
      <c r="J669" s="25" t="s">
        <v>71</v>
      </c>
    </row>
    <row r="670" ht="15.75" customHeight="1">
      <c r="A670" s="25" t="s">
        <v>2067</v>
      </c>
      <c r="B670" s="25" t="s">
        <v>38</v>
      </c>
      <c r="C670" s="69">
        <v>45901.0</v>
      </c>
      <c r="D670" s="21" t="s">
        <v>41</v>
      </c>
      <c r="E670" s="25">
        <v>29.0</v>
      </c>
      <c r="F670" s="21">
        <v>45000.0</v>
      </c>
      <c r="G670" s="21">
        <f t="shared" si="1"/>
        <v>1305000</v>
      </c>
      <c r="H670" s="21" t="s">
        <v>549</v>
      </c>
      <c r="I670" s="21" t="s">
        <v>550</v>
      </c>
      <c r="J670" s="25" t="s">
        <v>71</v>
      </c>
    </row>
    <row r="671" ht="15.75" customHeight="1">
      <c r="A671" s="25" t="s">
        <v>2068</v>
      </c>
      <c r="B671" s="25" t="s">
        <v>38</v>
      </c>
      <c r="C671" s="69">
        <v>45931.0</v>
      </c>
      <c r="D671" s="21" t="s">
        <v>41</v>
      </c>
      <c r="E671" s="25">
        <v>50.0</v>
      </c>
      <c r="F671" s="21">
        <v>45000.0</v>
      </c>
      <c r="G671" s="21">
        <f t="shared" si="1"/>
        <v>2250000</v>
      </c>
      <c r="H671" s="21" t="s">
        <v>549</v>
      </c>
      <c r="I671" s="21" t="s">
        <v>550</v>
      </c>
      <c r="J671" s="25" t="s">
        <v>71</v>
      </c>
    </row>
    <row r="672" ht="15.75" customHeight="1">
      <c r="A672" s="25" t="s">
        <v>2069</v>
      </c>
      <c r="B672" s="25" t="s">
        <v>38</v>
      </c>
      <c r="C672" s="69">
        <v>45962.0</v>
      </c>
      <c r="D672" s="21" t="s">
        <v>41</v>
      </c>
      <c r="E672" s="25">
        <v>50.0</v>
      </c>
      <c r="F672" s="21">
        <v>45000.0</v>
      </c>
      <c r="G672" s="21">
        <f t="shared" si="1"/>
        <v>2250000</v>
      </c>
      <c r="H672" s="21" t="s">
        <v>549</v>
      </c>
      <c r="I672" s="21" t="s">
        <v>550</v>
      </c>
      <c r="J672" s="25" t="s">
        <v>71</v>
      </c>
    </row>
    <row r="673" ht="15.75" customHeight="1">
      <c r="A673" s="25" t="s">
        <v>2070</v>
      </c>
      <c r="B673" s="25" t="s">
        <v>38</v>
      </c>
      <c r="C673" s="69">
        <v>45992.0</v>
      </c>
      <c r="D673" s="21" t="s">
        <v>41</v>
      </c>
      <c r="E673" s="25">
        <v>54.0</v>
      </c>
      <c r="F673" s="21">
        <v>45000.0</v>
      </c>
      <c r="G673" s="21">
        <f t="shared" si="1"/>
        <v>2430000</v>
      </c>
      <c r="H673" s="21" t="s">
        <v>549</v>
      </c>
      <c r="I673" s="21" t="s">
        <v>550</v>
      </c>
      <c r="J673" s="25" t="s">
        <v>71</v>
      </c>
    </row>
    <row r="674" ht="15.75" customHeight="1">
      <c r="A674" s="25" t="s">
        <v>2071</v>
      </c>
      <c r="B674" s="25" t="s">
        <v>40</v>
      </c>
      <c r="C674" s="69">
        <v>45658.0</v>
      </c>
      <c r="D674" s="21" t="s">
        <v>42</v>
      </c>
      <c r="E674" s="25">
        <v>2.0</v>
      </c>
      <c r="F674" s="21">
        <v>45500.0</v>
      </c>
      <c r="G674" s="21">
        <f t="shared" si="1"/>
        <v>91000</v>
      </c>
      <c r="H674" s="21" t="s">
        <v>549</v>
      </c>
      <c r="I674" s="21" t="s">
        <v>550</v>
      </c>
      <c r="J674" s="25" t="s">
        <v>71</v>
      </c>
    </row>
    <row r="675" ht="15.75" customHeight="1">
      <c r="A675" s="25" t="s">
        <v>2072</v>
      </c>
      <c r="B675" s="25" t="s">
        <v>40</v>
      </c>
      <c r="C675" s="69">
        <v>45689.0</v>
      </c>
      <c r="D675" s="21" t="s">
        <v>42</v>
      </c>
      <c r="E675" s="25">
        <v>17.0</v>
      </c>
      <c r="F675" s="21">
        <v>45500.0</v>
      </c>
      <c r="G675" s="21">
        <f t="shared" si="1"/>
        <v>773500</v>
      </c>
      <c r="H675" s="21" t="s">
        <v>549</v>
      </c>
      <c r="I675" s="21" t="s">
        <v>550</v>
      </c>
      <c r="J675" s="25" t="s">
        <v>71</v>
      </c>
    </row>
    <row r="676" ht="15.75" customHeight="1">
      <c r="A676" s="25" t="s">
        <v>2073</v>
      </c>
      <c r="B676" s="25" t="s">
        <v>40</v>
      </c>
      <c r="C676" s="69">
        <v>45717.0</v>
      </c>
      <c r="D676" s="21" t="s">
        <v>42</v>
      </c>
      <c r="E676" s="25">
        <v>7.0</v>
      </c>
      <c r="F676" s="21">
        <v>45500.0</v>
      </c>
      <c r="G676" s="21">
        <f t="shared" si="1"/>
        <v>318500</v>
      </c>
      <c r="H676" s="21" t="s">
        <v>549</v>
      </c>
      <c r="I676" s="21" t="s">
        <v>550</v>
      </c>
      <c r="J676" s="25" t="s">
        <v>71</v>
      </c>
    </row>
    <row r="677" ht="15.75" customHeight="1">
      <c r="A677" s="25" t="s">
        <v>2074</v>
      </c>
      <c r="B677" s="25" t="s">
        <v>40</v>
      </c>
      <c r="C677" s="69">
        <v>45748.0</v>
      </c>
      <c r="D677" s="21" t="s">
        <v>42</v>
      </c>
      <c r="E677" s="25">
        <v>10.0</v>
      </c>
      <c r="F677" s="21">
        <v>45500.0</v>
      </c>
      <c r="G677" s="21">
        <f t="shared" si="1"/>
        <v>455000</v>
      </c>
      <c r="H677" s="21" t="s">
        <v>549</v>
      </c>
      <c r="I677" s="21" t="s">
        <v>550</v>
      </c>
      <c r="J677" s="25" t="s">
        <v>71</v>
      </c>
    </row>
    <row r="678" ht="15.75" customHeight="1">
      <c r="A678" s="25" t="s">
        <v>2075</v>
      </c>
      <c r="B678" s="25" t="s">
        <v>40</v>
      </c>
      <c r="C678" s="69">
        <v>45778.0</v>
      </c>
      <c r="D678" s="21" t="s">
        <v>42</v>
      </c>
      <c r="E678" s="25">
        <v>5.0</v>
      </c>
      <c r="F678" s="21">
        <v>45500.0</v>
      </c>
      <c r="G678" s="21">
        <f t="shared" si="1"/>
        <v>227500</v>
      </c>
      <c r="H678" s="21" t="s">
        <v>549</v>
      </c>
      <c r="I678" s="21" t="s">
        <v>550</v>
      </c>
      <c r="J678" s="25" t="s">
        <v>71</v>
      </c>
    </row>
    <row r="679" ht="15.75" customHeight="1">
      <c r="A679" s="25" t="s">
        <v>2076</v>
      </c>
      <c r="B679" s="25" t="s">
        <v>40</v>
      </c>
      <c r="C679" s="69">
        <v>45809.0</v>
      </c>
      <c r="D679" s="21" t="s">
        <v>42</v>
      </c>
      <c r="E679" s="25">
        <v>11.0</v>
      </c>
      <c r="F679" s="21">
        <v>45500.0</v>
      </c>
      <c r="G679" s="21">
        <f t="shared" si="1"/>
        <v>500500</v>
      </c>
      <c r="H679" s="21" t="s">
        <v>549</v>
      </c>
      <c r="I679" s="21" t="s">
        <v>550</v>
      </c>
      <c r="J679" s="25" t="s">
        <v>71</v>
      </c>
    </row>
    <row r="680" ht="15.75" customHeight="1">
      <c r="A680" s="25" t="s">
        <v>2077</v>
      </c>
      <c r="B680" s="25" t="s">
        <v>40</v>
      </c>
      <c r="C680" s="69">
        <v>45839.0</v>
      </c>
      <c r="D680" s="21" t="s">
        <v>42</v>
      </c>
      <c r="E680" s="25">
        <v>4.0</v>
      </c>
      <c r="F680" s="21">
        <v>45500.0</v>
      </c>
      <c r="G680" s="21">
        <f t="shared" si="1"/>
        <v>182000</v>
      </c>
      <c r="H680" s="21" t="s">
        <v>549</v>
      </c>
      <c r="I680" s="21" t="s">
        <v>550</v>
      </c>
      <c r="J680" s="25" t="s">
        <v>71</v>
      </c>
    </row>
    <row r="681" ht="15.75" customHeight="1">
      <c r="A681" s="25" t="s">
        <v>2078</v>
      </c>
      <c r="B681" s="25" t="s">
        <v>40</v>
      </c>
      <c r="C681" s="69">
        <v>45870.0</v>
      </c>
      <c r="D681" s="21" t="s">
        <v>42</v>
      </c>
      <c r="E681" s="25">
        <v>10.0</v>
      </c>
      <c r="F681" s="21">
        <v>45500.0</v>
      </c>
      <c r="G681" s="21">
        <f t="shared" si="1"/>
        <v>455000</v>
      </c>
      <c r="H681" s="21" t="s">
        <v>549</v>
      </c>
      <c r="I681" s="21" t="s">
        <v>550</v>
      </c>
      <c r="J681" s="25" t="s">
        <v>71</v>
      </c>
    </row>
    <row r="682" ht="15.75" customHeight="1">
      <c r="A682" s="25" t="s">
        <v>2079</v>
      </c>
      <c r="B682" s="25" t="s">
        <v>40</v>
      </c>
      <c r="C682" s="69">
        <v>45901.0</v>
      </c>
      <c r="D682" s="21" t="s">
        <v>42</v>
      </c>
      <c r="E682" s="25">
        <v>7.0</v>
      </c>
      <c r="F682" s="21">
        <v>45500.0</v>
      </c>
      <c r="G682" s="21">
        <f t="shared" si="1"/>
        <v>318500</v>
      </c>
      <c r="H682" s="21" t="s">
        <v>549</v>
      </c>
      <c r="I682" s="21" t="s">
        <v>550</v>
      </c>
      <c r="J682" s="25" t="s">
        <v>71</v>
      </c>
    </row>
    <row r="683" ht="15.75" customHeight="1">
      <c r="A683" s="25" t="s">
        <v>2080</v>
      </c>
      <c r="B683" s="25" t="s">
        <v>40</v>
      </c>
      <c r="C683" s="69">
        <v>45931.0</v>
      </c>
      <c r="D683" s="21" t="s">
        <v>42</v>
      </c>
      <c r="E683" s="25">
        <v>13.0</v>
      </c>
      <c r="F683" s="21">
        <v>45500.0</v>
      </c>
      <c r="G683" s="21">
        <f t="shared" si="1"/>
        <v>591500</v>
      </c>
      <c r="H683" s="21" t="s">
        <v>549</v>
      </c>
      <c r="I683" s="21" t="s">
        <v>550</v>
      </c>
      <c r="J683" s="25" t="s">
        <v>71</v>
      </c>
    </row>
    <row r="684" ht="15.75" customHeight="1">
      <c r="A684" s="25" t="s">
        <v>2081</v>
      </c>
      <c r="B684" s="25" t="s">
        <v>40</v>
      </c>
      <c r="C684" s="69">
        <v>45962.0</v>
      </c>
      <c r="D684" s="21" t="s">
        <v>42</v>
      </c>
      <c r="E684" s="25">
        <v>4.0</v>
      </c>
      <c r="F684" s="21">
        <v>45500.0</v>
      </c>
      <c r="G684" s="21">
        <f t="shared" si="1"/>
        <v>182000</v>
      </c>
      <c r="H684" s="21" t="s">
        <v>549</v>
      </c>
      <c r="I684" s="21" t="s">
        <v>550</v>
      </c>
      <c r="J684" s="25" t="s">
        <v>71</v>
      </c>
    </row>
    <row r="685" ht="15.75" customHeight="1">
      <c r="A685" s="25" t="s">
        <v>2082</v>
      </c>
      <c r="B685" s="25" t="s">
        <v>40</v>
      </c>
      <c r="C685" s="69">
        <v>45992.0</v>
      </c>
      <c r="D685" s="21" t="s">
        <v>42</v>
      </c>
      <c r="E685" s="25">
        <v>30.0</v>
      </c>
      <c r="F685" s="21">
        <v>45500.0</v>
      </c>
      <c r="G685" s="21">
        <f t="shared" si="1"/>
        <v>1365000</v>
      </c>
      <c r="H685" s="21" t="s">
        <v>549</v>
      </c>
      <c r="I685" s="21" t="s">
        <v>550</v>
      </c>
      <c r="J685" s="25" t="s">
        <v>71</v>
      </c>
    </row>
    <row r="686" ht="15.75" customHeight="1">
      <c r="A686" s="25" t="s">
        <v>2083</v>
      </c>
      <c r="B686" s="25" t="s">
        <v>82</v>
      </c>
      <c r="C686" s="69">
        <v>45658.0</v>
      </c>
      <c r="D686" s="21" t="s">
        <v>84</v>
      </c>
      <c r="E686" s="25">
        <v>4.0</v>
      </c>
      <c r="F686" s="21">
        <v>45000.0</v>
      </c>
      <c r="G686" s="21">
        <f t="shared" si="1"/>
        <v>180000</v>
      </c>
      <c r="H686" s="21" t="s">
        <v>549</v>
      </c>
      <c r="I686" s="21" t="s">
        <v>550</v>
      </c>
      <c r="J686" s="25" t="s">
        <v>71</v>
      </c>
    </row>
    <row r="687" ht="15.75" customHeight="1">
      <c r="A687" s="25" t="s">
        <v>2084</v>
      </c>
      <c r="B687" s="25" t="s">
        <v>82</v>
      </c>
      <c r="C687" s="69">
        <v>45689.0</v>
      </c>
      <c r="D687" s="21" t="s">
        <v>84</v>
      </c>
      <c r="E687" s="25">
        <v>39.0</v>
      </c>
      <c r="F687" s="21">
        <v>45000.0</v>
      </c>
      <c r="G687" s="21">
        <f t="shared" si="1"/>
        <v>1755000</v>
      </c>
      <c r="H687" s="21" t="s">
        <v>549</v>
      </c>
      <c r="I687" s="21" t="s">
        <v>550</v>
      </c>
      <c r="J687" s="25" t="s">
        <v>71</v>
      </c>
    </row>
    <row r="688" ht="15.75" customHeight="1">
      <c r="A688" s="25" t="s">
        <v>2085</v>
      </c>
      <c r="B688" s="25" t="s">
        <v>82</v>
      </c>
      <c r="C688" s="69">
        <v>45717.0</v>
      </c>
      <c r="D688" s="21" t="s">
        <v>84</v>
      </c>
      <c r="E688" s="25">
        <v>7.0</v>
      </c>
      <c r="F688" s="21">
        <v>45000.0</v>
      </c>
      <c r="G688" s="21">
        <f t="shared" si="1"/>
        <v>315000</v>
      </c>
      <c r="H688" s="21" t="s">
        <v>549</v>
      </c>
      <c r="I688" s="21" t="s">
        <v>550</v>
      </c>
      <c r="J688" s="25" t="s">
        <v>71</v>
      </c>
    </row>
    <row r="689" ht="15.75" customHeight="1">
      <c r="A689" s="25" t="s">
        <v>2086</v>
      </c>
      <c r="B689" s="25" t="s">
        <v>82</v>
      </c>
      <c r="C689" s="69">
        <v>45748.0</v>
      </c>
      <c r="D689" s="21" t="s">
        <v>84</v>
      </c>
      <c r="E689" s="25">
        <v>70.0</v>
      </c>
      <c r="F689" s="21">
        <v>45000.0</v>
      </c>
      <c r="G689" s="21">
        <f t="shared" si="1"/>
        <v>3150000</v>
      </c>
      <c r="H689" s="21" t="s">
        <v>549</v>
      </c>
      <c r="I689" s="21" t="s">
        <v>550</v>
      </c>
      <c r="J689" s="25" t="s">
        <v>71</v>
      </c>
    </row>
    <row r="690" ht="15.75" customHeight="1">
      <c r="A690" s="25" t="s">
        <v>2087</v>
      </c>
      <c r="B690" s="25" t="s">
        <v>82</v>
      </c>
      <c r="C690" s="69">
        <v>45778.0</v>
      </c>
      <c r="D690" s="21" t="s">
        <v>84</v>
      </c>
      <c r="E690" s="25">
        <v>48.0</v>
      </c>
      <c r="F690" s="21">
        <v>45000.0</v>
      </c>
      <c r="G690" s="21">
        <f t="shared" si="1"/>
        <v>2160000</v>
      </c>
      <c r="H690" s="21" t="s">
        <v>549</v>
      </c>
      <c r="I690" s="21" t="s">
        <v>550</v>
      </c>
      <c r="J690" s="25" t="s">
        <v>71</v>
      </c>
    </row>
    <row r="691" ht="15.75" customHeight="1">
      <c r="A691" s="25" t="s">
        <v>2088</v>
      </c>
      <c r="B691" s="25" t="s">
        <v>82</v>
      </c>
      <c r="C691" s="69">
        <v>45809.0</v>
      </c>
      <c r="D691" s="21" t="s">
        <v>84</v>
      </c>
      <c r="E691" s="25">
        <v>22.0</v>
      </c>
      <c r="F691" s="21">
        <v>45000.0</v>
      </c>
      <c r="G691" s="21">
        <f t="shared" si="1"/>
        <v>990000</v>
      </c>
      <c r="H691" s="21" t="s">
        <v>549</v>
      </c>
      <c r="I691" s="21" t="s">
        <v>550</v>
      </c>
      <c r="J691" s="25" t="s">
        <v>71</v>
      </c>
    </row>
    <row r="692" ht="15.75" customHeight="1">
      <c r="A692" s="25" t="s">
        <v>2089</v>
      </c>
      <c r="B692" s="25" t="s">
        <v>82</v>
      </c>
      <c r="C692" s="69">
        <v>45839.0</v>
      </c>
      <c r="D692" s="21" t="s">
        <v>84</v>
      </c>
      <c r="E692" s="25">
        <v>11.0</v>
      </c>
      <c r="F692" s="21">
        <v>45000.0</v>
      </c>
      <c r="G692" s="21">
        <f t="shared" si="1"/>
        <v>495000</v>
      </c>
      <c r="H692" s="21" t="s">
        <v>549</v>
      </c>
      <c r="I692" s="21" t="s">
        <v>550</v>
      </c>
      <c r="J692" s="25" t="s">
        <v>71</v>
      </c>
    </row>
    <row r="693" ht="15.75" customHeight="1">
      <c r="A693" s="25" t="s">
        <v>2090</v>
      </c>
      <c r="B693" s="25" t="s">
        <v>82</v>
      </c>
      <c r="C693" s="69">
        <v>45870.0</v>
      </c>
      <c r="D693" s="21" t="s">
        <v>84</v>
      </c>
      <c r="E693" s="25">
        <v>24.0</v>
      </c>
      <c r="F693" s="21">
        <v>45000.0</v>
      </c>
      <c r="G693" s="21">
        <f t="shared" si="1"/>
        <v>1080000</v>
      </c>
      <c r="H693" s="21" t="s">
        <v>549</v>
      </c>
      <c r="I693" s="21" t="s">
        <v>550</v>
      </c>
      <c r="J693" s="25" t="s">
        <v>71</v>
      </c>
    </row>
    <row r="694" ht="15.75" customHeight="1">
      <c r="A694" s="25" t="s">
        <v>2091</v>
      </c>
      <c r="B694" s="25" t="s">
        <v>82</v>
      </c>
      <c r="C694" s="69">
        <v>45901.0</v>
      </c>
      <c r="D694" s="21" t="s">
        <v>84</v>
      </c>
      <c r="E694" s="25">
        <v>21.0</v>
      </c>
      <c r="F694" s="21">
        <v>45000.0</v>
      </c>
      <c r="G694" s="21">
        <f t="shared" si="1"/>
        <v>945000</v>
      </c>
      <c r="H694" s="21" t="s">
        <v>549</v>
      </c>
      <c r="I694" s="21" t="s">
        <v>550</v>
      </c>
      <c r="J694" s="25" t="s">
        <v>71</v>
      </c>
    </row>
    <row r="695" ht="15.75" customHeight="1">
      <c r="A695" s="25" t="s">
        <v>2092</v>
      </c>
      <c r="B695" s="25" t="s">
        <v>82</v>
      </c>
      <c r="C695" s="69">
        <v>45931.0</v>
      </c>
      <c r="D695" s="21" t="s">
        <v>84</v>
      </c>
      <c r="E695" s="25">
        <v>45.0</v>
      </c>
      <c r="F695" s="21">
        <v>45000.0</v>
      </c>
      <c r="G695" s="21">
        <f t="shared" si="1"/>
        <v>2025000</v>
      </c>
      <c r="H695" s="21" t="s">
        <v>549</v>
      </c>
      <c r="I695" s="21" t="s">
        <v>550</v>
      </c>
      <c r="J695" s="25" t="s">
        <v>71</v>
      </c>
    </row>
    <row r="696" ht="15.75" customHeight="1">
      <c r="A696" s="25" t="s">
        <v>2093</v>
      </c>
      <c r="B696" s="25" t="s">
        <v>82</v>
      </c>
      <c r="C696" s="69">
        <v>45962.0</v>
      </c>
      <c r="D696" s="21" t="s">
        <v>84</v>
      </c>
      <c r="E696" s="25">
        <v>18.0</v>
      </c>
      <c r="F696" s="21">
        <v>45000.0</v>
      </c>
      <c r="G696" s="21">
        <f t="shared" si="1"/>
        <v>810000</v>
      </c>
      <c r="H696" s="21" t="s">
        <v>549</v>
      </c>
      <c r="I696" s="21" t="s">
        <v>550</v>
      </c>
      <c r="J696" s="25" t="s">
        <v>71</v>
      </c>
    </row>
    <row r="697" ht="15.75" customHeight="1">
      <c r="A697" s="25" t="s">
        <v>2094</v>
      </c>
      <c r="B697" s="25" t="s">
        <v>82</v>
      </c>
      <c r="C697" s="69">
        <v>45992.0</v>
      </c>
      <c r="D697" s="21" t="s">
        <v>84</v>
      </c>
      <c r="E697" s="25">
        <v>21.0</v>
      </c>
      <c r="F697" s="21">
        <v>45000.0</v>
      </c>
      <c r="G697" s="21">
        <f t="shared" si="1"/>
        <v>945000</v>
      </c>
      <c r="H697" s="21" t="s">
        <v>549</v>
      </c>
      <c r="I697" s="21" t="s">
        <v>550</v>
      </c>
      <c r="J697" s="25" t="s">
        <v>71</v>
      </c>
    </row>
    <row r="698" ht="15.75" customHeight="1">
      <c r="A698" s="25" t="s">
        <v>2095</v>
      </c>
      <c r="B698" s="25" t="s">
        <v>97</v>
      </c>
      <c r="C698" s="69">
        <v>45658.0</v>
      </c>
      <c r="D698" s="21" t="s">
        <v>99</v>
      </c>
      <c r="E698" s="25">
        <v>3.0</v>
      </c>
      <c r="F698" s="21">
        <v>36000.0</v>
      </c>
      <c r="G698" s="21">
        <f t="shared" si="1"/>
        <v>108000</v>
      </c>
      <c r="H698" s="21" t="s">
        <v>424</v>
      </c>
      <c r="I698" s="21" t="s">
        <v>550</v>
      </c>
      <c r="J698" s="25" t="s">
        <v>71</v>
      </c>
    </row>
    <row r="699" ht="15.75" customHeight="1">
      <c r="A699" s="25" t="s">
        <v>2096</v>
      </c>
      <c r="B699" s="25" t="s">
        <v>97</v>
      </c>
      <c r="C699" s="69">
        <v>45689.0</v>
      </c>
      <c r="D699" s="21" t="s">
        <v>99</v>
      </c>
      <c r="E699" s="25">
        <v>2.0</v>
      </c>
      <c r="F699" s="21">
        <v>36000.0</v>
      </c>
      <c r="G699" s="21">
        <f t="shared" si="1"/>
        <v>72000</v>
      </c>
      <c r="H699" s="21" t="s">
        <v>424</v>
      </c>
      <c r="I699" s="21" t="s">
        <v>550</v>
      </c>
      <c r="J699" s="25" t="s">
        <v>71</v>
      </c>
    </row>
    <row r="700" ht="15.75" customHeight="1">
      <c r="A700" s="25" t="s">
        <v>2097</v>
      </c>
      <c r="B700" s="25" t="s">
        <v>97</v>
      </c>
      <c r="C700" s="69">
        <v>45717.0</v>
      </c>
      <c r="D700" s="21" t="s">
        <v>99</v>
      </c>
      <c r="E700" s="25">
        <v>2.0</v>
      </c>
      <c r="F700" s="21">
        <v>36000.0</v>
      </c>
      <c r="G700" s="21">
        <f t="shared" si="1"/>
        <v>72000</v>
      </c>
      <c r="H700" s="21" t="s">
        <v>424</v>
      </c>
      <c r="I700" s="21" t="s">
        <v>550</v>
      </c>
      <c r="J700" s="25" t="s">
        <v>71</v>
      </c>
    </row>
    <row r="701" ht="15.75" customHeight="1">
      <c r="A701" s="25" t="s">
        <v>2098</v>
      </c>
      <c r="B701" s="25" t="s">
        <v>97</v>
      </c>
      <c r="C701" s="69">
        <v>45748.0</v>
      </c>
      <c r="D701" s="21" t="s">
        <v>99</v>
      </c>
      <c r="E701" s="25">
        <v>0.0</v>
      </c>
      <c r="F701" s="21">
        <v>36000.0</v>
      </c>
      <c r="G701" s="21">
        <f t="shared" si="1"/>
        <v>0</v>
      </c>
      <c r="H701" s="21" t="s">
        <v>424</v>
      </c>
      <c r="I701" s="21" t="s">
        <v>550</v>
      </c>
      <c r="J701" s="25" t="s">
        <v>71</v>
      </c>
    </row>
    <row r="702" ht="15.75" customHeight="1">
      <c r="A702" s="25" t="s">
        <v>2099</v>
      </c>
      <c r="B702" s="25" t="s">
        <v>97</v>
      </c>
      <c r="C702" s="69">
        <v>45778.0</v>
      </c>
      <c r="D702" s="21" t="s">
        <v>99</v>
      </c>
      <c r="E702" s="25">
        <v>1.0</v>
      </c>
      <c r="F702" s="21">
        <v>36000.0</v>
      </c>
      <c r="G702" s="21">
        <f t="shared" si="1"/>
        <v>36000</v>
      </c>
      <c r="H702" s="21" t="s">
        <v>424</v>
      </c>
      <c r="I702" s="21" t="s">
        <v>550</v>
      </c>
      <c r="J702" s="25" t="s">
        <v>71</v>
      </c>
    </row>
    <row r="703" ht="15.75" customHeight="1">
      <c r="A703" s="25" t="s">
        <v>2100</v>
      </c>
      <c r="B703" s="25" t="s">
        <v>97</v>
      </c>
      <c r="C703" s="69">
        <v>45809.0</v>
      </c>
      <c r="D703" s="21" t="s">
        <v>99</v>
      </c>
      <c r="E703" s="25">
        <v>2.0</v>
      </c>
      <c r="F703" s="21">
        <v>36000.0</v>
      </c>
      <c r="G703" s="21">
        <f t="shared" si="1"/>
        <v>72000</v>
      </c>
      <c r="H703" s="21" t="s">
        <v>424</v>
      </c>
      <c r="I703" s="21" t="s">
        <v>550</v>
      </c>
      <c r="J703" s="25" t="s">
        <v>71</v>
      </c>
    </row>
    <row r="704" ht="15.75" customHeight="1">
      <c r="A704" s="25" t="s">
        <v>2101</v>
      </c>
      <c r="B704" s="25" t="s">
        <v>97</v>
      </c>
      <c r="C704" s="69">
        <v>45839.0</v>
      </c>
      <c r="D704" s="21" t="s">
        <v>99</v>
      </c>
      <c r="E704" s="25">
        <v>1.0</v>
      </c>
      <c r="F704" s="21">
        <v>36000.0</v>
      </c>
      <c r="G704" s="21">
        <f t="shared" si="1"/>
        <v>36000</v>
      </c>
      <c r="H704" s="21" t="s">
        <v>424</v>
      </c>
      <c r="I704" s="21" t="s">
        <v>550</v>
      </c>
      <c r="J704" s="25" t="s">
        <v>71</v>
      </c>
    </row>
    <row r="705" ht="15.75" customHeight="1">
      <c r="A705" s="25" t="s">
        <v>2102</v>
      </c>
      <c r="B705" s="25" t="s">
        <v>97</v>
      </c>
      <c r="C705" s="69">
        <v>45870.0</v>
      </c>
      <c r="D705" s="21" t="s">
        <v>99</v>
      </c>
      <c r="E705" s="25">
        <v>0.0</v>
      </c>
      <c r="F705" s="21">
        <v>36000.0</v>
      </c>
      <c r="G705" s="21">
        <f t="shared" si="1"/>
        <v>0</v>
      </c>
      <c r="H705" s="21" t="s">
        <v>424</v>
      </c>
      <c r="I705" s="21" t="s">
        <v>550</v>
      </c>
      <c r="J705" s="25" t="s">
        <v>71</v>
      </c>
    </row>
    <row r="706" ht="15.75" customHeight="1">
      <c r="A706" s="25" t="s">
        <v>2103</v>
      </c>
      <c r="B706" s="25" t="s">
        <v>97</v>
      </c>
      <c r="C706" s="69">
        <v>45901.0</v>
      </c>
      <c r="D706" s="21" t="s">
        <v>99</v>
      </c>
      <c r="E706" s="25">
        <v>2.0</v>
      </c>
      <c r="F706" s="21">
        <v>36000.0</v>
      </c>
      <c r="G706" s="21">
        <f t="shared" si="1"/>
        <v>72000</v>
      </c>
      <c r="H706" s="21" t="s">
        <v>424</v>
      </c>
      <c r="I706" s="21" t="s">
        <v>550</v>
      </c>
      <c r="J706" s="25" t="s">
        <v>71</v>
      </c>
    </row>
    <row r="707" ht="15.75" customHeight="1">
      <c r="A707" s="25" t="s">
        <v>2104</v>
      </c>
      <c r="B707" s="25" t="s">
        <v>97</v>
      </c>
      <c r="C707" s="69">
        <v>45931.0</v>
      </c>
      <c r="D707" s="21" t="s">
        <v>99</v>
      </c>
      <c r="E707" s="25">
        <v>2.0</v>
      </c>
      <c r="F707" s="21">
        <v>36000.0</v>
      </c>
      <c r="G707" s="21">
        <f t="shared" si="1"/>
        <v>72000</v>
      </c>
      <c r="H707" s="21" t="s">
        <v>424</v>
      </c>
      <c r="I707" s="21" t="s">
        <v>550</v>
      </c>
      <c r="J707" s="25" t="s">
        <v>71</v>
      </c>
    </row>
    <row r="708" ht="15.75" customHeight="1">
      <c r="A708" s="25" t="s">
        <v>2105</v>
      </c>
      <c r="B708" s="25" t="s">
        <v>97</v>
      </c>
      <c r="C708" s="69">
        <v>45962.0</v>
      </c>
      <c r="D708" s="21" t="s">
        <v>99</v>
      </c>
      <c r="E708" s="25">
        <v>2.0</v>
      </c>
      <c r="F708" s="21">
        <v>36000.0</v>
      </c>
      <c r="G708" s="21">
        <f t="shared" si="1"/>
        <v>72000</v>
      </c>
      <c r="H708" s="21" t="s">
        <v>424</v>
      </c>
      <c r="I708" s="21" t="s">
        <v>550</v>
      </c>
      <c r="J708" s="25" t="s">
        <v>71</v>
      </c>
    </row>
    <row r="709" ht="15.75" customHeight="1">
      <c r="A709" s="25" t="s">
        <v>2106</v>
      </c>
      <c r="B709" s="25" t="s">
        <v>97</v>
      </c>
      <c r="C709" s="69">
        <v>45992.0</v>
      </c>
      <c r="D709" s="21" t="s">
        <v>99</v>
      </c>
      <c r="E709" s="25">
        <v>1.0</v>
      </c>
      <c r="F709" s="21">
        <v>36000.0</v>
      </c>
      <c r="G709" s="21">
        <f t="shared" si="1"/>
        <v>36000</v>
      </c>
      <c r="H709" s="21" t="s">
        <v>424</v>
      </c>
      <c r="I709" s="21" t="s">
        <v>550</v>
      </c>
      <c r="J709" s="25" t="s">
        <v>71</v>
      </c>
    </row>
    <row r="710" ht="15.75" customHeight="1">
      <c r="A710" s="25" t="s">
        <v>2107</v>
      </c>
      <c r="B710" s="25" t="s">
        <v>110</v>
      </c>
      <c r="C710" s="69">
        <v>45658.0</v>
      </c>
      <c r="D710" s="21" t="s">
        <v>112</v>
      </c>
      <c r="E710" s="25">
        <v>5.0</v>
      </c>
      <c r="F710" s="21">
        <v>30000.0</v>
      </c>
      <c r="G710" s="21">
        <f t="shared" si="1"/>
        <v>150000</v>
      </c>
      <c r="H710" s="21" t="s">
        <v>758</v>
      </c>
      <c r="I710" s="21" t="s">
        <v>550</v>
      </c>
      <c r="J710" s="25" t="s">
        <v>71</v>
      </c>
    </row>
    <row r="711" ht="15.75" customHeight="1">
      <c r="A711" s="25" t="s">
        <v>2109</v>
      </c>
      <c r="B711" s="25" t="s">
        <v>110</v>
      </c>
      <c r="C711" s="69">
        <v>45689.0</v>
      </c>
      <c r="D711" s="21" t="s">
        <v>112</v>
      </c>
      <c r="E711" s="25">
        <v>17.0</v>
      </c>
      <c r="F711" s="21">
        <v>30000.0</v>
      </c>
      <c r="G711" s="21">
        <f t="shared" si="1"/>
        <v>510000</v>
      </c>
      <c r="H711" s="21" t="s">
        <v>758</v>
      </c>
      <c r="I711" s="21" t="s">
        <v>550</v>
      </c>
      <c r="J711" s="25" t="s">
        <v>71</v>
      </c>
    </row>
    <row r="712" ht="15.75" customHeight="1">
      <c r="A712" s="25" t="s">
        <v>2110</v>
      </c>
      <c r="B712" s="25" t="s">
        <v>110</v>
      </c>
      <c r="C712" s="69">
        <v>45717.0</v>
      </c>
      <c r="D712" s="21" t="s">
        <v>112</v>
      </c>
      <c r="E712" s="25">
        <v>1.0</v>
      </c>
      <c r="F712" s="21">
        <v>30000.0</v>
      </c>
      <c r="G712" s="21">
        <f t="shared" si="1"/>
        <v>30000</v>
      </c>
      <c r="H712" s="21" t="s">
        <v>758</v>
      </c>
      <c r="I712" s="21" t="s">
        <v>550</v>
      </c>
      <c r="J712" s="25" t="s">
        <v>71</v>
      </c>
    </row>
    <row r="713" ht="15.75" customHeight="1">
      <c r="A713" s="25" t="s">
        <v>2111</v>
      </c>
      <c r="B713" s="25" t="s">
        <v>110</v>
      </c>
      <c r="C713" s="69">
        <v>45748.0</v>
      </c>
      <c r="D713" s="21" t="s">
        <v>112</v>
      </c>
      <c r="E713" s="25">
        <v>0.0</v>
      </c>
      <c r="F713" s="21">
        <v>30000.0</v>
      </c>
      <c r="G713" s="21">
        <f t="shared" si="1"/>
        <v>0</v>
      </c>
      <c r="H713" s="21" t="s">
        <v>758</v>
      </c>
      <c r="I713" s="21" t="s">
        <v>550</v>
      </c>
      <c r="J713" s="25" t="s">
        <v>71</v>
      </c>
    </row>
    <row r="714" ht="15.75" customHeight="1">
      <c r="A714" s="25" t="s">
        <v>2112</v>
      </c>
      <c r="B714" s="25" t="s">
        <v>110</v>
      </c>
      <c r="C714" s="69">
        <v>45778.0</v>
      </c>
      <c r="D714" s="21" t="s">
        <v>112</v>
      </c>
      <c r="E714" s="25">
        <v>4.0</v>
      </c>
      <c r="F714" s="21">
        <v>30000.0</v>
      </c>
      <c r="G714" s="21">
        <f t="shared" si="1"/>
        <v>120000</v>
      </c>
      <c r="H714" s="21" t="s">
        <v>758</v>
      </c>
      <c r="I714" s="21" t="s">
        <v>550</v>
      </c>
      <c r="J714" s="25" t="s">
        <v>71</v>
      </c>
    </row>
    <row r="715" ht="15.75" customHeight="1">
      <c r="A715" s="25" t="s">
        <v>2113</v>
      </c>
      <c r="B715" s="25" t="s">
        <v>110</v>
      </c>
      <c r="C715" s="69">
        <v>45809.0</v>
      </c>
      <c r="D715" s="21" t="s">
        <v>112</v>
      </c>
      <c r="E715" s="25">
        <v>3.0</v>
      </c>
      <c r="F715" s="21">
        <v>30000.0</v>
      </c>
      <c r="G715" s="21">
        <f t="shared" si="1"/>
        <v>90000</v>
      </c>
      <c r="H715" s="21" t="s">
        <v>758</v>
      </c>
      <c r="I715" s="21" t="s">
        <v>550</v>
      </c>
      <c r="J715" s="25" t="s">
        <v>71</v>
      </c>
    </row>
    <row r="716" ht="15.75" customHeight="1">
      <c r="A716" s="25" t="s">
        <v>2114</v>
      </c>
      <c r="B716" s="25" t="s">
        <v>110</v>
      </c>
      <c r="C716" s="69">
        <v>45839.0</v>
      </c>
      <c r="D716" s="21" t="s">
        <v>112</v>
      </c>
      <c r="E716" s="25">
        <v>6.0</v>
      </c>
      <c r="F716" s="21">
        <v>30000.0</v>
      </c>
      <c r="G716" s="21">
        <f t="shared" si="1"/>
        <v>180000</v>
      </c>
      <c r="H716" s="21" t="s">
        <v>758</v>
      </c>
      <c r="I716" s="21" t="s">
        <v>550</v>
      </c>
      <c r="J716" s="25" t="s">
        <v>71</v>
      </c>
    </row>
    <row r="717" ht="15.75" customHeight="1">
      <c r="A717" s="25" t="s">
        <v>2115</v>
      </c>
      <c r="B717" s="25" t="s">
        <v>110</v>
      </c>
      <c r="C717" s="69">
        <v>45870.0</v>
      </c>
      <c r="D717" s="21" t="s">
        <v>112</v>
      </c>
      <c r="E717" s="25">
        <v>0.0</v>
      </c>
      <c r="F717" s="21">
        <v>30000.0</v>
      </c>
      <c r="G717" s="21">
        <f t="shared" si="1"/>
        <v>0</v>
      </c>
      <c r="H717" s="21" t="s">
        <v>758</v>
      </c>
      <c r="I717" s="21" t="s">
        <v>550</v>
      </c>
      <c r="J717" s="25" t="s">
        <v>71</v>
      </c>
    </row>
    <row r="718" ht="15.75" customHeight="1">
      <c r="A718" s="25" t="s">
        <v>2117</v>
      </c>
      <c r="B718" s="25" t="s">
        <v>110</v>
      </c>
      <c r="C718" s="69">
        <v>45901.0</v>
      </c>
      <c r="D718" s="21" t="s">
        <v>112</v>
      </c>
      <c r="E718" s="25">
        <v>8.0</v>
      </c>
      <c r="F718" s="21">
        <v>30000.0</v>
      </c>
      <c r="G718" s="21">
        <f t="shared" si="1"/>
        <v>240000</v>
      </c>
      <c r="H718" s="21" t="s">
        <v>758</v>
      </c>
      <c r="I718" s="21" t="s">
        <v>550</v>
      </c>
      <c r="J718" s="25" t="s">
        <v>71</v>
      </c>
    </row>
    <row r="719" ht="15.75" customHeight="1">
      <c r="A719" s="25" t="s">
        <v>2118</v>
      </c>
      <c r="B719" s="25" t="s">
        <v>110</v>
      </c>
      <c r="C719" s="69">
        <v>45931.0</v>
      </c>
      <c r="D719" s="21" t="s">
        <v>112</v>
      </c>
      <c r="E719" s="25">
        <v>3.0</v>
      </c>
      <c r="F719" s="21">
        <v>30000.0</v>
      </c>
      <c r="G719" s="21">
        <f t="shared" si="1"/>
        <v>90000</v>
      </c>
      <c r="H719" s="21" t="s">
        <v>758</v>
      </c>
      <c r="I719" s="21" t="s">
        <v>550</v>
      </c>
      <c r="J719" s="25" t="s">
        <v>71</v>
      </c>
    </row>
    <row r="720" ht="15.75" customHeight="1">
      <c r="A720" s="25" t="s">
        <v>2119</v>
      </c>
      <c r="B720" s="25" t="s">
        <v>110</v>
      </c>
      <c r="C720" s="69">
        <v>45962.0</v>
      </c>
      <c r="D720" s="21" t="s">
        <v>112</v>
      </c>
      <c r="E720" s="25">
        <v>2.0</v>
      </c>
      <c r="F720" s="21">
        <v>30000.0</v>
      </c>
      <c r="G720" s="21">
        <f t="shared" si="1"/>
        <v>60000</v>
      </c>
      <c r="H720" s="21" t="s">
        <v>758</v>
      </c>
      <c r="I720" s="21" t="s">
        <v>550</v>
      </c>
      <c r="J720" s="25" t="s">
        <v>71</v>
      </c>
    </row>
    <row r="721" ht="15.75" customHeight="1">
      <c r="A721" s="25" t="s">
        <v>2120</v>
      </c>
      <c r="B721" s="25" t="s">
        <v>110</v>
      </c>
      <c r="C721" s="69">
        <v>45992.0</v>
      </c>
      <c r="D721" s="21" t="s">
        <v>112</v>
      </c>
      <c r="E721" s="25">
        <v>5.0</v>
      </c>
      <c r="F721" s="21">
        <v>30000.0</v>
      </c>
      <c r="G721" s="21">
        <f t="shared" si="1"/>
        <v>150000</v>
      </c>
      <c r="H721" s="21" t="s">
        <v>758</v>
      </c>
      <c r="I721" s="21" t="s">
        <v>550</v>
      </c>
      <c r="J721" s="25" t="s">
        <v>71</v>
      </c>
    </row>
    <row r="722" ht="15.75" customHeight="1">
      <c r="A722" s="25" t="s">
        <v>2121</v>
      </c>
      <c r="B722" s="25" t="s">
        <v>124</v>
      </c>
      <c r="C722" s="69">
        <v>45658.0</v>
      </c>
      <c r="D722" s="21" t="s">
        <v>125</v>
      </c>
      <c r="E722" s="25">
        <v>1.0</v>
      </c>
      <c r="F722" s="21">
        <v>49500.0</v>
      </c>
      <c r="G722" s="21">
        <f t="shared" si="1"/>
        <v>49500</v>
      </c>
      <c r="H722" s="21" t="s">
        <v>549</v>
      </c>
      <c r="I722" s="21" t="s">
        <v>550</v>
      </c>
      <c r="J722" s="25" t="s">
        <v>71</v>
      </c>
    </row>
    <row r="723" ht="15.75" customHeight="1">
      <c r="A723" s="25" t="s">
        <v>2122</v>
      </c>
      <c r="B723" s="25" t="s">
        <v>124</v>
      </c>
      <c r="C723" s="69">
        <v>45689.0</v>
      </c>
      <c r="D723" s="21" t="s">
        <v>125</v>
      </c>
      <c r="E723" s="25">
        <v>2.0</v>
      </c>
      <c r="F723" s="21">
        <v>49500.0</v>
      </c>
      <c r="G723" s="21">
        <f t="shared" si="1"/>
        <v>99000</v>
      </c>
      <c r="H723" s="21" t="s">
        <v>549</v>
      </c>
      <c r="I723" s="21" t="s">
        <v>550</v>
      </c>
      <c r="J723" s="25" t="s">
        <v>71</v>
      </c>
    </row>
    <row r="724" ht="15.75" customHeight="1">
      <c r="A724" s="25" t="s">
        <v>2123</v>
      </c>
      <c r="B724" s="25" t="s">
        <v>124</v>
      </c>
      <c r="C724" s="69">
        <v>45717.0</v>
      </c>
      <c r="D724" s="21" t="s">
        <v>125</v>
      </c>
      <c r="E724" s="25">
        <v>0.0</v>
      </c>
      <c r="F724" s="21">
        <v>49500.0</v>
      </c>
      <c r="G724" s="21">
        <f t="shared" si="1"/>
        <v>0</v>
      </c>
      <c r="H724" s="21" t="s">
        <v>549</v>
      </c>
      <c r="I724" s="21" t="s">
        <v>550</v>
      </c>
      <c r="J724" s="25" t="s">
        <v>71</v>
      </c>
    </row>
    <row r="725" ht="15.75" customHeight="1">
      <c r="A725" s="25" t="s">
        <v>2124</v>
      </c>
      <c r="B725" s="25" t="s">
        <v>124</v>
      </c>
      <c r="C725" s="69">
        <v>45748.0</v>
      </c>
      <c r="D725" s="21" t="s">
        <v>125</v>
      </c>
      <c r="E725" s="25">
        <v>1.0</v>
      </c>
      <c r="F725" s="21">
        <v>49500.0</v>
      </c>
      <c r="G725" s="21">
        <f t="shared" si="1"/>
        <v>49500</v>
      </c>
      <c r="H725" s="21" t="s">
        <v>549</v>
      </c>
      <c r="I725" s="21" t="s">
        <v>550</v>
      </c>
      <c r="J725" s="25" t="s">
        <v>71</v>
      </c>
    </row>
    <row r="726" ht="15.75" customHeight="1">
      <c r="A726" s="25" t="s">
        <v>2125</v>
      </c>
      <c r="B726" s="25" t="s">
        <v>124</v>
      </c>
      <c r="C726" s="69">
        <v>45778.0</v>
      </c>
      <c r="D726" s="21" t="s">
        <v>125</v>
      </c>
      <c r="E726" s="25">
        <v>1.0</v>
      </c>
      <c r="F726" s="21">
        <v>49500.0</v>
      </c>
      <c r="G726" s="21">
        <f t="shared" si="1"/>
        <v>49500</v>
      </c>
      <c r="H726" s="21" t="s">
        <v>549</v>
      </c>
      <c r="I726" s="21" t="s">
        <v>550</v>
      </c>
      <c r="J726" s="25" t="s">
        <v>71</v>
      </c>
    </row>
    <row r="727" ht="15.75" customHeight="1">
      <c r="A727" s="25" t="s">
        <v>2126</v>
      </c>
      <c r="B727" s="25" t="s">
        <v>124</v>
      </c>
      <c r="C727" s="69">
        <v>45809.0</v>
      </c>
      <c r="D727" s="21" t="s">
        <v>125</v>
      </c>
      <c r="E727" s="25">
        <v>5.0</v>
      </c>
      <c r="F727" s="21">
        <v>49500.0</v>
      </c>
      <c r="G727" s="21">
        <f t="shared" si="1"/>
        <v>247500</v>
      </c>
      <c r="H727" s="21" t="s">
        <v>549</v>
      </c>
      <c r="I727" s="21" t="s">
        <v>550</v>
      </c>
      <c r="J727" s="25" t="s">
        <v>71</v>
      </c>
    </row>
    <row r="728" ht="15.75" customHeight="1">
      <c r="A728" s="25" t="s">
        <v>2127</v>
      </c>
      <c r="B728" s="25" t="s">
        <v>124</v>
      </c>
      <c r="C728" s="69">
        <v>45839.0</v>
      </c>
      <c r="D728" s="21" t="s">
        <v>125</v>
      </c>
      <c r="E728" s="25">
        <v>8.0</v>
      </c>
      <c r="F728" s="21">
        <v>49500.0</v>
      </c>
      <c r="G728" s="21">
        <f t="shared" si="1"/>
        <v>396000</v>
      </c>
      <c r="H728" s="21" t="s">
        <v>549</v>
      </c>
      <c r="I728" s="21" t="s">
        <v>550</v>
      </c>
      <c r="J728" s="25" t="s">
        <v>71</v>
      </c>
    </row>
    <row r="729" ht="15.75" customHeight="1">
      <c r="A729" s="25" t="s">
        <v>2128</v>
      </c>
      <c r="B729" s="25" t="s">
        <v>124</v>
      </c>
      <c r="C729" s="69">
        <v>45870.0</v>
      </c>
      <c r="D729" s="21" t="s">
        <v>125</v>
      </c>
      <c r="E729" s="25">
        <v>2.0</v>
      </c>
      <c r="F729" s="21">
        <v>49500.0</v>
      </c>
      <c r="G729" s="21">
        <f t="shared" si="1"/>
        <v>99000</v>
      </c>
      <c r="H729" s="21" t="s">
        <v>549</v>
      </c>
      <c r="I729" s="21" t="s">
        <v>550</v>
      </c>
      <c r="J729" s="25" t="s">
        <v>71</v>
      </c>
    </row>
    <row r="730" ht="15.75" customHeight="1">
      <c r="A730" s="25" t="s">
        <v>2129</v>
      </c>
      <c r="B730" s="25" t="s">
        <v>124</v>
      </c>
      <c r="C730" s="69">
        <v>45901.0</v>
      </c>
      <c r="D730" s="21" t="s">
        <v>125</v>
      </c>
      <c r="E730" s="25">
        <v>0.0</v>
      </c>
      <c r="F730" s="21">
        <v>49500.0</v>
      </c>
      <c r="G730" s="21">
        <f t="shared" si="1"/>
        <v>0</v>
      </c>
      <c r="H730" s="21" t="s">
        <v>549</v>
      </c>
      <c r="I730" s="21" t="s">
        <v>550</v>
      </c>
      <c r="J730" s="25" t="s">
        <v>71</v>
      </c>
    </row>
    <row r="731" ht="15.75" customHeight="1">
      <c r="A731" s="25" t="s">
        <v>2130</v>
      </c>
      <c r="B731" s="25" t="s">
        <v>124</v>
      </c>
      <c r="C731" s="69">
        <v>45931.0</v>
      </c>
      <c r="D731" s="21" t="s">
        <v>125</v>
      </c>
      <c r="E731" s="25">
        <v>0.0</v>
      </c>
      <c r="F731" s="21">
        <v>49500.0</v>
      </c>
      <c r="G731" s="21">
        <f t="shared" si="1"/>
        <v>0</v>
      </c>
      <c r="H731" s="21" t="s">
        <v>549</v>
      </c>
      <c r="I731" s="21" t="s">
        <v>550</v>
      </c>
      <c r="J731" s="25" t="s">
        <v>71</v>
      </c>
    </row>
    <row r="732" ht="15.75" customHeight="1">
      <c r="A732" s="25" t="s">
        <v>2131</v>
      </c>
      <c r="B732" s="25" t="s">
        <v>124</v>
      </c>
      <c r="C732" s="69">
        <v>45962.0</v>
      </c>
      <c r="D732" s="21" t="s">
        <v>125</v>
      </c>
      <c r="E732" s="25">
        <v>10.0</v>
      </c>
      <c r="F732" s="21">
        <v>49500.0</v>
      </c>
      <c r="G732" s="21">
        <f t="shared" si="1"/>
        <v>495000</v>
      </c>
      <c r="H732" s="21" t="s">
        <v>549</v>
      </c>
      <c r="I732" s="21" t="s">
        <v>550</v>
      </c>
      <c r="J732" s="25" t="s">
        <v>71</v>
      </c>
    </row>
    <row r="733" ht="15.75" customHeight="1">
      <c r="A733" s="25" t="s">
        <v>2132</v>
      </c>
      <c r="B733" s="25" t="s">
        <v>124</v>
      </c>
      <c r="C733" s="69">
        <v>45992.0</v>
      </c>
      <c r="D733" s="21" t="s">
        <v>125</v>
      </c>
      <c r="E733" s="25">
        <v>3.0</v>
      </c>
      <c r="F733" s="21">
        <v>49500.0</v>
      </c>
      <c r="G733" s="21">
        <f t="shared" si="1"/>
        <v>148500</v>
      </c>
      <c r="H733" s="21" t="s">
        <v>549</v>
      </c>
      <c r="I733" s="21" t="s">
        <v>550</v>
      </c>
      <c r="J733" s="25" t="s">
        <v>71</v>
      </c>
    </row>
    <row r="734" ht="15.75" customHeight="1">
      <c r="A734" s="25" t="s">
        <v>2133</v>
      </c>
      <c r="B734" s="25" t="s">
        <v>139</v>
      </c>
      <c r="C734" s="69">
        <v>45658.0</v>
      </c>
      <c r="D734" s="21" t="s">
        <v>140</v>
      </c>
      <c r="E734" s="25">
        <v>0.0</v>
      </c>
      <c r="F734" s="21">
        <v>30000.0</v>
      </c>
      <c r="G734" s="21">
        <f t="shared" si="1"/>
        <v>0</v>
      </c>
      <c r="H734" s="21" t="s">
        <v>758</v>
      </c>
      <c r="I734" s="21" t="s">
        <v>550</v>
      </c>
      <c r="J734" s="25" t="s">
        <v>71</v>
      </c>
    </row>
    <row r="735" ht="15.75" customHeight="1">
      <c r="A735" s="25" t="s">
        <v>2134</v>
      </c>
      <c r="B735" s="25" t="s">
        <v>139</v>
      </c>
      <c r="C735" s="69">
        <v>45689.0</v>
      </c>
      <c r="D735" s="21" t="s">
        <v>140</v>
      </c>
      <c r="E735" s="25">
        <v>1.0</v>
      </c>
      <c r="F735" s="21">
        <v>30000.0</v>
      </c>
      <c r="G735" s="21">
        <f t="shared" si="1"/>
        <v>30000</v>
      </c>
      <c r="H735" s="21" t="s">
        <v>758</v>
      </c>
      <c r="I735" s="21" t="s">
        <v>550</v>
      </c>
      <c r="J735" s="25" t="s">
        <v>71</v>
      </c>
    </row>
    <row r="736" ht="15.75" customHeight="1">
      <c r="A736" s="25" t="s">
        <v>2135</v>
      </c>
      <c r="B736" s="25" t="s">
        <v>139</v>
      </c>
      <c r="C736" s="69">
        <v>45717.0</v>
      </c>
      <c r="D736" s="21" t="s">
        <v>140</v>
      </c>
      <c r="E736" s="25">
        <v>0.0</v>
      </c>
      <c r="F736" s="21">
        <v>30000.0</v>
      </c>
      <c r="G736" s="21">
        <f t="shared" si="1"/>
        <v>0</v>
      </c>
      <c r="H736" s="21" t="s">
        <v>758</v>
      </c>
      <c r="I736" s="21" t="s">
        <v>550</v>
      </c>
      <c r="J736" s="25" t="s">
        <v>71</v>
      </c>
    </row>
    <row r="737" ht="15.75" customHeight="1">
      <c r="A737" s="25" t="s">
        <v>2136</v>
      </c>
      <c r="B737" s="25" t="s">
        <v>139</v>
      </c>
      <c r="C737" s="69">
        <v>45748.0</v>
      </c>
      <c r="D737" s="21" t="s">
        <v>140</v>
      </c>
      <c r="E737" s="25">
        <v>0.0</v>
      </c>
      <c r="F737" s="21">
        <v>30000.0</v>
      </c>
      <c r="G737" s="21">
        <f t="shared" si="1"/>
        <v>0</v>
      </c>
      <c r="H737" s="21" t="s">
        <v>758</v>
      </c>
      <c r="I737" s="21" t="s">
        <v>550</v>
      </c>
      <c r="J737" s="25" t="s">
        <v>71</v>
      </c>
    </row>
    <row r="738" ht="15.75" customHeight="1">
      <c r="A738" s="25" t="s">
        <v>2137</v>
      </c>
      <c r="B738" s="25" t="s">
        <v>139</v>
      </c>
      <c r="C738" s="69">
        <v>45778.0</v>
      </c>
      <c r="D738" s="21" t="s">
        <v>140</v>
      </c>
      <c r="E738" s="25">
        <v>2.0</v>
      </c>
      <c r="F738" s="21">
        <v>30000.0</v>
      </c>
      <c r="G738" s="21">
        <f t="shared" si="1"/>
        <v>60000</v>
      </c>
      <c r="H738" s="21" t="s">
        <v>758</v>
      </c>
      <c r="I738" s="21" t="s">
        <v>550</v>
      </c>
      <c r="J738" s="25" t="s">
        <v>71</v>
      </c>
    </row>
    <row r="739" ht="15.75" customHeight="1">
      <c r="A739" s="25" t="s">
        <v>2138</v>
      </c>
      <c r="B739" s="25" t="s">
        <v>139</v>
      </c>
      <c r="C739" s="69">
        <v>45809.0</v>
      </c>
      <c r="D739" s="21" t="s">
        <v>140</v>
      </c>
      <c r="E739" s="25">
        <v>1.0</v>
      </c>
      <c r="F739" s="21">
        <v>30000.0</v>
      </c>
      <c r="G739" s="21">
        <f t="shared" si="1"/>
        <v>30000</v>
      </c>
      <c r="H739" s="21" t="s">
        <v>758</v>
      </c>
      <c r="I739" s="21" t="s">
        <v>550</v>
      </c>
      <c r="J739" s="25" t="s">
        <v>71</v>
      </c>
    </row>
    <row r="740" ht="15.75" customHeight="1">
      <c r="A740" s="25" t="s">
        <v>2139</v>
      </c>
      <c r="B740" s="25" t="s">
        <v>139</v>
      </c>
      <c r="C740" s="69">
        <v>45839.0</v>
      </c>
      <c r="D740" s="21" t="s">
        <v>140</v>
      </c>
      <c r="E740" s="25">
        <v>5.0</v>
      </c>
      <c r="F740" s="21">
        <v>30000.0</v>
      </c>
      <c r="G740" s="21">
        <f t="shared" si="1"/>
        <v>150000</v>
      </c>
      <c r="H740" s="21" t="s">
        <v>758</v>
      </c>
      <c r="I740" s="21" t="s">
        <v>550</v>
      </c>
      <c r="J740" s="25" t="s">
        <v>71</v>
      </c>
    </row>
    <row r="741" ht="15.75" customHeight="1">
      <c r="A741" s="25" t="s">
        <v>2140</v>
      </c>
      <c r="B741" s="25" t="s">
        <v>139</v>
      </c>
      <c r="C741" s="69">
        <v>45870.0</v>
      </c>
      <c r="D741" s="21" t="s">
        <v>140</v>
      </c>
      <c r="E741" s="25">
        <v>0.0</v>
      </c>
      <c r="F741" s="21">
        <v>30000.0</v>
      </c>
      <c r="G741" s="21">
        <f t="shared" si="1"/>
        <v>0</v>
      </c>
      <c r="H741" s="21" t="s">
        <v>758</v>
      </c>
      <c r="I741" s="21" t="s">
        <v>550</v>
      </c>
      <c r="J741" s="25" t="s">
        <v>71</v>
      </c>
    </row>
    <row r="742" ht="15.75" customHeight="1">
      <c r="A742" s="25" t="s">
        <v>2141</v>
      </c>
      <c r="B742" s="25" t="s">
        <v>139</v>
      </c>
      <c r="C742" s="69">
        <v>45901.0</v>
      </c>
      <c r="D742" s="21" t="s">
        <v>140</v>
      </c>
      <c r="E742" s="25">
        <v>0.0</v>
      </c>
      <c r="F742" s="21">
        <v>30000.0</v>
      </c>
      <c r="G742" s="21">
        <f t="shared" si="1"/>
        <v>0</v>
      </c>
      <c r="H742" s="21" t="s">
        <v>758</v>
      </c>
      <c r="I742" s="21" t="s">
        <v>550</v>
      </c>
      <c r="J742" s="25" t="s">
        <v>71</v>
      </c>
    </row>
    <row r="743" ht="15.75" customHeight="1">
      <c r="A743" s="25" t="s">
        <v>2142</v>
      </c>
      <c r="B743" s="25" t="s">
        <v>139</v>
      </c>
      <c r="C743" s="69">
        <v>45931.0</v>
      </c>
      <c r="D743" s="21" t="s">
        <v>140</v>
      </c>
      <c r="E743" s="25">
        <v>1.0</v>
      </c>
      <c r="F743" s="21">
        <v>30000.0</v>
      </c>
      <c r="G743" s="21">
        <f t="shared" si="1"/>
        <v>30000</v>
      </c>
      <c r="H743" s="21" t="s">
        <v>758</v>
      </c>
      <c r="I743" s="21" t="s">
        <v>550</v>
      </c>
      <c r="J743" s="25" t="s">
        <v>71</v>
      </c>
    </row>
    <row r="744" ht="15.75" customHeight="1">
      <c r="A744" s="25" t="s">
        <v>2143</v>
      </c>
      <c r="B744" s="25" t="s">
        <v>139</v>
      </c>
      <c r="C744" s="69">
        <v>45962.0</v>
      </c>
      <c r="D744" s="21" t="s">
        <v>140</v>
      </c>
      <c r="E744" s="25">
        <v>3.0</v>
      </c>
      <c r="F744" s="21">
        <v>30000.0</v>
      </c>
      <c r="G744" s="21">
        <f t="shared" si="1"/>
        <v>90000</v>
      </c>
      <c r="H744" s="21" t="s">
        <v>758</v>
      </c>
      <c r="I744" s="21" t="s">
        <v>550</v>
      </c>
      <c r="J744" s="25" t="s">
        <v>71</v>
      </c>
    </row>
    <row r="745" ht="15.75" customHeight="1">
      <c r="A745" s="25" t="s">
        <v>2144</v>
      </c>
      <c r="B745" s="25" t="s">
        <v>139</v>
      </c>
      <c r="C745" s="69">
        <v>45992.0</v>
      </c>
      <c r="D745" s="21" t="s">
        <v>140</v>
      </c>
      <c r="E745" s="25">
        <v>0.0</v>
      </c>
      <c r="F745" s="21">
        <v>30000.0</v>
      </c>
      <c r="G745" s="21">
        <f t="shared" si="1"/>
        <v>0</v>
      </c>
      <c r="H745" s="21" t="s">
        <v>758</v>
      </c>
      <c r="I745" s="21" t="s">
        <v>550</v>
      </c>
      <c r="J745" s="25" t="s">
        <v>71</v>
      </c>
    </row>
    <row r="746" ht="15.75" customHeight="1">
      <c r="A746" s="25" t="s">
        <v>2145</v>
      </c>
      <c r="B746" s="25" t="s">
        <v>150</v>
      </c>
      <c r="C746" s="69">
        <v>45658.0</v>
      </c>
      <c r="D746" s="21" t="s">
        <v>151</v>
      </c>
      <c r="E746" s="25">
        <v>1.0</v>
      </c>
      <c r="F746" s="21">
        <v>30000.0</v>
      </c>
      <c r="G746" s="21">
        <f t="shared" si="1"/>
        <v>30000</v>
      </c>
      <c r="H746" s="21" t="s">
        <v>758</v>
      </c>
      <c r="I746" s="21" t="s">
        <v>550</v>
      </c>
      <c r="J746" s="25" t="s">
        <v>71</v>
      </c>
    </row>
    <row r="747" ht="15.75" customHeight="1">
      <c r="A747" s="25" t="s">
        <v>2146</v>
      </c>
      <c r="B747" s="25" t="s">
        <v>150</v>
      </c>
      <c r="C747" s="69">
        <v>45689.0</v>
      </c>
      <c r="D747" s="21" t="s">
        <v>151</v>
      </c>
      <c r="E747" s="25">
        <v>2.0</v>
      </c>
      <c r="F747" s="21">
        <v>30000.0</v>
      </c>
      <c r="G747" s="21">
        <f t="shared" si="1"/>
        <v>60000</v>
      </c>
      <c r="H747" s="21" t="s">
        <v>758</v>
      </c>
      <c r="I747" s="21" t="s">
        <v>550</v>
      </c>
      <c r="J747" s="25" t="s">
        <v>71</v>
      </c>
    </row>
    <row r="748" ht="15.75" customHeight="1">
      <c r="A748" s="25" t="s">
        <v>2147</v>
      </c>
      <c r="B748" s="25" t="s">
        <v>150</v>
      </c>
      <c r="C748" s="69">
        <v>45717.0</v>
      </c>
      <c r="D748" s="21" t="s">
        <v>151</v>
      </c>
      <c r="E748" s="25">
        <v>0.0</v>
      </c>
      <c r="F748" s="21">
        <v>30000.0</v>
      </c>
      <c r="G748" s="21">
        <f t="shared" si="1"/>
        <v>0</v>
      </c>
      <c r="H748" s="21" t="s">
        <v>758</v>
      </c>
      <c r="I748" s="21" t="s">
        <v>550</v>
      </c>
      <c r="J748" s="25" t="s">
        <v>71</v>
      </c>
    </row>
    <row r="749" ht="15.75" customHeight="1">
      <c r="A749" s="25" t="s">
        <v>2148</v>
      </c>
      <c r="B749" s="25" t="s">
        <v>150</v>
      </c>
      <c r="C749" s="69">
        <v>45748.0</v>
      </c>
      <c r="D749" s="21" t="s">
        <v>151</v>
      </c>
      <c r="E749" s="25">
        <v>1.0</v>
      </c>
      <c r="F749" s="21">
        <v>30000.0</v>
      </c>
      <c r="G749" s="21">
        <f t="shared" si="1"/>
        <v>30000</v>
      </c>
      <c r="H749" s="21" t="s">
        <v>758</v>
      </c>
      <c r="I749" s="21" t="s">
        <v>550</v>
      </c>
      <c r="J749" s="25" t="s">
        <v>71</v>
      </c>
    </row>
    <row r="750" ht="15.75" customHeight="1">
      <c r="A750" s="25" t="s">
        <v>2149</v>
      </c>
      <c r="B750" s="25" t="s">
        <v>150</v>
      </c>
      <c r="C750" s="69">
        <v>45778.0</v>
      </c>
      <c r="D750" s="21" t="s">
        <v>151</v>
      </c>
      <c r="E750" s="25">
        <v>1.0</v>
      </c>
      <c r="F750" s="21">
        <v>30000.0</v>
      </c>
      <c r="G750" s="21">
        <f t="shared" si="1"/>
        <v>30000</v>
      </c>
      <c r="H750" s="21" t="s">
        <v>758</v>
      </c>
      <c r="I750" s="21" t="s">
        <v>550</v>
      </c>
      <c r="J750" s="25" t="s">
        <v>71</v>
      </c>
    </row>
    <row r="751" ht="15.75" customHeight="1">
      <c r="A751" s="25" t="s">
        <v>2150</v>
      </c>
      <c r="B751" s="25" t="s">
        <v>150</v>
      </c>
      <c r="C751" s="69">
        <v>45809.0</v>
      </c>
      <c r="D751" s="21" t="s">
        <v>151</v>
      </c>
      <c r="E751" s="25">
        <v>0.0</v>
      </c>
      <c r="F751" s="21">
        <v>30000.0</v>
      </c>
      <c r="G751" s="21">
        <f t="shared" si="1"/>
        <v>0</v>
      </c>
      <c r="H751" s="21" t="s">
        <v>758</v>
      </c>
      <c r="I751" s="21" t="s">
        <v>550</v>
      </c>
      <c r="J751" s="25" t="s">
        <v>71</v>
      </c>
    </row>
    <row r="752" ht="15.75" customHeight="1">
      <c r="A752" s="25" t="s">
        <v>2151</v>
      </c>
      <c r="B752" s="25" t="s">
        <v>150</v>
      </c>
      <c r="C752" s="69">
        <v>45839.0</v>
      </c>
      <c r="D752" s="21" t="s">
        <v>151</v>
      </c>
      <c r="E752" s="25">
        <v>0.0</v>
      </c>
      <c r="F752" s="21">
        <v>30000.0</v>
      </c>
      <c r="G752" s="21">
        <f t="shared" si="1"/>
        <v>0</v>
      </c>
      <c r="H752" s="21" t="s">
        <v>758</v>
      </c>
      <c r="I752" s="21" t="s">
        <v>550</v>
      </c>
      <c r="J752" s="25" t="s">
        <v>71</v>
      </c>
    </row>
    <row r="753" ht="15.75" customHeight="1">
      <c r="A753" s="25" t="s">
        <v>2152</v>
      </c>
      <c r="B753" s="25" t="s">
        <v>150</v>
      </c>
      <c r="C753" s="69">
        <v>45870.0</v>
      </c>
      <c r="D753" s="21" t="s">
        <v>151</v>
      </c>
      <c r="E753" s="25">
        <v>2.0</v>
      </c>
      <c r="F753" s="21">
        <v>30000.0</v>
      </c>
      <c r="G753" s="21">
        <f t="shared" si="1"/>
        <v>60000</v>
      </c>
      <c r="H753" s="21" t="s">
        <v>758</v>
      </c>
      <c r="I753" s="21" t="s">
        <v>550</v>
      </c>
      <c r="J753" s="25" t="s">
        <v>71</v>
      </c>
    </row>
    <row r="754" ht="15.75" customHeight="1">
      <c r="A754" s="25" t="s">
        <v>2153</v>
      </c>
      <c r="B754" s="25" t="s">
        <v>150</v>
      </c>
      <c r="C754" s="69">
        <v>45901.0</v>
      </c>
      <c r="D754" s="21" t="s">
        <v>151</v>
      </c>
      <c r="E754" s="25">
        <v>0.0</v>
      </c>
      <c r="F754" s="21">
        <v>30000.0</v>
      </c>
      <c r="G754" s="21">
        <f t="shared" si="1"/>
        <v>0</v>
      </c>
      <c r="H754" s="21" t="s">
        <v>758</v>
      </c>
      <c r="I754" s="21" t="s">
        <v>550</v>
      </c>
      <c r="J754" s="25" t="s">
        <v>71</v>
      </c>
    </row>
    <row r="755" ht="15.75" customHeight="1">
      <c r="A755" s="25" t="s">
        <v>2154</v>
      </c>
      <c r="B755" s="25" t="s">
        <v>150</v>
      </c>
      <c r="C755" s="69">
        <v>45931.0</v>
      </c>
      <c r="D755" s="21" t="s">
        <v>151</v>
      </c>
      <c r="E755" s="25">
        <v>1.0</v>
      </c>
      <c r="F755" s="21">
        <v>30000.0</v>
      </c>
      <c r="G755" s="21">
        <f t="shared" si="1"/>
        <v>30000</v>
      </c>
      <c r="H755" s="21" t="s">
        <v>758</v>
      </c>
      <c r="I755" s="21" t="s">
        <v>550</v>
      </c>
      <c r="J755" s="25" t="s">
        <v>71</v>
      </c>
    </row>
    <row r="756" ht="15.75" customHeight="1">
      <c r="A756" s="25" t="s">
        <v>2155</v>
      </c>
      <c r="B756" s="25" t="s">
        <v>150</v>
      </c>
      <c r="C756" s="69">
        <v>45962.0</v>
      </c>
      <c r="D756" s="21" t="s">
        <v>151</v>
      </c>
      <c r="E756" s="25">
        <v>1.0</v>
      </c>
      <c r="F756" s="21">
        <v>30000.0</v>
      </c>
      <c r="G756" s="21">
        <f t="shared" si="1"/>
        <v>30000</v>
      </c>
      <c r="H756" s="21" t="s">
        <v>758</v>
      </c>
      <c r="I756" s="21" t="s">
        <v>550</v>
      </c>
      <c r="J756" s="25" t="s">
        <v>71</v>
      </c>
    </row>
    <row r="757" ht="15.75" customHeight="1">
      <c r="A757" s="25" t="s">
        <v>2156</v>
      </c>
      <c r="B757" s="25" t="s">
        <v>150</v>
      </c>
      <c r="C757" s="69">
        <v>45992.0</v>
      </c>
      <c r="D757" s="21" t="s">
        <v>151</v>
      </c>
      <c r="E757" s="25">
        <v>0.0</v>
      </c>
      <c r="F757" s="21">
        <v>30000.0</v>
      </c>
      <c r="G757" s="21">
        <f t="shared" si="1"/>
        <v>0</v>
      </c>
      <c r="H757" s="21" t="s">
        <v>758</v>
      </c>
      <c r="I757" s="21" t="s">
        <v>550</v>
      </c>
      <c r="J757" s="25" t="s">
        <v>71</v>
      </c>
    </row>
    <row r="758" ht="15.75" customHeight="1">
      <c r="A758" s="25" t="s">
        <v>2157</v>
      </c>
      <c r="B758" s="25" t="s">
        <v>163</v>
      </c>
      <c r="C758" s="69">
        <v>45658.0</v>
      </c>
      <c r="D758" s="21" t="s">
        <v>165</v>
      </c>
      <c r="E758" s="25">
        <v>0.0</v>
      </c>
      <c r="F758" s="21">
        <v>49500.0</v>
      </c>
      <c r="G758" s="21">
        <f t="shared" si="1"/>
        <v>0</v>
      </c>
      <c r="H758" s="21" t="s">
        <v>549</v>
      </c>
      <c r="I758" s="21" t="s">
        <v>550</v>
      </c>
      <c r="J758" s="25" t="s">
        <v>71</v>
      </c>
    </row>
    <row r="759" ht="15.75" customHeight="1">
      <c r="A759" s="25" t="s">
        <v>2158</v>
      </c>
      <c r="B759" s="25" t="s">
        <v>163</v>
      </c>
      <c r="C759" s="69">
        <v>45689.0</v>
      </c>
      <c r="D759" s="21" t="s">
        <v>165</v>
      </c>
      <c r="E759" s="25">
        <v>1.0</v>
      </c>
      <c r="F759" s="21">
        <v>49500.0</v>
      </c>
      <c r="G759" s="21">
        <f t="shared" si="1"/>
        <v>49500</v>
      </c>
      <c r="H759" s="21" t="s">
        <v>549</v>
      </c>
      <c r="I759" s="21" t="s">
        <v>550</v>
      </c>
      <c r="J759" s="25" t="s">
        <v>71</v>
      </c>
    </row>
    <row r="760" ht="15.75" customHeight="1">
      <c r="A760" s="25" t="s">
        <v>2159</v>
      </c>
      <c r="B760" s="25" t="s">
        <v>163</v>
      </c>
      <c r="C760" s="69">
        <v>45717.0</v>
      </c>
      <c r="D760" s="21" t="s">
        <v>165</v>
      </c>
      <c r="E760" s="25">
        <v>1.0</v>
      </c>
      <c r="F760" s="21">
        <v>49500.0</v>
      </c>
      <c r="G760" s="21">
        <f t="shared" si="1"/>
        <v>49500</v>
      </c>
      <c r="H760" s="21" t="s">
        <v>549</v>
      </c>
      <c r="I760" s="21" t="s">
        <v>550</v>
      </c>
      <c r="J760" s="25" t="s">
        <v>71</v>
      </c>
    </row>
    <row r="761" ht="15.75" customHeight="1">
      <c r="A761" s="25" t="s">
        <v>2160</v>
      </c>
      <c r="B761" s="25" t="s">
        <v>163</v>
      </c>
      <c r="C761" s="69">
        <v>45748.0</v>
      </c>
      <c r="D761" s="21" t="s">
        <v>165</v>
      </c>
      <c r="E761" s="25">
        <v>0.0</v>
      </c>
      <c r="F761" s="21">
        <v>49500.0</v>
      </c>
      <c r="G761" s="21">
        <f t="shared" si="1"/>
        <v>0</v>
      </c>
      <c r="H761" s="21" t="s">
        <v>549</v>
      </c>
      <c r="I761" s="21" t="s">
        <v>550</v>
      </c>
      <c r="J761" s="25" t="s">
        <v>71</v>
      </c>
    </row>
    <row r="762" ht="15.75" customHeight="1">
      <c r="A762" s="25" t="s">
        <v>2161</v>
      </c>
      <c r="B762" s="25" t="s">
        <v>163</v>
      </c>
      <c r="C762" s="69">
        <v>45778.0</v>
      </c>
      <c r="D762" s="21" t="s">
        <v>165</v>
      </c>
      <c r="E762" s="25">
        <v>1.0</v>
      </c>
      <c r="F762" s="21">
        <v>49500.0</v>
      </c>
      <c r="G762" s="21">
        <f t="shared" si="1"/>
        <v>49500</v>
      </c>
      <c r="H762" s="21" t="s">
        <v>549</v>
      </c>
      <c r="I762" s="21" t="s">
        <v>550</v>
      </c>
      <c r="J762" s="25" t="s">
        <v>71</v>
      </c>
    </row>
    <row r="763" ht="15.75" customHeight="1">
      <c r="A763" s="25" t="s">
        <v>2162</v>
      </c>
      <c r="B763" s="25" t="s">
        <v>163</v>
      </c>
      <c r="C763" s="69">
        <v>45809.0</v>
      </c>
      <c r="D763" s="21" t="s">
        <v>165</v>
      </c>
      <c r="E763" s="25">
        <v>3.0</v>
      </c>
      <c r="F763" s="21">
        <v>49500.0</v>
      </c>
      <c r="G763" s="21">
        <f t="shared" si="1"/>
        <v>148500</v>
      </c>
      <c r="H763" s="21" t="s">
        <v>549</v>
      </c>
      <c r="I763" s="21" t="s">
        <v>550</v>
      </c>
      <c r="J763" s="25" t="s">
        <v>71</v>
      </c>
    </row>
    <row r="764" ht="15.75" customHeight="1">
      <c r="A764" s="25" t="s">
        <v>2163</v>
      </c>
      <c r="B764" s="25" t="s">
        <v>163</v>
      </c>
      <c r="C764" s="69">
        <v>45839.0</v>
      </c>
      <c r="D764" s="21" t="s">
        <v>165</v>
      </c>
      <c r="E764" s="25">
        <v>0.0</v>
      </c>
      <c r="F764" s="21">
        <v>49500.0</v>
      </c>
      <c r="G764" s="21">
        <f t="shared" si="1"/>
        <v>0</v>
      </c>
      <c r="H764" s="21" t="s">
        <v>549</v>
      </c>
      <c r="I764" s="21" t="s">
        <v>550</v>
      </c>
      <c r="J764" s="25" t="s">
        <v>71</v>
      </c>
    </row>
    <row r="765" ht="15.75" customHeight="1">
      <c r="A765" s="25" t="s">
        <v>2164</v>
      </c>
      <c r="B765" s="25" t="s">
        <v>163</v>
      </c>
      <c r="C765" s="69">
        <v>45870.0</v>
      </c>
      <c r="D765" s="21" t="s">
        <v>165</v>
      </c>
      <c r="E765" s="25">
        <v>2.0</v>
      </c>
      <c r="F765" s="21">
        <v>49500.0</v>
      </c>
      <c r="G765" s="21">
        <f t="shared" si="1"/>
        <v>99000</v>
      </c>
      <c r="H765" s="21" t="s">
        <v>549</v>
      </c>
      <c r="I765" s="21" t="s">
        <v>550</v>
      </c>
      <c r="J765" s="25" t="s">
        <v>71</v>
      </c>
    </row>
    <row r="766" ht="15.75" customHeight="1">
      <c r="A766" s="25" t="s">
        <v>2165</v>
      </c>
      <c r="B766" s="25" t="s">
        <v>163</v>
      </c>
      <c r="C766" s="69">
        <v>45901.0</v>
      </c>
      <c r="D766" s="21" t="s">
        <v>165</v>
      </c>
      <c r="E766" s="25">
        <v>0.0</v>
      </c>
      <c r="F766" s="21">
        <v>49500.0</v>
      </c>
      <c r="G766" s="21">
        <f t="shared" si="1"/>
        <v>0</v>
      </c>
      <c r="H766" s="21" t="s">
        <v>549</v>
      </c>
      <c r="I766" s="21" t="s">
        <v>550</v>
      </c>
      <c r="J766" s="25" t="s">
        <v>71</v>
      </c>
    </row>
    <row r="767" ht="15.75" customHeight="1">
      <c r="A767" s="25" t="s">
        <v>2166</v>
      </c>
      <c r="B767" s="25" t="s">
        <v>163</v>
      </c>
      <c r="C767" s="69">
        <v>45931.0</v>
      </c>
      <c r="D767" s="21" t="s">
        <v>165</v>
      </c>
      <c r="E767" s="25">
        <v>1.0</v>
      </c>
      <c r="F767" s="21">
        <v>49500.0</v>
      </c>
      <c r="G767" s="21">
        <f t="shared" si="1"/>
        <v>49500</v>
      </c>
      <c r="H767" s="21" t="s">
        <v>549</v>
      </c>
      <c r="I767" s="21" t="s">
        <v>550</v>
      </c>
      <c r="J767" s="25" t="s">
        <v>71</v>
      </c>
    </row>
    <row r="768" ht="15.75" customHeight="1">
      <c r="A768" s="25" t="s">
        <v>2167</v>
      </c>
      <c r="B768" s="25" t="s">
        <v>163</v>
      </c>
      <c r="C768" s="69">
        <v>45962.0</v>
      </c>
      <c r="D768" s="21" t="s">
        <v>165</v>
      </c>
      <c r="E768" s="25">
        <v>0.0</v>
      </c>
      <c r="F768" s="21">
        <v>49500.0</v>
      </c>
      <c r="G768" s="21">
        <f t="shared" si="1"/>
        <v>0</v>
      </c>
      <c r="H768" s="21" t="s">
        <v>549</v>
      </c>
      <c r="I768" s="21" t="s">
        <v>550</v>
      </c>
      <c r="J768" s="25" t="s">
        <v>71</v>
      </c>
    </row>
    <row r="769" ht="15.75" customHeight="1">
      <c r="A769" s="25" t="s">
        <v>2168</v>
      </c>
      <c r="B769" s="25" t="s">
        <v>163</v>
      </c>
      <c r="C769" s="69">
        <v>45992.0</v>
      </c>
      <c r="D769" s="21" t="s">
        <v>165</v>
      </c>
      <c r="E769" s="25">
        <v>0.0</v>
      </c>
      <c r="F769" s="21">
        <v>49500.0</v>
      </c>
      <c r="G769" s="21">
        <f t="shared" si="1"/>
        <v>0</v>
      </c>
      <c r="H769" s="21" t="s">
        <v>549</v>
      </c>
      <c r="I769" s="21" t="s">
        <v>550</v>
      </c>
      <c r="J769" s="25" t="s">
        <v>71</v>
      </c>
    </row>
    <row r="770" ht="15.75" customHeight="1">
      <c r="A770" s="25" t="s">
        <v>2169</v>
      </c>
      <c r="B770" s="25" t="s">
        <v>175</v>
      </c>
      <c r="C770" s="69">
        <v>45658.0</v>
      </c>
      <c r="D770" s="21" t="s">
        <v>176</v>
      </c>
      <c r="E770" s="25">
        <v>1.0</v>
      </c>
      <c r="F770" s="21">
        <v>49500.0</v>
      </c>
      <c r="G770" s="21">
        <f t="shared" si="1"/>
        <v>49500</v>
      </c>
      <c r="H770" s="21" t="s">
        <v>549</v>
      </c>
      <c r="I770" s="21" t="s">
        <v>550</v>
      </c>
      <c r="J770" s="25" t="s">
        <v>71</v>
      </c>
    </row>
    <row r="771" ht="15.75" customHeight="1">
      <c r="A771" s="25" t="s">
        <v>2170</v>
      </c>
      <c r="B771" s="25" t="s">
        <v>175</v>
      </c>
      <c r="C771" s="69">
        <v>45689.0</v>
      </c>
      <c r="D771" s="21" t="s">
        <v>176</v>
      </c>
      <c r="E771" s="25">
        <v>4.0</v>
      </c>
      <c r="F771" s="21">
        <v>49500.0</v>
      </c>
      <c r="G771" s="21">
        <f t="shared" si="1"/>
        <v>198000</v>
      </c>
      <c r="H771" s="21" t="s">
        <v>549</v>
      </c>
      <c r="I771" s="21" t="s">
        <v>550</v>
      </c>
      <c r="J771" s="25" t="s">
        <v>71</v>
      </c>
    </row>
    <row r="772" ht="15.75" customHeight="1">
      <c r="A772" s="25" t="s">
        <v>2171</v>
      </c>
      <c r="B772" s="25" t="s">
        <v>175</v>
      </c>
      <c r="C772" s="69">
        <v>45717.0</v>
      </c>
      <c r="D772" s="21" t="s">
        <v>176</v>
      </c>
      <c r="E772" s="25">
        <v>8.0</v>
      </c>
      <c r="F772" s="21">
        <v>49500.0</v>
      </c>
      <c r="G772" s="21">
        <f t="shared" si="1"/>
        <v>396000</v>
      </c>
      <c r="H772" s="21" t="s">
        <v>549</v>
      </c>
      <c r="I772" s="21" t="s">
        <v>550</v>
      </c>
      <c r="J772" s="25" t="s">
        <v>71</v>
      </c>
    </row>
    <row r="773" ht="15.75" customHeight="1">
      <c r="A773" s="25" t="s">
        <v>2172</v>
      </c>
      <c r="B773" s="25" t="s">
        <v>175</v>
      </c>
      <c r="C773" s="69">
        <v>45748.0</v>
      </c>
      <c r="D773" s="21" t="s">
        <v>176</v>
      </c>
      <c r="E773" s="25">
        <v>1.0</v>
      </c>
      <c r="F773" s="21">
        <v>49500.0</v>
      </c>
      <c r="G773" s="21">
        <f t="shared" si="1"/>
        <v>49500</v>
      </c>
      <c r="H773" s="21" t="s">
        <v>549</v>
      </c>
      <c r="I773" s="21" t="s">
        <v>550</v>
      </c>
      <c r="J773" s="25" t="s">
        <v>71</v>
      </c>
    </row>
    <row r="774" ht="15.75" customHeight="1">
      <c r="A774" s="25" t="s">
        <v>2173</v>
      </c>
      <c r="B774" s="25" t="s">
        <v>175</v>
      </c>
      <c r="C774" s="69">
        <v>45778.0</v>
      </c>
      <c r="D774" s="21" t="s">
        <v>176</v>
      </c>
      <c r="E774" s="25">
        <v>5.0</v>
      </c>
      <c r="F774" s="21">
        <v>49500.0</v>
      </c>
      <c r="G774" s="21">
        <f t="shared" si="1"/>
        <v>247500</v>
      </c>
      <c r="H774" s="21" t="s">
        <v>549</v>
      </c>
      <c r="I774" s="21" t="s">
        <v>550</v>
      </c>
      <c r="J774" s="25" t="s">
        <v>71</v>
      </c>
    </row>
    <row r="775" ht="15.75" customHeight="1">
      <c r="A775" s="25" t="s">
        <v>2174</v>
      </c>
      <c r="B775" s="25" t="s">
        <v>175</v>
      </c>
      <c r="C775" s="69">
        <v>45809.0</v>
      </c>
      <c r="D775" s="21" t="s">
        <v>176</v>
      </c>
      <c r="E775" s="25">
        <v>10.0</v>
      </c>
      <c r="F775" s="21">
        <v>49500.0</v>
      </c>
      <c r="G775" s="21">
        <f t="shared" si="1"/>
        <v>495000</v>
      </c>
      <c r="H775" s="21" t="s">
        <v>549</v>
      </c>
      <c r="I775" s="21" t="s">
        <v>550</v>
      </c>
      <c r="J775" s="25" t="s">
        <v>71</v>
      </c>
    </row>
    <row r="776" ht="15.75" customHeight="1">
      <c r="A776" s="25" t="s">
        <v>2175</v>
      </c>
      <c r="B776" s="25" t="s">
        <v>175</v>
      </c>
      <c r="C776" s="69">
        <v>45839.0</v>
      </c>
      <c r="D776" s="21" t="s">
        <v>176</v>
      </c>
      <c r="E776" s="25">
        <v>3.0</v>
      </c>
      <c r="F776" s="21">
        <v>49500.0</v>
      </c>
      <c r="G776" s="21">
        <f t="shared" si="1"/>
        <v>148500</v>
      </c>
      <c r="H776" s="21" t="s">
        <v>549</v>
      </c>
      <c r="I776" s="21" t="s">
        <v>550</v>
      </c>
      <c r="J776" s="25" t="s">
        <v>71</v>
      </c>
    </row>
    <row r="777" ht="15.75" customHeight="1">
      <c r="A777" s="25" t="s">
        <v>2176</v>
      </c>
      <c r="B777" s="25" t="s">
        <v>175</v>
      </c>
      <c r="C777" s="69">
        <v>45870.0</v>
      </c>
      <c r="D777" s="21" t="s">
        <v>176</v>
      </c>
      <c r="E777" s="25">
        <v>10.0</v>
      </c>
      <c r="F777" s="21">
        <v>49500.0</v>
      </c>
      <c r="G777" s="21">
        <f t="shared" si="1"/>
        <v>495000</v>
      </c>
      <c r="H777" s="21" t="s">
        <v>549</v>
      </c>
      <c r="I777" s="21" t="s">
        <v>550</v>
      </c>
      <c r="J777" s="25" t="s">
        <v>71</v>
      </c>
    </row>
    <row r="778" ht="15.75" customHeight="1">
      <c r="A778" s="25" t="s">
        <v>2177</v>
      </c>
      <c r="B778" s="25" t="s">
        <v>175</v>
      </c>
      <c r="C778" s="69">
        <v>45901.0</v>
      </c>
      <c r="D778" s="21" t="s">
        <v>176</v>
      </c>
      <c r="E778" s="25">
        <v>2.0</v>
      </c>
      <c r="F778" s="21">
        <v>49500.0</v>
      </c>
      <c r="G778" s="21">
        <f t="shared" si="1"/>
        <v>99000</v>
      </c>
      <c r="H778" s="21" t="s">
        <v>549</v>
      </c>
      <c r="I778" s="21" t="s">
        <v>550</v>
      </c>
      <c r="J778" s="25" t="s">
        <v>71</v>
      </c>
    </row>
    <row r="779" ht="15.75" customHeight="1">
      <c r="A779" s="25" t="s">
        <v>2178</v>
      </c>
      <c r="B779" s="25" t="s">
        <v>175</v>
      </c>
      <c r="C779" s="69">
        <v>45931.0</v>
      </c>
      <c r="D779" s="21" t="s">
        <v>176</v>
      </c>
      <c r="E779" s="25">
        <v>4.0</v>
      </c>
      <c r="F779" s="21">
        <v>49500.0</v>
      </c>
      <c r="G779" s="21">
        <f t="shared" si="1"/>
        <v>198000</v>
      </c>
      <c r="H779" s="21" t="s">
        <v>549</v>
      </c>
      <c r="I779" s="21" t="s">
        <v>550</v>
      </c>
      <c r="J779" s="25" t="s">
        <v>71</v>
      </c>
    </row>
    <row r="780" ht="15.75" customHeight="1">
      <c r="A780" s="25" t="s">
        <v>2179</v>
      </c>
      <c r="B780" s="25" t="s">
        <v>175</v>
      </c>
      <c r="C780" s="69">
        <v>45962.0</v>
      </c>
      <c r="D780" s="21" t="s">
        <v>176</v>
      </c>
      <c r="E780" s="25">
        <v>0.0</v>
      </c>
      <c r="F780" s="21">
        <v>49500.0</v>
      </c>
      <c r="G780" s="21">
        <f t="shared" si="1"/>
        <v>0</v>
      </c>
      <c r="H780" s="21" t="s">
        <v>549</v>
      </c>
      <c r="I780" s="21" t="s">
        <v>550</v>
      </c>
      <c r="J780" s="25" t="s">
        <v>71</v>
      </c>
    </row>
    <row r="781" ht="15.75" customHeight="1">
      <c r="A781" s="25" t="s">
        <v>2180</v>
      </c>
      <c r="B781" s="25" t="s">
        <v>175</v>
      </c>
      <c r="C781" s="69">
        <v>45992.0</v>
      </c>
      <c r="D781" s="21" t="s">
        <v>176</v>
      </c>
      <c r="E781" s="25">
        <v>0.0</v>
      </c>
      <c r="F781" s="21">
        <v>49500.0</v>
      </c>
      <c r="G781" s="21">
        <f t="shared" si="1"/>
        <v>0</v>
      </c>
      <c r="H781" s="21" t="s">
        <v>549</v>
      </c>
      <c r="I781" s="21" t="s">
        <v>550</v>
      </c>
      <c r="J781" s="25" t="s">
        <v>71</v>
      </c>
    </row>
    <row r="782" ht="15.75" customHeight="1">
      <c r="A782" s="25" t="s">
        <v>2181</v>
      </c>
      <c r="B782" s="25" t="s">
        <v>188</v>
      </c>
      <c r="C782" s="69">
        <v>45658.0</v>
      </c>
      <c r="D782" s="21" t="s">
        <v>189</v>
      </c>
      <c r="E782" s="25">
        <v>0.0</v>
      </c>
      <c r="F782" s="21">
        <v>49500.0</v>
      </c>
      <c r="G782" s="21">
        <f t="shared" si="1"/>
        <v>0</v>
      </c>
      <c r="H782" s="21" t="s">
        <v>549</v>
      </c>
      <c r="I782" s="21" t="s">
        <v>550</v>
      </c>
      <c r="J782" s="25" t="s">
        <v>71</v>
      </c>
    </row>
    <row r="783" ht="15.75" customHeight="1">
      <c r="A783" s="25" t="s">
        <v>2182</v>
      </c>
      <c r="B783" s="25" t="s">
        <v>188</v>
      </c>
      <c r="C783" s="69">
        <v>45689.0</v>
      </c>
      <c r="D783" s="21" t="s">
        <v>189</v>
      </c>
      <c r="E783" s="25">
        <v>2.0</v>
      </c>
      <c r="F783" s="21">
        <v>49500.0</v>
      </c>
      <c r="G783" s="21">
        <f t="shared" si="1"/>
        <v>99000</v>
      </c>
      <c r="H783" s="21" t="s">
        <v>549</v>
      </c>
      <c r="I783" s="21" t="s">
        <v>550</v>
      </c>
      <c r="J783" s="25" t="s">
        <v>71</v>
      </c>
    </row>
    <row r="784" ht="15.75" customHeight="1">
      <c r="A784" s="25" t="s">
        <v>2183</v>
      </c>
      <c r="B784" s="25" t="s">
        <v>188</v>
      </c>
      <c r="C784" s="69">
        <v>45717.0</v>
      </c>
      <c r="D784" s="21" t="s">
        <v>189</v>
      </c>
      <c r="E784" s="25">
        <v>3.0</v>
      </c>
      <c r="F784" s="21">
        <v>49500.0</v>
      </c>
      <c r="G784" s="21">
        <f t="shared" si="1"/>
        <v>148500</v>
      </c>
      <c r="H784" s="21" t="s">
        <v>549</v>
      </c>
      <c r="I784" s="21" t="s">
        <v>550</v>
      </c>
      <c r="J784" s="25" t="s">
        <v>71</v>
      </c>
    </row>
    <row r="785" ht="15.75" customHeight="1">
      <c r="A785" s="25" t="s">
        <v>2184</v>
      </c>
      <c r="B785" s="25" t="s">
        <v>188</v>
      </c>
      <c r="C785" s="69">
        <v>45748.0</v>
      </c>
      <c r="D785" s="21" t="s">
        <v>189</v>
      </c>
      <c r="E785" s="25">
        <v>0.0</v>
      </c>
      <c r="F785" s="21">
        <v>49500.0</v>
      </c>
      <c r="G785" s="21">
        <f t="shared" si="1"/>
        <v>0</v>
      </c>
      <c r="H785" s="21" t="s">
        <v>549</v>
      </c>
      <c r="I785" s="21" t="s">
        <v>550</v>
      </c>
      <c r="J785" s="25" t="s">
        <v>71</v>
      </c>
    </row>
    <row r="786" ht="15.75" customHeight="1">
      <c r="A786" s="25" t="s">
        <v>2185</v>
      </c>
      <c r="B786" s="25" t="s">
        <v>188</v>
      </c>
      <c r="C786" s="69">
        <v>45778.0</v>
      </c>
      <c r="D786" s="21" t="s">
        <v>189</v>
      </c>
      <c r="E786" s="25">
        <v>2.0</v>
      </c>
      <c r="F786" s="21">
        <v>49500.0</v>
      </c>
      <c r="G786" s="21">
        <f t="shared" si="1"/>
        <v>99000</v>
      </c>
      <c r="H786" s="21" t="s">
        <v>549</v>
      </c>
      <c r="I786" s="21" t="s">
        <v>550</v>
      </c>
      <c r="J786" s="25" t="s">
        <v>71</v>
      </c>
    </row>
    <row r="787" ht="15.75" customHeight="1">
      <c r="A787" s="25" t="s">
        <v>2186</v>
      </c>
      <c r="B787" s="25" t="s">
        <v>188</v>
      </c>
      <c r="C787" s="69">
        <v>45809.0</v>
      </c>
      <c r="D787" s="21" t="s">
        <v>189</v>
      </c>
      <c r="E787" s="25">
        <v>0.0</v>
      </c>
      <c r="F787" s="21">
        <v>49500.0</v>
      </c>
      <c r="G787" s="21">
        <f t="shared" si="1"/>
        <v>0</v>
      </c>
      <c r="H787" s="21" t="s">
        <v>549</v>
      </c>
      <c r="I787" s="21" t="s">
        <v>550</v>
      </c>
      <c r="J787" s="25" t="s">
        <v>71</v>
      </c>
    </row>
    <row r="788" ht="15.75" customHeight="1">
      <c r="A788" s="25" t="s">
        <v>2187</v>
      </c>
      <c r="B788" s="25" t="s">
        <v>188</v>
      </c>
      <c r="C788" s="69">
        <v>45839.0</v>
      </c>
      <c r="D788" s="21" t="s">
        <v>189</v>
      </c>
      <c r="E788" s="25">
        <v>3.0</v>
      </c>
      <c r="F788" s="21">
        <v>49500.0</v>
      </c>
      <c r="G788" s="21">
        <f t="shared" si="1"/>
        <v>148500</v>
      </c>
      <c r="H788" s="21" t="s">
        <v>549</v>
      </c>
      <c r="I788" s="21" t="s">
        <v>550</v>
      </c>
      <c r="J788" s="25" t="s">
        <v>71</v>
      </c>
    </row>
    <row r="789" ht="15.75" customHeight="1">
      <c r="A789" s="25" t="s">
        <v>2188</v>
      </c>
      <c r="B789" s="25" t="s">
        <v>188</v>
      </c>
      <c r="C789" s="69">
        <v>45870.0</v>
      </c>
      <c r="D789" s="21" t="s">
        <v>189</v>
      </c>
      <c r="E789" s="25">
        <v>5.0</v>
      </c>
      <c r="F789" s="21">
        <v>49500.0</v>
      </c>
      <c r="G789" s="21">
        <f t="shared" si="1"/>
        <v>247500</v>
      </c>
      <c r="H789" s="21" t="s">
        <v>549</v>
      </c>
      <c r="I789" s="21" t="s">
        <v>550</v>
      </c>
      <c r="J789" s="25" t="s">
        <v>71</v>
      </c>
    </row>
    <row r="790" ht="15.75" customHeight="1">
      <c r="A790" s="25" t="s">
        <v>2189</v>
      </c>
      <c r="B790" s="25" t="s">
        <v>188</v>
      </c>
      <c r="C790" s="69">
        <v>45901.0</v>
      </c>
      <c r="D790" s="21" t="s">
        <v>189</v>
      </c>
      <c r="E790" s="25">
        <v>0.0</v>
      </c>
      <c r="F790" s="21">
        <v>49500.0</v>
      </c>
      <c r="G790" s="21">
        <f t="shared" si="1"/>
        <v>0</v>
      </c>
      <c r="H790" s="21" t="s">
        <v>549</v>
      </c>
      <c r="I790" s="21" t="s">
        <v>550</v>
      </c>
      <c r="J790" s="25" t="s">
        <v>71</v>
      </c>
    </row>
    <row r="791" ht="15.75" customHeight="1">
      <c r="A791" s="25" t="s">
        <v>2190</v>
      </c>
      <c r="B791" s="25" t="s">
        <v>188</v>
      </c>
      <c r="C791" s="69">
        <v>45931.0</v>
      </c>
      <c r="D791" s="21" t="s">
        <v>189</v>
      </c>
      <c r="E791" s="25">
        <v>1.0</v>
      </c>
      <c r="F791" s="21">
        <v>49500.0</v>
      </c>
      <c r="G791" s="21">
        <f t="shared" si="1"/>
        <v>49500</v>
      </c>
      <c r="H791" s="21" t="s">
        <v>549</v>
      </c>
      <c r="I791" s="21" t="s">
        <v>550</v>
      </c>
      <c r="J791" s="25" t="s">
        <v>71</v>
      </c>
    </row>
    <row r="792" ht="15.75" customHeight="1">
      <c r="A792" s="25" t="s">
        <v>2191</v>
      </c>
      <c r="B792" s="25" t="s">
        <v>188</v>
      </c>
      <c r="C792" s="69">
        <v>45962.0</v>
      </c>
      <c r="D792" s="21" t="s">
        <v>189</v>
      </c>
      <c r="E792" s="25">
        <v>2.0</v>
      </c>
      <c r="F792" s="21">
        <v>49500.0</v>
      </c>
      <c r="G792" s="21">
        <f t="shared" si="1"/>
        <v>99000</v>
      </c>
      <c r="H792" s="21" t="s">
        <v>549</v>
      </c>
      <c r="I792" s="21" t="s">
        <v>550</v>
      </c>
      <c r="J792" s="25" t="s">
        <v>71</v>
      </c>
    </row>
    <row r="793" ht="15.75" customHeight="1">
      <c r="A793" s="25" t="s">
        <v>2192</v>
      </c>
      <c r="B793" s="25" t="s">
        <v>188</v>
      </c>
      <c r="C793" s="69">
        <v>45992.0</v>
      </c>
      <c r="D793" s="21" t="s">
        <v>189</v>
      </c>
      <c r="E793" s="25">
        <v>0.0</v>
      </c>
      <c r="F793" s="21">
        <v>49500.0</v>
      </c>
      <c r="G793" s="21">
        <f t="shared" si="1"/>
        <v>0</v>
      </c>
      <c r="H793" s="21" t="s">
        <v>549</v>
      </c>
      <c r="I793" s="21" t="s">
        <v>550</v>
      </c>
      <c r="J793" s="25" t="s">
        <v>71</v>
      </c>
    </row>
    <row r="794" ht="15.75" customHeight="1">
      <c r="A794" s="82"/>
      <c r="B794" s="82"/>
      <c r="C794" s="82"/>
    </row>
    <row r="795" ht="15.75" customHeight="1">
      <c r="A795" s="82"/>
      <c r="B795" s="82"/>
      <c r="C795" s="82"/>
    </row>
    <row r="796" ht="15.75" customHeight="1">
      <c r="A796" s="82"/>
      <c r="B796" s="82"/>
      <c r="C796" s="82"/>
    </row>
    <row r="797" ht="15.75" customHeight="1">
      <c r="A797" s="82"/>
      <c r="B797" s="82"/>
      <c r="C797" s="82"/>
    </row>
    <row r="798" ht="15.75" customHeight="1">
      <c r="A798" s="82"/>
      <c r="B798" s="82"/>
      <c r="C798" s="82"/>
    </row>
    <row r="799" ht="15.75" customHeight="1">
      <c r="A799" s="82"/>
      <c r="B799" s="82"/>
      <c r="C799" s="82"/>
    </row>
    <row r="800" ht="15.75" customHeight="1">
      <c r="A800" s="82"/>
      <c r="B800" s="82"/>
      <c r="C800" s="82"/>
    </row>
    <row r="801" ht="15.75" customHeight="1">
      <c r="A801" s="82"/>
      <c r="B801" s="82"/>
      <c r="C801" s="82"/>
    </row>
    <row r="802" ht="15.75" customHeight="1">
      <c r="A802" s="82"/>
      <c r="B802" s="82"/>
      <c r="C802" s="82"/>
    </row>
    <row r="803" ht="15.75" customHeight="1">
      <c r="A803" s="82"/>
      <c r="B803" s="82"/>
      <c r="C803" s="82"/>
    </row>
    <row r="804" ht="15.75" customHeight="1">
      <c r="A804" s="82"/>
      <c r="B804" s="82"/>
      <c r="C804" s="82"/>
    </row>
    <row r="805" ht="15.75" customHeight="1">
      <c r="A805" s="82"/>
      <c r="B805" s="82"/>
      <c r="C805" s="82"/>
    </row>
    <row r="806" ht="15.75" customHeight="1">
      <c r="A806" s="82"/>
      <c r="B806" s="82"/>
      <c r="C806" s="82"/>
    </row>
    <row r="807" ht="15.75" customHeight="1">
      <c r="A807" s="82"/>
      <c r="B807" s="82"/>
      <c r="C807" s="82"/>
    </row>
    <row r="808" ht="15.75" customHeight="1">
      <c r="A808" s="82"/>
      <c r="B808" s="82"/>
      <c r="C808" s="82"/>
    </row>
    <row r="809" ht="15.75" customHeight="1">
      <c r="A809" s="82"/>
      <c r="B809" s="82"/>
      <c r="C809" s="82"/>
    </row>
    <row r="810" ht="15.75" customHeight="1">
      <c r="A810" s="82"/>
      <c r="B810" s="82"/>
      <c r="C810" s="82"/>
    </row>
    <row r="811" ht="15.75" customHeight="1">
      <c r="A811" s="82"/>
      <c r="B811" s="82"/>
      <c r="C811" s="82"/>
    </row>
    <row r="812" ht="15.75" customHeight="1">
      <c r="A812" s="82"/>
      <c r="B812" s="82"/>
      <c r="C812" s="82"/>
    </row>
    <row r="813" ht="15.75" customHeight="1">
      <c r="A813" s="82"/>
      <c r="B813" s="82"/>
      <c r="C813" s="82"/>
    </row>
    <row r="814" ht="15.75" customHeight="1">
      <c r="A814" s="82"/>
      <c r="B814" s="82"/>
      <c r="C814" s="82"/>
    </row>
    <row r="815" ht="15.75" customHeight="1">
      <c r="A815" s="82"/>
      <c r="B815" s="82"/>
      <c r="C815" s="82"/>
    </row>
    <row r="816" ht="15.75" customHeight="1">
      <c r="A816" s="82"/>
      <c r="B816" s="82"/>
      <c r="C816" s="82"/>
    </row>
    <row r="817" ht="15.75" customHeight="1">
      <c r="A817" s="82"/>
      <c r="B817" s="82"/>
      <c r="C817" s="82"/>
    </row>
    <row r="818" ht="15.75" customHeight="1">
      <c r="A818" s="82"/>
      <c r="B818" s="82"/>
      <c r="C818" s="82"/>
    </row>
    <row r="819" ht="15.75" customHeight="1">
      <c r="A819" s="82"/>
      <c r="B819" s="82"/>
      <c r="C819" s="82"/>
    </row>
    <row r="820" ht="15.75" customHeight="1">
      <c r="A820" s="82"/>
      <c r="B820" s="82"/>
      <c r="C820" s="82"/>
    </row>
    <row r="821" ht="15.75" customHeight="1">
      <c r="A821" s="82"/>
      <c r="B821" s="82"/>
      <c r="C821" s="82"/>
    </row>
    <row r="822" ht="15.75" customHeight="1">
      <c r="A822" s="82"/>
      <c r="B822" s="82"/>
      <c r="C822" s="82"/>
    </row>
    <row r="823" ht="15.75" customHeight="1">
      <c r="A823" s="82"/>
      <c r="B823" s="82"/>
      <c r="C823" s="82"/>
    </row>
    <row r="824" ht="15.75" customHeight="1">
      <c r="A824" s="82"/>
      <c r="B824" s="82"/>
      <c r="C824" s="82"/>
    </row>
    <row r="825" ht="15.75" customHeight="1">
      <c r="A825" s="82"/>
      <c r="B825" s="82"/>
      <c r="C825" s="82"/>
    </row>
    <row r="826" ht="15.75" customHeight="1">
      <c r="A826" s="82"/>
      <c r="B826" s="82"/>
      <c r="C826" s="82"/>
    </row>
    <row r="827" ht="15.75" customHeight="1">
      <c r="A827" s="82"/>
      <c r="B827" s="82"/>
      <c r="C827" s="82"/>
    </row>
    <row r="828" ht="15.75" customHeight="1">
      <c r="A828" s="82"/>
      <c r="B828" s="82"/>
      <c r="C828" s="82"/>
    </row>
    <row r="829" ht="15.75" customHeight="1">
      <c r="A829" s="82"/>
      <c r="B829" s="82"/>
      <c r="C829" s="82"/>
    </row>
    <row r="830" ht="15.75" customHeight="1">
      <c r="A830" s="82"/>
      <c r="B830" s="82"/>
      <c r="C830" s="82"/>
    </row>
    <row r="831" ht="15.75" customHeight="1">
      <c r="A831" s="82"/>
      <c r="B831" s="82"/>
      <c r="C831" s="82"/>
    </row>
    <row r="832" ht="15.75" customHeight="1">
      <c r="A832" s="82"/>
      <c r="B832" s="82"/>
      <c r="C832" s="82"/>
    </row>
    <row r="833" ht="15.75" customHeight="1">
      <c r="A833" s="82"/>
      <c r="B833" s="82"/>
      <c r="C833" s="82"/>
    </row>
    <row r="834" ht="15.75" customHeight="1">
      <c r="A834" s="82"/>
      <c r="B834" s="82"/>
      <c r="C834" s="82"/>
    </row>
    <row r="835" ht="15.75" customHeight="1">
      <c r="A835" s="82"/>
      <c r="B835" s="82"/>
      <c r="C835" s="82"/>
    </row>
    <row r="836" ht="15.75" customHeight="1">
      <c r="A836" s="82"/>
      <c r="B836" s="82"/>
      <c r="C836" s="82"/>
    </row>
    <row r="837" ht="15.75" customHeight="1">
      <c r="A837" s="82"/>
      <c r="B837" s="82"/>
      <c r="C837" s="82"/>
    </row>
    <row r="838" ht="15.75" customHeight="1">
      <c r="A838" s="82"/>
      <c r="B838" s="82"/>
      <c r="C838" s="82"/>
    </row>
    <row r="839" ht="15.75" customHeight="1">
      <c r="A839" s="82"/>
      <c r="B839" s="82"/>
      <c r="C839" s="82"/>
    </row>
    <row r="840" ht="15.75" customHeight="1">
      <c r="A840" s="82"/>
      <c r="B840" s="82"/>
      <c r="C840" s="82"/>
    </row>
    <row r="841" ht="15.75" customHeight="1">
      <c r="A841" s="82"/>
      <c r="B841" s="82"/>
      <c r="C841" s="82"/>
    </row>
    <row r="842" ht="15.75" customHeight="1">
      <c r="A842" s="82"/>
      <c r="B842" s="82"/>
      <c r="C842" s="82"/>
    </row>
    <row r="843" ht="15.75" customHeight="1">
      <c r="A843" s="82"/>
      <c r="B843" s="82"/>
      <c r="C843" s="82"/>
    </row>
    <row r="844" ht="15.75" customHeight="1">
      <c r="A844" s="82"/>
      <c r="B844" s="82"/>
      <c r="C844" s="82"/>
    </row>
    <row r="845" ht="15.75" customHeight="1">
      <c r="A845" s="82"/>
      <c r="B845" s="82"/>
      <c r="C845" s="82"/>
    </row>
    <row r="846" ht="15.75" customHeight="1">
      <c r="A846" s="82"/>
      <c r="B846" s="82"/>
      <c r="C846" s="82"/>
    </row>
    <row r="847" ht="15.75" customHeight="1">
      <c r="A847" s="82"/>
      <c r="B847" s="82"/>
      <c r="C847" s="82"/>
    </row>
    <row r="848" ht="15.75" customHeight="1">
      <c r="A848" s="82"/>
      <c r="B848" s="82"/>
      <c r="C848" s="82"/>
    </row>
    <row r="849" ht="15.75" customHeight="1">
      <c r="A849" s="82"/>
      <c r="B849" s="82"/>
      <c r="C849" s="82"/>
    </row>
    <row r="850" ht="15.75" customHeight="1">
      <c r="A850" s="82"/>
      <c r="B850" s="82"/>
      <c r="C850" s="82"/>
    </row>
    <row r="851" ht="15.75" customHeight="1">
      <c r="A851" s="82"/>
      <c r="B851" s="82"/>
      <c r="C851" s="82"/>
    </row>
    <row r="852" ht="15.75" customHeight="1">
      <c r="A852" s="82"/>
      <c r="B852" s="82"/>
      <c r="C852" s="82"/>
    </row>
    <row r="853" ht="15.75" customHeight="1">
      <c r="A853" s="82"/>
      <c r="B853" s="82"/>
      <c r="C853" s="82"/>
    </row>
    <row r="854" ht="15.75" customHeight="1">
      <c r="A854" s="82"/>
      <c r="B854" s="82"/>
      <c r="C854" s="82"/>
    </row>
    <row r="855" ht="15.75" customHeight="1">
      <c r="A855" s="82"/>
      <c r="B855" s="82"/>
      <c r="C855" s="82"/>
    </row>
    <row r="856" ht="15.75" customHeight="1">
      <c r="A856" s="82"/>
      <c r="B856" s="82"/>
      <c r="C856" s="82"/>
    </row>
    <row r="857" ht="15.75" customHeight="1">
      <c r="A857" s="82"/>
      <c r="B857" s="82"/>
      <c r="C857" s="82"/>
    </row>
    <row r="858" ht="15.75" customHeight="1">
      <c r="A858" s="82"/>
      <c r="B858" s="82"/>
      <c r="C858" s="82"/>
    </row>
    <row r="859" ht="15.75" customHeight="1">
      <c r="A859" s="82"/>
      <c r="B859" s="82"/>
      <c r="C859" s="82"/>
    </row>
    <row r="860" ht="15.75" customHeight="1">
      <c r="A860" s="82"/>
      <c r="B860" s="82"/>
      <c r="C860" s="82"/>
    </row>
    <row r="861" ht="15.75" customHeight="1">
      <c r="A861" s="82"/>
      <c r="B861" s="82"/>
      <c r="C861" s="82"/>
    </row>
    <row r="862" ht="15.75" customHeight="1">
      <c r="A862" s="82"/>
      <c r="B862" s="82"/>
      <c r="C862" s="82"/>
    </row>
    <row r="863" ht="15.75" customHeight="1">
      <c r="A863" s="82"/>
      <c r="B863" s="82"/>
      <c r="C863" s="82"/>
    </row>
    <row r="864" ht="15.75" customHeight="1">
      <c r="A864" s="82"/>
      <c r="B864" s="82"/>
      <c r="C864" s="82"/>
    </row>
    <row r="865" ht="15.75" customHeight="1">
      <c r="A865" s="82"/>
      <c r="B865" s="82"/>
      <c r="C865" s="82"/>
    </row>
    <row r="866" ht="15.75" customHeight="1">
      <c r="A866" s="82"/>
      <c r="B866" s="82"/>
      <c r="C866" s="82"/>
    </row>
    <row r="867" ht="15.75" customHeight="1">
      <c r="A867" s="82"/>
      <c r="B867" s="82"/>
      <c r="C867" s="82"/>
    </row>
    <row r="868" ht="15.75" customHeight="1">
      <c r="A868" s="82"/>
      <c r="B868" s="82"/>
      <c r="C868" s="82"/>
    </row>
    <row r="869" ht="15.75" customHeight="1">
      <c r="A869" s="82"/>
      <c r="B869" s="82"/>
      <c r="C869" s="82"/>
    </row>
    <row r="870" ht="15.75" customHeight="1">
      <c r="A870" s="82"/>
      <c r="B870" s="82"/>
      <c r="C870" s="82"/>
    </row>
    <row r="871" ht="15.75" customHeight="1">
      <c r="A871" s="82"/>
      <c r="B871" s="82"/>
      <c r="C871" s="82"/>
    </row>
    <row r="872" ht="15.75" customHeight="1">
      <c r="A872" s="82"/>
      <c r="B872" s="82"/>
      <c r="C872" s="82"/>
    </row>
    <row r="873" ht="15.75" customHeight="1">
      <c r="A873" s="82"/>
      <c r="B873" s="82"/>
      <c r="C873" s="82"/>
    </row>
    <row r="874" ht="15.75" customHeight="1">
      <c r="A874" s="82"/>
      <c r="B874" s="82"/>
      <c r="C874" s="82"/>
    </row>
    <row r="875" ht="15.75" customHeight="1">
      <c r="A875" s="82"/>
      <c r="B875" s="82"/>
      <c r="C875" s="82"/>
    </row>
    <row r="876" ht="15.75" customHeight="1">
      <c r="A876" s="82"/>
      <c r="B876" s="82"/>
      <c r="C876" s="82"/>
    </row>
    <row r="877" ht="15.75" customHeight="1">
      <c r="A877" s="82"/>
      <c r="B877" s="82"/>
      <c r="C877" s="82"/>
    </row>
    <row r="878" ht="15.75" customHeight="1">
      <c r="A878" s="82"/>
      <c r="B878" s="82"/>
      <c r="C878" s="82"/>
    </row>
    <row r="879" ht="15.75" customHeight="1">
      <c r="A879" s="82"/>
      <c r="B879" s="82"/>
      <c r="C879" s="82"/>
    </row>
    <row r="880" ht="15.75" customHeight="1">
      <c r="A880" s="82"/>
      <c r="B880" s="82"/>
      <c r="C880" s="82"/>
    </row>
    <row r="881" ht="15.75" customHeight="1">
      <c r="A881" s="82"/>
      <c r="B881" s="82"/>
      <c r="C881" s="82"/>
    </row>
    <row r="882" ht="15.75" customHeight="1">
      <c r="A882" s="82"/>
      <c r="B882" s="82"/>
      <c r="C882" s="82"/>
    </row>
    <row r="883" ht="15.75" customHeight="1">
      <c r="A883" s="82"/>
      <c r="B883" s="82"/>
      <c r="C883" s="82"/>
    </row>
    <row r="884" ht="15.75" customHeight="1">
      <c r="A884" s="82"/>
      <c r="B884" s="82"/>
      <c r="C884" s="82"/>
    </row>
    <row r="885" ht="15.75" customHeight="1">
      <c r="A885" s="82"/>
      <c r="B885" s="82"/>
      <c r="C885" s="82"/>
    </row>
    <row r="886" ht="15.75" customHeight="1">
      <c r="A886" s="82"/>
      <c r="B886" s="82"/>
      <c r="C886" s="82"/>
    </row>
    <row r="887" ht="15.75" customHeight="1">
      <c r="A887" s="82"/>
      <c r="B887" s="82"/>
      <c r="C887" s="82"/>
    </row>
    <row r="888" ht="15.75" customHeight="1">
      <c r="A888" s="82"/>
      <c r="B888" s="82"/>
      <c r="C888" s="82"/>
    </row>
    <row r="889" ht="15.75" customHeight="1">
      <c r="A889" s="82"/>
      <c r="B889" s="82"/>
      <c r="C889" s="82"/>
    </row>
    <row r="890" ht="15.75" customHeight="1">
      <c r="A890" s="82"/>
      <c r="B890" s="82"/>
      <c r="C890" s="82"/>
    </row>
    <row r="891" ht="15.75" customHeight="1">
      <c r="A891" s="82"/>
      <c r="B891" s="82"/>
      <c r="C891" s="82"/>
    </row>
    <row r="892" ht="15.75" customHeight="1">
      <c r="A892" s="82"/>
      <c r="B892" s="82"/>
      <c r="C892" s="82"/>
    </row>
    <row r="893" ht="15.75" customHeight="1">
      <c r="A893" s="82"/>
      <c r="B893" s="82"/>
      <c r="C893" s="82"/>
    </row>
    <row r="894" ht="15.75" customHeight="1">
      <c r="A894" s="82"/>
      <c r="B894" s="82"/>
      <c r="C894" s="82"/>
    </row>
    <row r="895" ht="15.75" customHeight="1">
      <c r="A895" s="82"/>
      <c r="B895" s="82"/>
      <c r="C895" s="82"/>
    </row>
    <row r="896" ht="15.75" customHeight="1">
      <c r="A896" s="82"/>
      <c r="B896" s="82"/>
      <c r="C896" s="82"/>
    </row>
    <row r="897" ht="15.75" customHeight="1">
      <c r="A897" s="82"/>
      <c r="B897" s="82"/>
      <c r="C897" s="82"/>
    </row>
    <row r="898" ht="15.75" customHeight="1">
      <c r="A898" s="82"/>
      <c r="B898" s="82"/>
      <c r="C898" s="82"/>
    </row>
    <row r="899" ht="15.75" customHeight="1">
      <c r="A899" s="82"/>
      <c r="B899" s="82"/>
      <c r="C899" s="82"/>
    </row>
    <row r="900" ht="15.75" customHeight="1">
      <c r="A900" s="82"/>
      <c r="B900" s="82"/>
      <c r="C900" s="82"/>
    </row>
    <row r="901" ht="15.75" customHeight="1">
      <c r="A901" s="82"/>
      <c r="B901" s="82"/>
      <c r="C901" s="82"/>
    </row>
    <row r="902" ht="15.75" customHeight="1">
      <c r="A902" s="82"/>
      <c r="B902" s="82"/>
      <c r="C902" s="82"/>
    </row>
    <row r="903" ht="15.75" customHeight="1">
      <c r="A903" s="82"/>
      <c r="B903" s="82"/>
      <c r="C903" s="82"/>
    </row>
    <row r="904" ht="15.75" customHeight="1">
      <c r="A904" s="82"/>
      <c r="B904" s="82"/>
      <c r="C904" s="82"/>
    </row>
    <row r="905" ht="15.75" customHeight="1">
      <c r="A905" s="82"/>
      <c r="B905" s="82"/>
      <c r="C905" s="82"/>
    </row>
    <row r="906" ht="15.75" customHeight="1">
      <c r="A906" s="82"/>
      <c r="B906" s="82"/>
      <c r="C906" s="82"/>
    </row>
    <row r="907" ht="15.75" customHeight="1">
      <c r="A907" s="82"/>
      <c r="B907" s="82"/>
      <c r="C907" s="82"/>
    </row>
    <row r="908" ht="15.75" customHeight="1">
      <c r="A908" s="82"/>
      <c r="B908" s="82"/>
      <c r="C908" s="82"/>
    </row>
    <row r="909" ht="15.75" customHeight="1">
      <c r="A909" s="82"/>
      <c r="B909" s="82"/>
      <c r="C909" s="82"/>
    </row>
    <row r="910" ht="15.75" customHeight="1">
      <c r="A910" s="82"/>
      <c r="B910" s="82"/>
      <c r="C910" s="82"/>
    </row>
    <row r="911" ht="15.75" customHeight="1">
      <c r="A911" s="82"/>
      <c r="B911" s="82"/>
      <c r="C911" s="82"/>
    </row>
    <row r="912" ht="15.75" customHeight="1">
      <c r="A912" s="82"/>
      <c r="B912" s="82"/>
      <c r="C912" s="82"/>
    </row>
    <row r="913" ht="15.75" customHeight="1">
      <c r="A913" s="82"/>
      <c r="B913" s="82"/>
      <c r="C913" s="82"/>
    </row>
    <row r="914" ht="15.75" customHeight="1">
      <c r="A914" s="82"/>
      <c r="B914" s="82"/>
      <c r="C914" s="82"/>
    </row>
    <row r="915" ht="15.75" customHeight="1">
      <c r="A915" s="82"/>
      <c r="B915" s="82"/>
      <c r="C915" s="82"/>
    </row>
    <row r="916" ht="15.75" customHeight="1">
      <c r="A916" s="82"/>
      <c r="B916" s="82"/>
      <c r="C916" s="82"/>
    </row>
    <row r="917" ht="15.75" customHeight="1">
      <c r="A917" s="82"/>
      <c r="B917" s="82"/>
      <c r="C917" s="82"/>
    </row>
    <row r="918" ht="15.75" customHeight="1">
      <c r="A918" s="82"/>
      <c r="B918" s="82"/>
      <c r="C918" s="82"/>
    </row>
    <row r="919" ht="15.75" customHeight="1">
      <c r="A919" s="82"/>
      <c r="B919" s="82"/>
      <c r="C919" s="82"/>
    </row>
    <row r="920" ht="15.75" customHeight="1">
      <c r="A920" s="82"/>
      <c r="B920" s="82"/>
      <c r="C920" s="82"/>
    </row>
    <row r="921" ht="15.75" customHeight="1">
      <c r="A921" s="82"/>
      <c r="B921" s="82"/>
      <c r="C921" s="82"/>
    </row>
    <row r="922" ht="15.75" customHeight="1">
      <c r="A922" s="82"/>
      <c r="B922" s="82"/>
      <c r="C922" s="82"/>
    </row>
    <row r="923" ht="15.75" customHeight="1">
      <c r="A923" s="82"/>
      <c r="B923" s="82"/>
      <c r="C923" s="82"/>
    </row>
    <row r="924" ht="15.75" customHeight="1">
      <c r="A924" s="82"/>
      <c r="B924" s="82"/>
      <c r="C924" s="82"/>
    </row>
    <row r="925" ht="15.75" customHeight="1">
      <c r="A925" s="82"/>
      <c r="B925" s="82"/>
      <c r="C925" s="82"/>
    </row>
    <row r="926" ht="15.75" customHeight="1">
      <c r="A926" s="82"/>
      <c r="B926" s="82"/>
      <c r="C926" s="82"/>
    </row>
    <row r="927" ht="15.75" customHeight="1">
      <c r="A927" s="82"/>
      <c r="B927" s="82"/>
      <c r="C927" s="82"/>
    </row>
    <row r="928" ht="15.75" customHeight="1">
      <c r="A928" s="82"/>
      <c r="B928" s="82"/>
      <c r="C928" s="82"/>
    </row>
    <row r="929" ht="15.75" customHeight="1">
      <c r="A929" s="82"/>
      <c r="B929" s="82"/>
      <c r="C929" s="82"/>
    </row>
    <row r="930" ht="15.75" customHeight="1">
      <c r="A930" s="82"/>
      <c r="B930" s="82"/>
      <c r="C930" s="82"/>
    </row>
    <row r="931" ht="15.75" customHeight="1">
      <c r="A931" s="82"/>
      <c r="B931" s="82"/>
      <c r="C931" s="82"/>
    </row>
    <row r="932" ht="15.75" customHeight="1">
      <c r="A932" s="82"/>
      <c r="B932" s="82"/>
      <c r="C932" s="82"/>
    </row>
    <row r="933" ht="15.75" customHeight="1">
      <c r="A933" s="82"/>
      <c r="B933" s="82"/>
      <c r="C933" s="82"/>
    </row>
    <row r="934" ht="15.75" customHeight="1">
      <c r="A934" s="82"/>
      <c r="B934" s="82"/>
      <c r="C934" s="82"/>
    </row>
    <row r="935" ht="15.75" customHeight="1">
      <c r="A935" s="82"/>
      <c r="B935" s="82"/>
      <c r="C935" s="82"/>
    </row>
    <row r="936" ht="15.75" customHeight="1">
      <c r="A936" s="82"/>
      <c r="B936" s="82"/>
      <c r="C936" s="82"/>
    </row>
    <row r="937" ht="15.75" customHeight="1">
      <c r="A937" s="82"/>
      <c r="B937" s="82"/>
      <c r="C937" s="82"/>
    </row>
    <row r="938" ht="15.75" customHeight="1">
      <c r="A938" s="82"/>
      <c r="B938" s="82"/>
      <c r="C938" s="82"/>
    </row>
    <row r="939" ht="15.75" customHeight="1">
      <c r="A939" s="82"/>
      <c r="B939" s="82"/>
      <c r="C939" s="82"/>
    </row>
    <row r="940" ht="15.75" customHeight="1">
      <c r="A940" s="82"/>
      <c r="B940" s="82"/>
      <c r="C940" s="82"/>
    </row>
    <row r="941" ht="15.75" customHeight="1">
      <c r="A941" s="82"/>
      <c r="B941" s="82"/>
      <c r="C941" s="82"/>
    </row>
    <row r="942" ht="15.75" customHeight="1">
      <c r="A942" s="82"/>
      <c r="B942" s="82"/>
      <c r="C942" s="82"/>
    </row>
    <row r="943" ht="15.75" customHeight="1">
      <c r="A943" s="82"/>
      <c r="B943" s="82"/>
      <c r="C943" s="82"/>
    </row>
    <row r="944" ht="15.75" customHeight="1">
      <c r="A944" s="82"/>
      <c r="B944" s="82"/>
      <c r="C944" s="82"/>
    </row>
    <row r="945" ht="15.75" customHeight="1">
      <c r="A945" s="82"/>
      <c r="B945" s="82"/>
      <c r="C945" s="82"/>
    </row>
    <row r="946" ht="15.75" customHeight="1">
      <c r="A946" s="82"/>
      <c r="B946" s="82"/>
      <c r="C946" s="82"/>
    </row>
    <row r="947" ht="15.75" customHeight="1">
      <c r="A947" s="82"/>
      <c r="B947" s="82"/>
      <c r="C947" s="82"/>
    </row>
    <row r="948" ht="15.75" customHeight="1">
      <c r="A948" s="82"/>
      <c r="B948" s="82"/>
      <c r="C948" s="82"/>
    </row>
    <row r="949" ht="15.75" customHeight="1">
      <c r="A949" s="82"/>
      <c r="B949" s="82"/>
      <c r="C949" s="82"/>
    </row>
    <row r="950" ht="15.75" customHeight="1">
      <c r="A950" s="82"/>
      <c r="B950" s="82"/>
      <c r="C950" s="82"/>
    </row>
    <row r="951" ht="15.75" customHeight="1">
      <c r="A951" s="82"/>
      <c r="B951" s="82"/>
      <c r="C951" s="82"/>
    </row>
    <row r="952" ht="15.75" customHeight="1">
      <c r="A952" s="82"/>
      <c r="B952" s="82"/>
      <c r="C952" s="82"/>
    </row>
    <row r="953" ht="15.75" customHeight="1">
      <c r="A953" s="82"/>
      <c r="B953" s="82"/>
      <c r="C953" s="82"/>
    </row>
    <row r="954" ht="15.75" customHeight="1">
      <c r="A954" s="82"/>
      <c r="B954" s="82"/>
      <c r="C954" s="82"/>
    </row>
    <row r="955" ht="15.75" customHeight="1">
      <c r="A955" s="82"/>
      <c r="B955" s="82"/>
      <c r="C955" s="82"/>
    </row>
    <row r="956" ht="15.75" customHeight="1">
      <c r="A956" s="82"/>
      <c r="B956" s="82"/>
      <c r="C956" s="82"/>
    </row>
    <row r="957" ht="15.75" customHeight="1">
      <c r="A957" s="82"/>
      <c r="B957" s="82"/>
      <c r="C957" s="82"/>
    </row>
    <row r="958" ht="15.75" customHeight="1">
      <c r="A958" s="82"/>
      <c r="B958" s="82"/>
      <c r="C958" s="82"/>
    </row>
    <row r="959" ht="15.75" customHeight="1">
      <c r="A959" s="82"/>
      <c r="B959" s="82"/>
      <c r="C959" s="82"/>
    </row>
    <row r="960" ht="15.75" customHeight="1">
      <c r="A960" s="82"/>
      <c r="B960" s="82"/>
      <c r="C960" s="82"/>
    </row>
    <row r="961" ht="15.75" customHeight="1">
      <c r="A961" s="82"/>
      <c r="B961" s="82"/>
      <c r="C961" s="82"/>
    </row>
    <row r="962" ht="15.75" customHeight="1">
      <c r="A962" s="82"/>
      <c r="B962" s="82"/>
      <c r="C962" s="82"/>
    </row>
    <row r="963" ht="15.75" customHeight="1">
      <c r="A963" s="82"/>
      <c r="B963" s="82"/>
      <c r="C963" s="82"/>
    </row>
    <row r="964" ht="15.75" customHeight="1">
      <c r="A964" s="82"/>
      <c r="B964" s="82"/>
      <c r="C964" s="82"/>
    </row>
    <row r="965" ht="15.75" customHeight="1">
      <c r="A965" s="82"/>
      <c r="B965" s="82"/>
      <c r="C965" s="82"/>
    </row>
    <row r="966" ht="15.75" customHeight="1">
      <c r="A966" s="82"/>
      <c r="B966" s="82"/>
      <c r="C966" s="82"/>
    </row>
    <row r="967" ht="15.75" customHeight="1">
      <c r="A967" s="82"/>
      <c r="B967" s="82"/>
      <c r="C967" s="82"/>
    </row>
    <row r="968" ht="15.75" customHeight="1">
      <c r="A968" s="82"/>
      <c r="B968" s="82"/>
      <c r="C968" s="82"/>
    </row>
    <row r="969" ht="15.75" customHeight="1">
      <c r="A969" s="82"/>
      <c r="B969" s="82"/>
      <c r="C969" s="82"/>
    </row>
    <row r="970" ht="15.75" customHeight="1">
      <c r="A970" s="82"/>
      <c r="B970" s="82"/>
      <c r="C970" s="82"/>
    </row>
    <row r="971" ht="15.75" customHeight="1">
      <c r="A971" s="82"/>
      <c r="B971" s="82"/>
      <c r="C971" s="82"/>
    </row>
    <row r="972" ht="15.75" customHeight="1">
      <c r="A972" s="82"/>
      <c r="B972" s="82"/>
      <c r="C972" s="82"/>
    </row>
    <row r="973" ht="15.75" customHeight="1">
      <c r="A973" s="82"/>
      <c r="B973" s="82"/>
      <c r="C973" s="82"/>
    </row>
    <row r="974" ht="15.75" customHeight="1">
      <c r="A974" s="82"/>
      <c r="B974" s="82"/>
      <c r="C974" s="82"/>
    </row>
    <row r="975" ht="15.75" customHeight="1">
      <c r="A975" s="82"/>
      <c r="B975" s="82"/>
      <c r="C975" s="82"/>
    </row>
    <row r="976" ht="15.75" customHeight="1">
      <c r="A976" s="82"/>
      <c r="B976" s="82"/>
      <c r="C976" s="82"/>
    </row>
    <row r="977" ht="15.75" customHeight="1">
      <c r="A977" s="82"/>
      <c r="B977" s="82"/>
      <c r="C977" s="82"/>
    </row>
    <row r="978" ht="15.75" customHeight="1">
      <c r="A978" s="82"/>
      <c r="B978" s="82"/>
      <c r="C978" s="82"/>
    </row>
    <row r="979" ht="15.75" customHeight="1">
      <c r="A979" s="82"/>
      <c r="B979" s="82"/>
      <c r="C979" s="82"/>
    </row>
    <row r="980" ht="15.75" customHeight="1">
      <c r="A980" s="82"/>
      <c r="B980" s="82"/>
      <c r="C980" s="82"/>
    </row>
    <row r="981" ht="15.75" customHeight="1">
      <c r="A981" s="82"/>
      <c r="B981" s="82"/>
      <c r="C981" s="82"/>
    </row>
    <row r="982" ht="15.75" customHeight="1">
      <c r="A982" s="82"/>
      <c r="B982" s="82"/>
      <c r="C982" s="82"/>
    </row>
    <row r="983" ht="15.75" customHeight="1">
      <c r="A983" s="82"/>
      <c r="B983" s="82"/>
      <c r="C983" s="82"/>
    </row>
    <row r="984" ht="15.75" customHeight="1">
      <c r="A984" s="82"/>
      <c r="B984" s="82"/>
      <c r="C984" s="82"/>
    </row>
    <row r="985" ht="15.75" customHeight="1">
      <c r="A985" s="82"/>
      <c r="B985" s="82"/>
      <c r="C985" s="82"/>
    </row>
    <row r="986" ht="15.75" customHeight="1">
      <c r="A986" s="82"/>
      <c r="B986" s="82"/>
      <c r="C986" s="82"/>
    </row>
    <row r="987" ht="15.75" customHeight="1">
      <c r="A987" s="82"/>
      <c r="B987" s="82"/>
      <c r="C987" s="82"/>
    </row>
    <row r="988" ht="15.75" customHeight="1">
      <c r="A988" s="82"/>
      <c r="B988" s="82"/>
      <c r="C988" s="82"/>
    </row>
    <row r="989" ht="15.75" customHeight="1">
      <c r="A989" s="82"/>
      <c r="B989" s="82"/>
      <c r="C989" s="82"/>
    </row>
    <row r="990" ht="15.75" customHeight="1">
      <c r="A990" s="82"/>
      <c r="B990" s="82"/>
      <c r="C990" s="82"/>
    </row>
    <row r="991" ht="15.75" customHeight="1">
      <c r="A991" s="82"/>
      <c r="B991" s="82"/>
      <c r="C991" s="82"/>
    </row>
    <row r="992" ht="15.75" customHeight="1">
      <c r="A992" s="82"/>
      <c r="B992" s="82"/>
      <c r="C992" s="82"/>
    </row>
    <row r="993" ht="15.75" customHeight="1">
      <c r="A993" s="82"/>
      <c r="B993" s="82"/>
      <c r="C993" s="82"/>
    </row>
    <row r="994" ht="15.75" customHeight="1"/>
    <row r="995" ht="15.75" customHeight="1"/>
    <row r="996" ht="15.75" customHeight="1"/>
    <row r="997" ht="15.75" customHeight="1"/>
    <row r="998" ht="15.75" customHeight="1"/>
    <row r="999" ht="15.75" customHeight="1"/>
    <row r="1000" ht="15.75" customHeight="1"/>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25"/>
    <col customWidth="1" min="2" max="2" width="12.63"/>
    <col customWidth="1" min="3" max="3" width="19.75"/>
    <col customWidth="1" min="4" max="4" width="20.0"/>
    <col customWidth="1" min="5" max="6" width="12.63"/>
    <col customWidth="1" min="7" max="7" width="20.5"/>
    <col customWidth="1" min="8" max="8" width="44.88"/>
    <col customWidth="1" min="9" max="9" width="28.5"/>
    <col customWidth="1" min="10" max="10" width="48.63"/>
    <col customWidth="1" min="11" max="11" width="18.88"/>
    <col customWidth="1" min="12" max="12" width="18.63"/>
    <col customWidth="1" min="13" max="13" width="18.75"/>
    <col customWidth="1" min="14" max="14" width="21.38"/>
  </cols>
  <sheetData>
    <row r="1" ht="15.75" customHeight="1">
      <c r="A1" s="29" t="s">
        <v>558</v>
      </c>
      <c r="B1" s="29" t="s">
        <v>559</v>
      </c>
      <c r="C1" s="30" t="s">
        <v>560</v>
      </c>
      <c r="D1" s="30" t="s">
        <v>562</v>
      </c>
      <c r="E1" s="30" t="s">
        <v>563</v>
      </c>
      <c r="F1" s="30" t="s">
        <v>564</v>
      </c>
      <c r="G1" s="29" t="s">
        <v>565</v>
      </c>
      <c r="H1" s="29" t="s">
        <v>566</v>
      </c>
      <c r="I1" s="29" t="s">
        <v>567</v>
      </c>
      <c r="J1" s="29" t="s">
        <v>568</v>
      </c>
      <c r="K1" s="30" t="s">
        <v>569</v>
      </c>
      <c r="L1" s="30" t="s">
        <v>570</v>
      </c>
      <c r="M1" s="30" t="s">
        <v>572</v>
      </c>
      <c r="N1" s="30" t="s">
        <v>573</v>
      </c>
      <c r="O1" s="29" t="s">
        <v>574</v>
      </c>
      <c r="P1" s="29" t="s">
        <v>575</v>
      </c>
    </row>
    <row r="2" ht="15.75" customHeight="1">
      <c r="A2" s="7" t="s">
        <v>576</v>
      </c>
      <c r="B2" s="7" t="s">
        <v>577</v>
      </c>
      <c r="C2" s="31">
        <v>847.0</v>
      </c>
      <c r="D2" s="31">
        <v>22.0</v>
      </c>
      <c r="E2" s="31">
        <v>44.0</v>
      </c>
      <c r="F2" s="31">
        <v>91.0</v>
      </c>
      <c r="G2" s="7" t="s">
        <v>579</v>
      </c>
      <c r="H2" s="7" t="s">
        <v>580</v>
      </c>
      <c r="I2" s="7" t="s">
        <v>581</v>
      </c>
      <c r="J2" s="7" t="s">
        <v>582</v>
      </c>
      <c r="K2" s="31" t="s">
        <v>583</v>
      </c>
      <c r="L2" s="31">
        <v>20.0</v>
      </c>
      <c r="M2" s="31">
        <v>27.0</v>
      </c>
      <c r="N2" s="31">
        <v>530.0</v>
      </c>
      <c r="O2" s="32" t="s">
        <v>584</v>
      </c>
      <c r="P2" s="32" t="s">
        <v>586</v>
      </c>
    </row>
    <row r="3" ht="15.75" customHeight="1">
      <c r="A3" s="7" t="s">
        <v>587</v>
      </c>
      <c r="B3" s="7" t="s">
        <v>581</v>
      </c>
      <c r="C3" s="31">
        <v>1456.0</v>
      </c>
      <c r="D3" s="31">
        <v>24.0</v>
      </c>
      <c r="E3" s="31">
        <v>50.0</v>
      </c>
      <c r="F3" s="31">
        <v>103.0</v>
      </c>
      <c r="G3" s="7" t="s">
        <v>588</v>
      </c>
      <c r="H3" s="7" t="s">
        <v>589</v>
      </c>
      <c r="I3" s="7" t="s">
        <v>590</v>
      </c>
      <c r="J3" s="7" t="s">
        <v>591</v>
      </c>
      <c r="K3" s="33">
        <v>46205.0</v>
      </c>
      <c r="L3" s="31">
        <v>17.0</v>
      </c>
      <c r="M3" s="31">
        <v>25.0</v>
      </c>
      <c r="N3" s="31">
        <v>528.0</v>
      </c>
      <c r="O3" s="32" t="s">
        <v>592</v>
      </c>
      <c r="P3" s="32" t="s">
        <v>594</v>
      </c>
    </row>
    <row r="4" ht="15.75" customHeight="1">
      <c r="A4" s="7" t="s">
        <v>595</v>
      </c>
      <c r="B4" s="7" t="s">
        <v>596</v>
      </c>
      <c r="C4" s="31">
        <v>795.0</v>
      </c>
      <c r="D4" s="31">
        <v>10.0</v>
      </c>
      <c r="E4" s="31">
        <v>20.0</v>
      </c>
      <c r="F4" s="31">
        <v>41.0</v>
      </c>
      <c r="G4" s="7" t="s">
        <v>597</v>
      </c>
      <c r="H4" s="7" t="s">
        <v>577</v>
      </c>
      <c r="I4" s="7" t="s">
        <v>598</v>
      </c>
      <c r="J4" s="7" t="s">
        <v>599</v>
      </c>
      <c r="K4" s="31">
        <v>3.0</v>
      </c>
      <c r="L4" s="31">
        <v>23.0</v>
      </c>
      <c r="M4" s="31">
        <v>30.0</v>
      </c>
      <c r="N4" s="31">
        <v>533.0</v>
      </c>
      <c r="O4" s="32" t="s">
        <v>600</v>
      </c>
      <c r="P4" s="32" t="s">
        <v>601</v>
      </c>
    </row>
    <row r="5" ht="15.75" customHeight="1">
      <c r="A5" s="7" t="s">
        <v>602</v>
      </c>
      <c r="B5" s="7" t="s">
        <v>603</v>
      </c>
      <c r="C5" s="31">
        <v>875.0</v>
      </c>
      <c r="D5" s="31">
        <v>8.0</v>
      </c>
      <c r="E5" s="31">
        <v>16.0</v>
      </c>
      <c r="F5" s="31">
        <v>33.0</v>
      </c>
      <c r="G5" s="7" t="s">
        <v>597</v>
      </c>
      <c r="H5" s="7" t="s">
        <v>581</v>
      </c>
      <c r="I5" s="7" t="s">
        <v>605</v>
      </c>
      <c r="J5" s="7" t="s">
        <v>596</v>
      </c>
      <c r="K5" s="31">
        <v>7.0</v>
      </c>
      <c r="L5" s="31">
        <v>28.0</v>
      </c>
      <c r="M5" s="31">
        <v>32.0</v>
      </c>
      <c r="N5" s="31">
        <v>535.0</v>
      </c>
      <c r="O5" s="32" t="s">
        <v>606</v>
      </c>
      <c r="P5" s="32" t="s">
        <v>607</v>
      </c>
    </row>
    <row r="6" ht="15.75" customHeight="1">
      <c r="A6" s="7" t="s">
        <v>608</v>
      </c>
      <c r="B6" s="7" t="s">
        <v>605</v>
      </c>
      <c r="C6" s="31">
        <v>826.0</v>
      </c>
      <c r="D6" s="31">
        <v>9.0</v>
      </c>
      <c r="E6" s="31">
        <v>20.0</v>
      </c>
      <c r="F6" s="31">
        <v>40.0</v>
      </c>
      <c r="G6" s="7" t="s">
        <v>597</v>
      </c>
      <c r="H6" s="7" t="s">
        <v>581</v>
      </c>
      <c r="I6" s="7" t="s">
        <v>609</v>
      </c>
      <c r="J6" s="7" t="s">
        <v>603</v>
      </c>
      <c r="K6" s="31">
        <v>8.0</v>
      </c>
      <c r="L6" s="31">
        <v>21.0</v>
      </c>
      <c r="M6" s="31">
        <v>29.0</v>
      </c>
      <c r="N6" s="31">
        <v>530.0</v>
      </c>
      <c r="O6" s="32" t="s">
        <v>610</v>
      </c>
      <c r="P6" s="32" t="s">
        <v>611</v>
      </c>
    </row>
    <row r="7" ht="15.75" customHeight="1"/>
    <row r="8" ht="15.75" customHeight="1"/>
    <row r="9" ht="15.75" customHeight="1"/>
    <row r="10" ht="15.75" customHeight="1"/>
    <row r="11" ht="15.75" customHeight="1"/>
    <row r="12" ht="15.75" customHeight="1"/>
    <row r="13" ht="15.75" customHeight="1"/>
    <row r="14" ht="15.75" customHeight="1">
      <c r="A14" s="35"/>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 customWidth="1" min="7" max="7" width="12.5"/>
  </cols>
  <sheetData>
    <row r="1" ht="15.75" customHeight="1">
      <c r="A1" s="29" t="s">
        <v>11</v>
      </c>
      <c r="B1" s="29" t="s">
        <v>558</v>
      </c>
      <c r="C1" s="29" t="s">
        <v>559</v>
      </c>
      <c r="D1" s="29" t="s">
        <v>618</v>
      </c>
      <c r="E1" s="30" t="s">
        <v>564</v>
      </c>
      <c r="F1" s="30" t="s">
        <v>563</v>
      </c>
      <c r="G1" s="36" t="s">
        <v>574</v>
      </c>
      <c r="H1" s="36" t="s">
        <v>575</v>
      </c>
    </row>
    <row r="2" ht="15.75" customHeight="1">
      <c r="A2" s="7" t="s">
        <v>457</v>
      </c>
      <c r="B2" s="7" t="s">
        <v>576</v>
      </c>
      <c r="C2" s="7" t="s">
        <v>577</v>
      </c>
      <c r="D2" s="7" t="s">
        <v>621</v>
      </c>
      <c r="E2" s="31">
        <v>5.0</v>
      </c>
      <c r="F2" s="31">
        <v>2.0</v>
      </c>
      <c r="G2" s="37" t="s">
        <v>623</v>
      </c>
      <c r="H2" s="37" t="s">
        <v>625</v>
      </c>
    </row>
    <row r="3" ht="15.75" customHeight="1">
      <c r="A3" s="7" t="s">
        <v>511</v>
      </c>
      <c r="B3" s="7" t="s">
        <v>576</v>
      </c>
      <c r="C3" s="7" t="s">
        <v>577</v>
      </c>
      <c r="D3" s="7" t="s">
        <v>626</v>
      </c>
      <c r="E3" s="31">
        <v>5.0</v>
      </c>
      <c r="F3" s="31">
        <v>2.0</v>
      </c>
      <c r="G3" s="37" t="s">
        <v>627</v>
      </c>
      <c r="H3" s="37" t="s">
        <v>628</v>
      </c>
    </row>
    <row r="4" ht="15.75" customHeight="1">
      <c r="A4" s="7" t="s">
        <v>229</v>
      </c>
      <c r="B4" s="7" t="s">
        <v>576</v>
      </c>
      <c r="C4" s="7" t="s">
        <v>577</v>
      </c>
      <c r="D4" s="7" t="s">
        <v>630</v>
      </c>
      <c r="E4" s="31">
        <v>4.0</v>
      </c>
      <c r="F4" s="31">
        <v>2.0</v>
      </c>
      <c r="G4" s="37" t="s">
        <v>631</v>
      </c>
      <c r="H4" s="37" t="s">
        <v>632</v>
      </c>
    </row>
    <row r="5" ht="15.75" customHeight="1">
      <c r="A5" s="7" t="s">
        <v>363</v>
      </c>
      <c r="B5" s="7" t="s">
        <v>576</v>
      </c>
      <c r="C5" s="7" t="s">
        <v>577</v>
      </c>
      <c r="D5" s="7" t="s">
        <v>634</v>
      </c>
      <c r="E5" s="31">
        <v>4.0</v>
      </c>
      <c r="F5" s="31">
        <v>2.0</v>
      </c>
      <c r="G5" s="37" t="s">
        <v>635</v>
      </c>
      <c r="H5" s="37" t="s">
        <v>636</v>
      </c>
    </row>
    <row r="6" ht="15.75" customHeight="1">
      <c r="A6" s="7" t="s">
        <v>485</v>
      </c>
      <c r="B6" s="7" t="s">
        <v>576</v>
      </c>
      <c r="C6" s="7" t="s">
        <v>577</v>
      </c>
      <c r="D6" s="7" t="s">
        <v>637</v>
      </c>
      <c r="E6" s="31">
        <v>4.0</v>
      </c>
      <c r="F6" s="31">
        <v>2.0</v>
      </c>
      <c r="G6" s="37" t="s">
        <v>639</v>
      </c>
      <c r="H6" s="37" t="s">
        <v>640</v>
      </c>
    </row>
    <row r="7" ht="15.75" customHeight="1">
      <c r="A7" s="7" t="s">
        <v>51</v>
      </c>
      <c r="B7" s="7" t="s">
        <v>576</v>
      </c>
      <c r="C7" s="7" t="s">
        <v>577</v>
      </c>
      <c r="D7" s="7" t="s">
        <v>641</v>
      </c>
      <c r="E7" s="31">
        <v>4.0</v>
      </c>
      <c r="F7" s="31">
        <v>2.0</v>
      </c>
      <c r="G7" s="37" t="s">
        <v>642</v>
      </c>
      <c r="H7" s="37" t="s">
        <v>636</v>
      </c>
    </row>
    <row r="8" ht="15.75" customHeight="1">
      <c r="A8" s="7" t="s">
        <v>286</v>
      </c>
      <c r="B8" s="7" t="s">
        <v>576</v>
      </c>
      <c r="C8" s="7" t="s">
        <v>577</v>
      </c>
      <c r="D8" s="7" t="s">
        <v>644</v>
      </c>
      <c r="E8" s="31">
        <v>4.0</v>
      </c>
      <c r="F8" s="31">
        <v>2.0</v>
      </c>
      <c r="G8" s="37" t="s">
        <v>645</v>
      </c>
      <c r="H8" s="37" t="s">
        <v>646</v>
      </c>
    </row>
    <row r="9" ht="15.75" customHeight="1">
      <c r="A9" s="7" t="s">
        <v>414</v>
      </c>
      <c r="B9" s="7" t="s">
        <v>576</v>
      </c>
      <c r="C9" s="7" t="s">
        <v>577</v>
      </c>
      <c r="D9" s="7" t="s">
        <v>647</v>
      </c>
      <c r="E9" s="31">
        <v>4.0</v>
      </c>
      <c r="F9" s="31">
        <v>2.0</v>
      </c>
      <c r="G9" s="37" t="s">
        <v>649</v>
      </c>
      <c r="H9" s="37" t="s">
        <v>650</v>
      </c>
    </row>
    <row r="10" ht="15.75" customHeight="1">
      <c r="A10" s="7" t="s">
        <v>499</v>
      </c>
      <c r="B10" s="7" t="s">
        <v>576</v>
      </c>
      <c r="C10" s="7" t="s">
        <v>577</v>
      </c>
      <c r="D10" s="7" t="s">
        <v>651</v>
      </c>
      <c r="E10" s="31">
        <v>4.0</v>
      </c>
      <c r="F10" s="31">
        <v>2.0</v>
      </c>
      <c r="G10" s="37" t="s">
        <v>652</v>
      </c>
      <c r="H10" s="37" t="s">
        <v>653</v>
      </c>
    </row>
    <row r="11" ht="15.75" customHeight="1">
      <c r="A11" s="7" t="s">
        <v>169</v>
      </c>
      <c r="B11" s="7" t="s">
        <v>576</v>
      </c>
      <c r="C11" s="7" t="s">
        <v>577</v>
      </c>
      <c r="D11" s="7" t="s">
        <v>655</v>
      </c>
      <c r="E11" s="31">
        <v>4.0</v>
      </c>
      <c r="F11" s="31">
        <v>2.0</v>
      </c>
      <c r="G11" s="37" t="s">
        <v>656</v>
      </c>
      <c r="H11" s="37" t="s">
        <v>657</v>
      </c>
    </row>
    <row r="12" ht="15.75" customHeight="1">
      <c r="A12" s="7" t="s">
        <v>326</v>
      </c>
      <c r="B12" s="7" t="s">
        <v>576</v>
      </c>
      <c r="C12" s="7" t="s">
        <v>577</v>
      </c>
      <c r="D12" s="7" t="s">
        <v>658</v>
      </c>
      <c r="E12" s="31">
        <v>4.0</v>
      </c>
      <c r="F12" s="31">
        <v>2.0</v>
      </c>
      <c r="G12" s="37" t="s">
        <v>660</v>
      </c>
      <c r="H12" s="37" t="s">
        <v>661</v>
      </c>
    </row>
    <row r="13" ht="15.75" customHeight="1">
      <c r="A13" s="7" t="s">
        <v>463</v>
      </c>
      <c r="B13" s="7" t="s">
        <v>576</v>
      </c>
      <c r="C13" s="7" t="s">
        <v>577</v>
      </c>
      <c r="D13" s="7" t="s">
        <v>662</v>
      </c>
      <c r="E13" s="31">
        <v>4.0</v>
      </c>
      <c r="F13" s="31">
        <v>2.0</v>
      </c>
      <c r="G13" s="37" t="s">
        <v>663</v>
      </c>
      <c r="H13" s="37" t="s">
        <v>664</v>
      </c>
    </row>
    <row r="14" ht="15.75" customHeight="1">
      <c r="A14" s="7" t="s">
        <v>513</v>
      </c>
      <c r="B14" s="7" t="s">
        <v>576</v>
      </c>
      <c r="C14" s="7" t="s">
        <v>577</v>
      </c>
      <c r="D14" s="7" t="s">
        <v>666</v>
      </c>
      <c r="E14" s="31">
        <v>4.0</v>
      </c>
      <c r="F14" s="31">
        <v>2.0</v>
      </c>
      <c r="G14" s="37" t="s">
        <v>667</v>
      </c>
      <c r="H14" s="37" t="s">
        <v>668</v>
      </c>
    </row>
    <row r="15" ht="15.75" customHeight="1">
      <c r="A15" s="7" t="s">
        <v>237</v>
      </c>
      <c r="B15" s="7" t="s">
        <v>576</v>
      </c>
      <c r="C15" s="7" t="s">
        <v>577</v>
      </c>
      <c r="D15" s="7" t="s">
        <v>669</v>
      </c>
      <c r="E15" s="31">
        <v>5.0</v>
      </c>
      <c r="F15" s="31">
        <v>2.0</v>
      </c>
      <c r="G15" s="37" t="s">
        <v>671</v>
      </c>
      <c r="H15" s="37" t="s">
        <v>672</v>
      </c>
    </row>
    <row r="16" ht="15.75" customHeight="1">
      <c r="A16" s="7" t="s">
        <v>372</v>
      </c>
      <c r="B16" s="7" t="s">
        <v>576</v>
      </c>
      <c r="C16" s="7" t="s">
        <v>577</v>
      </c>
      <c r="D16" s="7" t="s">
        <v>673</v>
      </c>
      <c r="E16" s="31">
        <v>4.0</v>
      </c>
      <c r="F16" s="31">
        <v>2.0</v>
      </c>
      <c r="G16" s="37" t="s">
        <v>674</v>
      </c>
      <c r="H16" s="37" t="s">
        <v>675</v>
      </c>
    </row>
    <row r="17" ht="15.75" customHeight="1">
      <c r="A17" s="7" t="s">
        <v>487</v>
      </c>
      <c r="B17" s="7" t="s">
        <v>576</v>
      </c>
      <c r="C17" s="7" t="s">
        <v>577</v>
      </c>
      <c r="D17" s="7" t="s">
        <v>677</v>
      </c>
      <c r="E17" s="31">
        <v>4.0</v>
      </c>
      <c r="F17" s="31">
        <v>2.0</v>
      </c>
      <c r="G17" s="37" t="s">
        <v>678</v>
      </c>
      <c r="H17" s="37" t="s">
        <v>679</v>
      </c>
    </row>
    <row r="18" ht="15.75" customHeight="1">
      <c r="A18" s="7" t="s">
        <v>78</v>
      </c>
      <c r="B18" s="7" t="s">
        <v>576</v>
      </c>
      <c r="C18" s="7" t="s">
        <v>577</v>
      </c>
      <c r="D18" s="7" t="s">
        <v>680</v>
      </c>
      <c r="E18" s="31">
        <v>4.0</v>
      </c>
      <c r="F18" s="31">
        <v>2.0</v>
      </c>
      <c r="G18" s="37" t="s">
        <v>682</v>
      </c>
      <c r="H18" s="37" t="s">
        <v>683</v>
      </c>
    </row>
    <row r="19" ht="15.75" customHeight="1">
      <c r="A19" s="7" t="s">
        <v>294</v>
      </c>
      <c r="B19" s="7" t="s">
        <v>576</v>
      </c>
      <c r="C19" s="7" t="s">
        <v>577</v>
      </c>
      <c r="D19" s="7" t="s">
        <v>684</v>
      </c>
      <c r="E19" s="31">
        <v>4.0</v>
      </c>
      <c r="F19" s="31">
        <v>2.0</v>
      </c>
      <c r="G19" s="37" t="s">
        <v>685</v>
      </c>
      <c r="H19" s="37" t="s">
        <v>686</v>
      </c>
    </row>
    <row r="20" ht="15.75" customHeight="1">
      <c r="A20" s="7" t="s">
        <v>422</v>
      </c>
      <c r="B20" s="7" t="s">
        <v>576</v>
      </c>
      <c r="C20" s="7" t="s">
        <v>577</v>
      </c>
      <c r="D20" s="7" t="s">
        <v>688</v>
      </c>
      <c r="E20" s="31">
        <v>4.0</v>
      </c>
      <c r="F20" s="31">
        <v>2.0</v>
      </c>
      <c r="G20" s="37" t="s">
        <v>689</v>
      </c>
      <c r="H20" s="37" t="s">
        <v>690</v>
      </c>
    </row>
    <row r="21" ht="15.75" customHeight="1">
      <c r="A21" s="7" t="s">
        <v>501</v>
      </c>
      <c r="B21" s="7" t="s">
        <v>576</v>
      </c>
      <c r="C21" s="7" t="s">
        <v>577</v>
      </c>
      <c r="D21" s="7" t="s">
        <v>691</v>
      </c>
      <c r="E21" s="31">
        <v>4.0</v>
      </c>
      <c r="F21" s="31">
        <v>2.0</v>
      </c>
      <c r="G21" s="37" t="s">
        <v>693</v>
      </c>
      <c r="H21" s="37" t="s">
        <v>694</v>
      </c>
    </row>
    <row r="22" ht="15.75" customHeight="1">
      <c r="A22" s="7" t="s">
        <v>185</v>
      </c>
      <c r="B22" s="7" t="s">
        <v>576</v>
      </c>
      <c r="C22" s="7" t="s">
        <v>577</v>
      </c>
      <c r="D22" s="7" t="s">
        <v>695</v>
      </c>
      <c r="E22" s="31">
        <v>4.0</v>
      </c>
      <c r="F22" s="31">
        <v>2.0</v>
      </c>
      <c r="G22" s="37" t="s">
        <v>696</v>
      </c>
      <c r="H22" s="37" t="s">
        <v>697</v>
      </c>
    </row>
    <row r="23" ht="15.75" customHeight="1">
      <c r="A23" s="7" t="s">
        <v>328</v>
      </c>
      <c r="B23" s="7" t="s">
        <v>576</v>
      </c>
      <c r="C23" s="7" t="s">
        <v>577</v>
      </c>
      <c r="D23" s="7" t="s">
        <v>699</v>
      </c>
      <c r="E23" s="31">
        <v>5.0</v>
      </c>
      <c r="F23" s="31">
        <v>2.0</v>
      </c>
      <c r="G23" s="37" t="s">
        <v>700</v>
      </c>
      <c r="H23" s="37" t="s">
        <v>701</v>
      </c>
    </row>
    <row r="24" ht="15.75" customHeight="1">
      <c r="A24" s="38" t="s">
        <v>468</v>
      </c>
      <c r="B24" s="38" t="s">
        <v>587</v>
      </c>
      <c r="C24" s="38" t="s">
        <v>581</v>
      </c>
      <c r="D24" s="38" t="s">
        <v>703</v>
      </c>
      <c r="E24" s="39">
        <v>4.0</v>
      </c>
      <c r="F24" s="39">
        <v>1.0</v>
      </c>
      <c r="G24" s="40" t="s">
        <v>705</v>
      </c>
      <c r="H24" s="40" t="s">
        <v>707</v>
      </c>
    </row>
    <row r="25" ht="15.75" customHeight="1">
      <c r="A25" s="7" t="s">
        <v>515</v>
      </c>
      <c r="B25" s="7" t="s">
        <v>587</v>
      </c>
      <c r="C25" s="7" t="s">
        <v>581</v>
      </c>
      <c r="D25" s="7" t="s">
        <v>709</v>
      </c>
      <c r="E25" s="31">
        <v>4.0</v>
      </c>
      <c r="F25" s="31">
        <v>2.0</v>
      </c>
      <c r="G25" s="37" t="s">
        <v>710</v>
      </c>
      <c r="H25" s="37" t="s">
        <v>711</v>
      </c>
    </row>
    <row r="26" ht="15.75" customHeight="1">
      <c r="A26" s="7" t="s">
        <v>252</v>
      </c>
      <c r="B26" s="7" t="s">
        <v>587</v>
      </c>
      <c r="C26" s="7" t="s">
        <v>581</v>
      </c>
      <c r="D26" s="7" t="s">
        <v>714</v>
      </c>
      <c r="E26" s="31">
        <v>6.0</v>
      </c>
      <c r="F26" s="31">
        <v>2.0</v>
      </c>
      <c r="G26" s="37" t="s">
        <v>715</v>
      </c>
      <c r="H26" s="37" t="s">
        <v>716</v>
      </c>
    </row>
    <row r="27" ht="15.75" customHeight="1">
      <c r="A27" s="7" t="s">
        <v>378</v>
      </c>
      <c r="B27" s="7" t="s">
        <v>587</v>
      </c>
      <c r="C27" s="7" t="s">
        <v>581</v>
      </c>
      <c r="D27" s="7" t="s">
        <v>718</v>
      </c>
      <c r="E27" s="31">
        <v>6.0</v>
      </c>
      <c r="F27" s="31">
        <v>3.0</v>
      </c>
      <c r="G27" s="37" t="s">
        <v>631</v>
      </c>
      <c r="H27" s="37" t="s">
        <v>719</v>
      </c>
    </row>
    <row r="28" ht="15.75" customHeight="1">
      <c r="A28" s="7" t="s">
        <v>489</v>
      </c>
      <c r="B28" s="7" t="s">
        <v>587</v>
      </c>
      <c r="C28" s="7" t="s">
        <v>581</v>
      </c>
      <c r="D28" s="7" t="s">
        <v>721</v>
      </c>
      <c r="E28" s="31">
        <v>4.0</v>
      </c>
      <c r="F28" s="31">
        <v>2.0</v>
      </c>
      <c r="G28" s="37" t="s">
        <v>724</v>
      </c>
      <c r="H28" s="37" t="s">
        <v>726</v>
      </c>
    </row>
    <row r="29" ht="15.75" customHeight="1">
      <c r="A29" s="7" t="s">
        <v>104</v>
      </c>
      <c r="B29" s="7" t="s">
        <v>587</v>
      </c>
      <c r="C29" s="7" t="s">
        <v>581</v>
      </c>
      <c r="D29" s="7" t="s">
        <v>729</v>
      </c>
      <c r="E29" s="31">
        <v>4.0</v>
      </c>
      <c r="F29" s="31">
        <v>2.0</v>
      </c>
      <c r="G29" s="37" t="s">
        <v>732</v>
      </c>
      <c r="H29" s="37" t="s">
        <v>733</v>
      </c>
    </row>
    <row r="30" ht="15.75" customHeight="1">
      <c r="A30" s="7" t="s">
        <v>299</v>
      </c>
      <c r="B30" s="7" t="s">
        <v>587</v>
      </c>
      <c r="C30" s="7" t="s">
        <v>581</v>
      </c>
      <c r="D30" s="7" t="s">
        <v>736</v>
      </c>
      <c r="E30" s="31">
        <v>4.0</v>
      </c>
      <c r="F30" s="31">
        <v>2.0</v>
      </c>
      <c r="G30" s="37" t="s">
        <v>738</v>
      </c>
      <c r="H30" s="37" t="s">
        <v>739</v>
      </c>
    </row>
    <row r="31" ht="15.75" customHeight="1">
      <c r="A31" s="7" t="s">
        <v>430</v>
      </c>
      <c r="B31" s="7" t="s">
        <v>587</v>
      </c>
      <c r="C31" s="7" t="s">
        <v>581</v>
      </c>
      <c r="D31" s="7" t="s">
        <v>741</v>
      </c>
      <c r="E31" s="31">
        <v>4.0</v>
      </c>
      <c r="F31" s="31">
        <v>2.0</v>
      </c>
      <c r="G31" s="37" t="s">
        <v>732</v>
      </c>
      <c r="H31" s="37" t="s">
        <v>743</v>
      </c>
    </row>
    <row r="32" ht="15.75" customHeight="1">
      <c r="A32" s="7" t="s">
        <v>503</v>
      </c>
      <c r="B32" s="7" t="s">
        <v>587</v>
      </c>
      <c r="C32" s="7" t="s">
        <v>581</v>
      </c>
      <c r="D32" s="7" t="s">
        <v>745</v>
      </c>
      <c r="E32" s="31">
        <v>6.0</v>
      </c>
      <c r="F32" s="31">
        <v>3.0</v>
      </c>
      <c r="G32" s="37" t="s">
        <v>746</v>
      </c>
      <c r="H32" s="37" t="s">
        <v>716</v>
      </c>
    </row>
    <row r="33" ht="15.75" customHeight="1">
      <c r="A33" s="7" t="s">
        <v>196</v>
      </c>
      <c r="B33" s="7" t="s">
        <v>587</v>
      </c>
      <c r="C33" s="7" t="s">
        <v>581</v>
      </c>
      <c r="D33" s="7" t="s">
        <v>750</v>
      </c>
      <c r="E33" s="31">
        <v>4.0</v>
      </c>
      <c r="F33" s="31">
        <v>2.0</v>
      </c>
      <c r="G33" s="37" t="s">
        <v>752</v>
      </c>
      <c r="H33" s="37" t="s">
        <v>753</v>
      </c>
    </row>
    <row r="34" ht="15.75" customHeight="1">
      <c r="A34" s="7" t="s">
        <v>336</v>
      </c>
      <c r="B34" s="7" t="s">
        <v>587</v>
      </c>
      <c r="C34" s="7" t="s">
        <v>581</v>
      </c>
      <c r="D34" s="7" t="s">
        <v>755</v>
      </c>
      <c r="E34" s="31">
        <v>4.0</v>
      </c>
      <c r="F34" s="31">
        <v>2.0</v>
      </c>
      <c r="G34" s="37" t="s">
        <v>756</v>
      </c>
      <c r="H34" s="37" t="s">
        <v>757</v>
      </c>
    </row>
    <row r="35" ht="15.75" customHeight="1">
      <c r="A35" s="7" t="s">
        <v>477</v>
      </c>
      <c r="B35" s="7" t="s">
        <v>587</v>
      </c>
      <c r="C35" s="7" t="s">
        <v>581</v>
      </c>
      <c r="D35" s="7" t="s">
        <v>759</v>
      </c>
      <c r="E35" s="31">
        <v>4.0</v>
      </c>
      <c r="F35" s="31">
        <v>2.0</v>
      </c>
      <c r="G35" s="37" t="s">
        <v>760</v>
      </c>
      <c r="H35" s="37" t="s">
        <v>762</v>
      </c>
    </row>
    <row r="36" ht="15.75" customHeight="1">
      <c r="A36" s="7" t="s">
        <v>517</v>
      </c>
      <c r="B36" s="7" t="s">
        <v>587</v>
      </c>
      <c r="C36" s="7" t="s">
        <v>581</v>
      </c>
      <c r="D36" s="7" t="s">
        <v>763</v>
      </c>
      <c r="E36" s="31">
        <v>4.0</v>
      </c>
      <c r="F36" s="31">
        <v>2.0</v>
      </c>
      <c r="G36" s="37" t="s">
        <v>765</v>
      </c>
      <c r="H36" s="37" t="s">
        <v>766</v>
      </c>
    </row>
    <row r="37" ht="15.75" customHeight="1">
      <c r="A37" s="7" t="s">
        <v>260</v>
      </c>
      <c r="B37" s="7" t="s">
        <v>587</v>
      </c>
      <c r="C37" s="7" t="s">
        <v>581</v>
      </c>
      <c r="D37" s="7" t="s">
        <v>769</v>
      </c>
      <c r="E37" s="31">
        <v>4.0</v>
      </c>
      <c r="F37" s="31">
        <v>2.0</v>
      </c>
      <c r="G37" s="37" t="s">
        <v>770</v>
      </c>
      <c r="H37" s="37" t="s">
        <v>771</v>
      </c>
    </row>
    <row r="38" ht="15.75" customHeight="1">
      <c r="A38" s="7" t="s">
        <v>385</v>
      </c>
      <c r="B38" s="7" t="s">
        <v>587</v>
      </c>
      <c r="C38" s="7" t="s">
        <v>581</v>
      </c>
      <c r="D38" s="7" t="s">
        <v>773</v>
      </c>
      <c r="E38" s="31">
        <v>4.0</v>
      </c>
      <c r="F38" s="31">
        <v>2.0</v>
      </c>
      <c r="G38" s="37" t="s">
        <v>775</v>
      </c>
      <c r="H38" s="37" t="s">
        <v>776</v>
      </c>
    </row>
    <row r="39" ht="15.75" customHeight="1">
      <c r="A39" s="7" t="s">
        <v>491</v>
      </c>
      <c r="B39" s="7" t="s">
        <v>587</v>
      </c>
      <c r="C39" s="7" t="s">
        <v>581</v>
      </c>
      <c r="D39" s="7" t="s">
        <v>777</v>
      </c>
      <c r="E39" s="31">
        <v>4.0</v>
      </c>
      <c r="F39" s="31">
        <v>2.0</v>
      </c>
      <c r="G39" s="37" t="s">
        <v>779</v>
      </c>
      <c r="H39" s="37" t="s">
        <v>780</v>
      </c>
    </row>
    <row r="40" ht="15.75" customHeight="1">
      <c r="A40" s="7" t="s">
        <v>123</v>
      </c>
      <c r="B40" s="7" t="s">
        <v>587</v>
      </c>
      <c r="C40" s="7" t="s">
        <v>581</v>
      </c>
      <c r="D40" s="7" t="s">
        <v>782</v>
      </c>
      <c r="E40" s="31">
        <v>4.0</v>
      </c>
      <c r="F40" s="31">
        <v>2.0</v>
      </c>
      <c r="G40" s="37" t="s">
        <v>785</v>
      </c>
      <c r="H40" s="37" t="s">
        <v>786</v>
      </c>
    </row>
    <row r="41" ht="15.75" customHeight="1">
      <c r="A41" s="7" t="s">
        <v>305</v>
      </c>
      <c r="B41" s="7" t="s">
        <v>587</v>
      </c>
      <c r="C41" s="7" t="s">
        <v>581</v>
      </c>
      <c r="D41" s="7" t="s">
        <v>788</v>
      </c>
      <c r="E41" s="31">
        <v>4.0</v>
      </c>
      <c r="F41" s="31">
        <v>2.0</v>
      </c>
      <c r="G41" s="37" t="s">
        <v>790</v>
      </c>
      <c r="H41" s="37" t="s">
        <v>791</v>
      </c>
    </row>
    <row r="42" ht="15.75" customHeight="1">
      <c r="A42" s="7" t="s">
        <v>436</v>
      </c>
      <c r="B42" s="7" t="s">
        <v>587</v>
      </c>
      <c r="C42" s="7" t="s">
        <v>581</v>
      </c>
      <c r="D42" s="7" t="s">
        <v>793</v>
      </c>
      <c r="E42" s="31">
        <v>4.0</v>
      </c>
      <c r="F42" s="31">
        <v>2.0</v>
      </c>
      <c r="G42" s="37" t="s">
        <v>794</v>
      </c>
      <c r="H42" s="37" t="s">
        <v>796</v>
      </c>
    </row>
    <row r="43" ht="15.75" customHeight="1">
      <c r="A43" s="7" t="s">
        <v>505</v>
      </c>
      <c r="B43" s="7" t="s">
        <v>587</v>
      </c>
      <c r="C43" s="7" t="s">
        <v>581</v>
      </c>
      <c r="D43" s="7" t="s">
        <v>799</v>
      </c>
      <c r="E43" s="31">
        <v>4.0</v>
      </c>
      <c r="F43" s="31">
        <v>2.0</v>
      </c>
      <c r="G43" s="37" t="s">
        <v>801</v>
      </c>
      <c r="H43" s="37" t="s">
        <v>802</v>
      </c>
    </row>
    <row r="44" ht="15.75" customHeight="1">
      <c r="A44" s="7" t="s">
        <v>202</v>
      </c>
      <c r="B44" s="7" t="s">
        <v>587</v>
      </c>
      <c r="C44" s="7" t="s">
        <v>581</v>
      </c>
      <c r="D44" s="7" t="s">
        <v>803</v>
      </c>
      <c r="E44" s="31">
        <v>3.0</v>
      </c>
      <c r="F44" s="31">
        <v>1.0</v>
      </c>
      <c r="G44" s="37" t="s">
        <v>804</v>
      </c>
      <c r="H44" s="37" t="s">
        <v>805</v>
      </c>
    </row>
    <row r="45" ht="15.75" customHeight="1">
      <c r="A45" s="7" t="s">
        <v>341</v>
      </c>
      <c r="B45" s="7" t="s">
        <v>587</v>
      </c>
      <c r="C45" s="7" t="s">
        <v>581</v>
      </c>
      <c r="D45" s="7" t="s">
        <v>783</v>
      </c>
      <c r="E45" s="31">
        <v>4.0</v>
      </c>
      <c r="F45" s="31">
        <v>2.0</v>
      </c>
      <c r="G45" s="37" t="s">
        <v>809</v>
      </c>
      <c r="H45" s="37" t="s">
        <v>739</v>
      </c>
    </row>
    <row r="46" ht="15.75" customHeight="1">
      <c r="A46" s="7" t="s">
        <v>479</v>
      </c>
      <c r="B46" s="7" t="s">
        <v>587</v>
      </c>
      <c r="C46" s="7" t="s">
        <v>581</v>
      </c>
      <c r="D46" s="7" t="s">
        <v>811</v>
      </c>
      <c r="E46" s="31">
        <v>4.0</v>
      </c>
      <c r="F46" s="31">
        <v>2.0</v>
      </c>
      <c r="G46" s="37" t="s">
        <v>813</v>
      </c>
      <c r="H46" s="37" t="s">
        <v>814</v>
      </c>
    </row>
    <row r="47" ht="15.75" customHeight="1">
      <c r="A47" s="47" t="s">
        <v>519</v>
      </c>
      <c r="B47" s="47" t="s">
        <v>587</v>
      </c>
      <c r="C47" s="47" t="s">
        <v>581</v>
      </c>
      <c r="D47" s="47" t="s">
        <v>748</v>
      </c>
      <c r="E47" s="48">
        <v>4.0</v>
      </c>
      <c r="F47" s="48">
        <v>2.0</v>
      </c>
      <c r="G47" s="37" t="s">
        <v>821</v>
      </c>
      <c r="H47" s="37" t="s">
        <v>822</v>
      </c>
    </row>
    <row r="48" ht="15.75" customHeight="1">
      <c r="A48" s="49" t="s">
        <v>265</v>
      </c>
      <c r="B48" s="49" t="s">
        <v>595</v>
      </c>
      <c r="C48" s="49" t="s">
        <v>596</v>
      </c>
      <c r="D48" s="49" t="s">
        <v>829</v>
      </c>
      <c r="E48" s="50">
        <v>4.0</v>
      </c>
      <c r="F48" s="51">
        <v>2.0</v>
      </c>
      <c r="G48" s="52" t="s">
        <v>833</v>
      </c>
      <c r="H48" s="52" t="s">
        <v>791</v>
      </c>
    </row>
    <row r="49" ht="15.75" customHeight="1">
      <c r="A49" s="7" t="s">
        <v>392</v>
      </c>
      <c r="B49" s="7" t="s">
        <v>595</v>
      </c>
      <c r="C49" s="7" t="s">
        <v>596</v>
      </c>
      <c r="D49" s="7" t="s">
        <v>838</v>
      </c>
      <c r="E49" s="31">
        <v>4.0</v>
      </c>
      <c r="F49" s="53">
        <v>2.0</v>
      </c>
      <c r="G49" s="54" t="s">
        <v>843</v>
      </c>
      <c r="H49" s="54" t="s">
        <v>844</v>
      </c>
    </row>
    <row r="50" ht="15.75" customHeight="1">
      <c r="A50" s="7" t="s">
        <v>493</v>
      </c>
      <c r="B50" s="7" t="s">
        <v>595</v>
      </c>
      <c r="C50" s="7" t="s">
        <v>596</v>
      </c>
      <c r="D50" s="7" t="s">
        <v>823</v>
      </c>
      <c r="E50" s="31">
        <v>4.0</v>
      </c>
      <c r="F50" s="53">
        <v>2.0</v>
      </c>
      <c r="G50" s="54" t="s">
        <v>848</v>
      </c>
      <c r="H50" s="54" t="s">
        <v>849</v>
      </c>
    </row>
    <row r="51" ht="15.75" customHeight="1">
      <c r="A51" s="7" t="s">
        <v>136</v>
      </c>
      <c r="B51" s="7" t="s">
        <v>595</v>
      </c>
      <c r="C51" s="7" t="s">
        <v>596</v>
      </c>
      <c r="D51" s="7" t="s">
        <v>852</v>
      </c>
      <c r="E51" s="31">
        <v>4.0</v>
      </c>
      <c r="F51" s="53">
        <v>2.0</v>
      </c>
      <c r="G51" s="54" t="s">
        <v>853</v>
      </c>
      <c r="H51" s="54" t="s">
        <v>854</v>
      </c>
    </row>
    <row r="52" ht="15.75" customHeight="1">
      <c r="A52" s="7" t="s">
        <v>312</v>
      </c>
      <c r="B52" s="7" t="s">
        <v>595</v>
      </c>
      <c r="C52" s="7" t="s">
        <v>596</v>
      </c>
      <c r="D52" s="7" t="s">
        <v>857</v>
      </c>
      <c r="E52" s="31">
        <v>4.0</v>
      </c>
      <c r="F52" s="53">
        <v>2.0</v>
      </c>
      <c r="G52" s="54" t="s">
        <v>858</v>
      </c>
      <c r="H52" s="54" t="s">
        <v>859</v>
      </c>
    </row>
    <row r="53" ht="15.75" customHeight="1">
      <c r="A53" s="7" t="s">
        <v>443</v>
      </c>
      <c r="B53" s="7" t="s">
        <v>595</v>
      </c>
      <c r="C53" s="7" t="s">
        <v>596</v>
      </c>
      <c r="D53" s="7" t="s">
        <v>808</v>
      </c>
      <c r="E53" s="31">
        <v>4.0</v>
      </c>
      <c r="F53" s="53">
        <v>2.0</v>
      </c>
      <c r="G53" s="54" t="s">
        <v>862</v>
      </c>
      <c r="H53" s="54" t="s">
        <v>863</v>
      </c>
    </row>
    <row r="54" ht="15.75" customHeight="1">
      <c r="A54" s="7" t="s">
        <v>507</v>
      </c>
      <c r="B54" s="7" t="s">
        <v>595</v>
      </c>
      <c r="C54" s="7" t="s">
        <v>596</v>
      </c>
      <c r="D54" s="7" t="s">
        <v>864</v>
      </c>
      <c r="E54" s="31">
        <v>4.0</v>
      </c>
      <c r="F54" s="53">
        <v>2.0</v>
      </c>
      <c r="G54" s="54" t="s">
        <v>865</v>
      </c>
      <c r="H54" s="54" t="s">
        <v>866</v>
      </c>
    </row>
    <row r="55" ht="15.75" customHeight="1">
      <c r="A55" s="7" t="s">
        <v>211</v>
      </c>
      <c r="B55" s="7" t="s">
        <v>595</v>
      </c>
      <c r="C55" s="7" t="s">
        <v>596</v>
      </c>
      <c r="D55" s="7" t="s">
        <v>868</v>
      </c>
      <c r="E55" s="31">
        <v>5.0</v>
      </c>
      <c r="F55" s="53">
        <v>2.0</v>
      </c>
      <c r="G55" s="54" t="s">
        <v>870</v>
      </c>
      <c r="H55" s="54" t="s">
        <v>871</v>
      </c>
    </row>
    <row r="56" ht="15.75" customHeight="1">
      <c r="A56" s="7" t="s">
        <v>346</v>
      </c>
      <c r="B56" s="7" t="s">
        <v>595</v>
      </c>
      <c r="C56" s="7" t="s">
        <v>596</v>
      </c>
      <c r="D56" s="7" t="s">
        <v>873</v>
      </c>
      <c r="E56" s="31">
        <v>4.0</v>
      </c>
      <c r="F56" s="53">
        <v>2.0</v>
      </c>
      <c r="G56" s="54" t="s">
        <v>874</v>
      </c>
      <c r="H56" s="54" t="s">
        <v>876</v>
      </c>
    </row>
    <row r="57" ht="15.75" customHeight="1">
      <c r="A57" s="7" t="s">
        <v>481</v>
      </c>
      <c r="B57" s="7" t="s">
        <v>595</v>
      </c>
      <c r="C57" s="7" t="s">
        <v>596</v>
      </c>
      <c r="D57" s="7" t="s">
        <v>774</v>
      </c>
      <c r="E57" s="31">
        <v>4.0</v>
      </c>
      <c r="F57" s="53">
        <v>2.0</v>
      </c>
      <c r="G57" s="54" t="s">
        <v>878</v>
      </c>
      <c r="H57" s="54" t="s">
        <v>871</v>
      </c>
    </row>
    <row r="58" ht="15.75" customHeight="1">
      <c r="A58" s="56" t="s">
        <v>521</v>
      </c>
      <c r="B58" s="56" t="s">
        <v>602</v>
      </c>
      <c r="C58" s="56" t="s">
        <v>603</v>
      </c>
      <c r="D58" s="56" t="s">
        <v>882</v>
      </c>
      <c r="E58" s="57">
        <v>4.0</v>
      </c>
      <c r="F58" s="58">
        <v>2.0</v>
      </c>
      <c r="G58" s="59" t="s">
        <v>887</v>
      </c>
      <c r="H58" s="59" t="s">
        <v>889</v>
      </c>
    </row>
    <row r="59" ht="15.75" customHeight="1">
      <c r="A59" s="7" t="s">
        <v>272</v>
      </c>
      <c r="B59" s="7" t="s">
        <v>602</v>
      </c>
      <c r="C59" s="7" t="s">
        <v>603</v>
      </c>
      <c r="D59" s="7" t="s">
        <v>891</v>
      </c>
      <c r="E59" s="31">
        <v>4.0</v>
      </c>
      <c r="F59" s="53">
        <v>2.0</v>
      </c>
      <c r="G59" s="37" t="s">
        <v>893</v>
      </c>
      <c r="H59" s="37" t="s">
        <v>894</v>
      </c>
    </row>
    <row r="60" ht="15.75" customHeight="1">
      <c r="A60" s="7" t="s">
        <v>401</v>
      </c>
      <c r="B60" s="7" t="s">
        <v>602</v>
      </c>
      <c r="C60" s="7" t="s">
        <v>603</v>
      </c>
      <c r="D60" s="7" t="s">
        <v>895</v>
      </c>
      <c r="E60" s="31">
        <v>4.0</v>
      </c>
      <c r="F60" s="53">
        <v>2.0</v>
      </c>
      <c r="G60" s="37" t="s">
        <v>896</v>
      </c>
      <c r="H60" s="37" t="s">
        <v>898</v>
      </c>
    </row>
    <row r="61" ht="15.75" customHeight="1">
      <c r="A61" s="7" t="s">
        <v>495</v>
      </c>
      <c r="B61" s="7" t="s">
        <v>602</v>
      </c>
      <c r="C61" s="7" t="s">
        <v>603</v>
      </c>
      <c r="D61" s="7" t="s">
        <v>900</v>
      </c>
      <c r="E61" s="31">
        <v>5.0</v>
      </c>
      <c r="F61" s="53">
        <v>2.0</v>
      </c>
      <c r="G61" s="37" t="s">
        <v>901</v>
      </c>
      <c r="H61" s="37" t="s">
        <v>902</v>
      </c>
    </row>
    <row r="62" ht="15.75" customHeight="1">
      <c r="A62" s="7" t="s">
        <v>146</v>
      </c>
      <c r="B62" s="7" t="s">
        <v>602</v>
      </c>
      <c r="C62" s="7" t="s">
        <v>603</v>
      </c>
      <c r="D62" s="7" t="s">
        <v>906</v>
      </c>
      <c r="E62" s="31">
        <v>4.0</v>
      </c>
      <c r="F62" s="53">
        <v>2.0</v>
      </c>
      <c r="G62" s="37" t="s">
        <v>907</v>
      </c>
      <c r="H62" s="37" t="s">
        <v>908</v>
      </c>
    </row>
    <row r="63" ht="15.75" customHeight="1">
      <c r="A63" s="7" t="s">
        <v>317</v>
      </c>
      <c r="B63" s="7" t="s">
        <v>602</v>
      </c>
      <c r="C63" s="7" t="s">
        <v>603</v>
      </c>
      <c r="D63" s="7" t="s">
        <v>917</v>
      </c>
      <c r="E63" s="31">
        <v>4.0</v>
      </c>
      <c r="F63" s="53">
        <v>2.0</v>
      </c>
      <c r="G63" s="37" t="s">
        <v>919</v>
      </c>
      <c r="H63" s="37" t="s">
        <v>920</v>
      </c>
    </row>
    <row r="64" ht="15.75" customHeight="1">
      <c r="A64" s="7" t="s">
        <v>449</v>
      </c>
      <c r="B64" s="7" t="s">
        <v>602</v>
      </c>
      <c r="C64" s="7" t="s">
        <v>603</v>
      </c>
      <c r="D64" s="7" t="s">
        <v>830</v>
      </c>
      <c r="E64" s="31">
        <v>4.0</v>
      </c>
      <c r="F64" s="53">
        <v>2.0</v>
      </c>
      <c r="G64" s="37" t="s">
        <v>922</v>
      </c>
      <c r="H64" s="60" t="s">
        <v>925</v>
      </c>
    </row>
    <row r="65" ht="15.75" customHeight="1">
      <c r="A65" s="7" t="s">
        <v>509</v>
      </c>
      <c r="B65" s="7" t="s">
        <v>602</v>
      </c>
      <c r="C65" s="7" t="s">
        <v>603</v>
      </c>
      <c r="D65" s="7" t="s">
        <v>885</v>
      </c>
      <c r="E65" s="31">
        <v>4.0</v>
      </c>
      <c r="F65" s="53">
        <v>2.0</v>
      </c>
      <c r="G65" s="37" t="s">
        <v>932</v>
      </c>
      <c r="H65" s="37" t="s">
        <v>933</v>
      </c>
    </row>
    <row r="66" ht="15.75" customHeight="1">
      <c r="A66" s="61" t="s">
        <v>221</v>
      </c>
      <c r="B66" s="61" t="s">
        <v>608</v>
      </c>
      <c r="C66" s="61" t="s">
        <v>605</v>
      </c>
      <c r="D66" s="61" t="s">
        <v>841</v>
      </c>
      <c r="E66" s="62">
        <v>4.0</v>
      </c>
      <c r="F66" s="62">
        <v>2.0</v>
      </c>
      <c r="G66" s="63" t="s">
        <v>941</v>
      </c>
      <c r="H66" s="63" t="s">
        <v>943</v>
      </c>
    </row>
    <row r="67" ht="15.75" customHeight="1">
      <c r="A67" s="7" t="s">
        <v>354</v>
      </c>
      <c r="B67" s="7" t="s">
        <v>608</v>
      </c>
      <c r="C67" s="7" t="s">
        <v>605</v>
      </c>
      <c r="D67" s="7" t="s">
        <v>905</v>
      </c>
      <c r="E67" s="31">
        <v>6.0</v>
      </c>
      <c r="F67" s="31">
        <v>3.0</v>
      </c>
      <c r="G67" s="37" t="s">
        <v>946</v>
      </c>
      <c r="H67" s="37" t="s">
        <v>947</v>
      </c>
    </row>
    <row r="68" ht="15.75" customHeight="1">
      <c r="A68" s="7" t="s">
        <v>483</v>
      </c>
      <c r="B68" s="7" t="s">
        <v>608</v>
      </c>
      <c r="C68" s="7" t="s">
        <v>605</v>
      </c>
      <c r="D68" s="7" t="s">
        <v>803</v>
      </c>
      <c r="E68" s="31">
        <v>4.0</v>
      </c>
      <c r="F68" s="31">
        <v>2.0</v>
      </c>
      <c r="G68" s="37" t="s">
        <v>948</v>
      </c>
      <c r="H68" s="37" t="s">
        <v>950</v>
      </c>
    </row>
    <row r="69" ht="15.75" customHeight="1">
      <c r="A69" s="7" t="s">
        <v>523</v>
      </c>
      <c r="B69" s="7" t="s">
        <v>608</v>
      </c>
      <c r="C69" s="7" t="s">
        <v>605</v>
      </c>
      <c r="D69" s="7" t="s">
        <v>872</v>
      </c>
      <c r="E69" s="31">
        <v>6.0</v>
      </c>
      <c r="F69" s="31">
        <v>3.0</v>
      </c>
      <c r="G69" s="37" t="s">
        <v>952</v>
      </c>
      <c r="H69" s="37" t="s">
        <v>953</v>
      </c>
    </row>
    <row r="70" ht="15.75" customHeight="1">
      <c r="A70" s="7" t="s">
        <v>279</v>
      </c>
      <c r="B70" s="7" t="s">
        <v>608</v>
      </c>
      <c r="C70" s="7" t="s">
        <v>605</v>
      </c>
      <c r="D70" s="7" t="s">
        <v>956</v>
      </c>
      <c r="E70" s="31">
        <v>4.0</v>
      </c>
      <c r="F70" s="31">
        <v>2.0</v>
      </c>
      <c r="G70" s="37" t="s">
        <v>957</v>
      </c>
      <c r="H70" s="37" t="s">
        <v>958</v>
      </c>
    </row>
    <row r="71" ht="15.75" customHeight="1">
      <c r="A71" s="7" t="s">
        <v>408</v>
      </c>
      <c r="B71" s="7" t="s">
        <v>608</v>
      </c>
      <c r="C71" s="7" t="s">
        <v>605</v>
      </c>
      <c r="D71" s="7" t="s">
        <v>847</v>
      </c>
      <c r="E71" s="31">
        <v>4.0</v>
      </c>
      <c r="F71" s="31">
        <v>2.0</v>
      </c>
      <c r="G71" s="37" t="s">
        <v>961</v>
      </c>
      <c r="H71" s="37" t="s">
        <v>962</v>
      </c>
    </row>
    <row r="72" ht="15.75" customHeight="1">
      <c r="A72" s="7" t="s">
        <v>497</v>
      </c>
      <c r="B72" s="7" t="s">
        <v>608</v>
      </c>
      <c r="C72" s="7" t="s">
        <v>605</v>
      </c>
      <c r="D72" s="7" t="s">
        <v>912</v>
      </c>
      <c r="E72" s="31">
        <v>4.0</v>
      </c>
      <c r="F72" s="31">
        <v>2.0</v>
      </c>
      <c r="G72" s="37" t="s">
        <v>964</v>
      </c>
      <c r="H72" s="37" t="s">
        <v>966</v>
      </c>
    </row>
    <row r="73" ht="15.75" customHeight="1">
      <c r="A73" s="7" t="s">
        <v>160</v>
      </c>
      <c r="B73" s="7" t="s">
        <v>608</v>
      </c>
      <c r="C73" s="7" t="s">
        <v>605</v>
      </c>
      <c r="D73" s="7" t="s">
        <v>937</v>
      </c>
      <c r="E73" s="31">
        <v>4.0</v>
      </c>
      <c r="F73" s="31">
        <v>2.0</v>
      </c>
      <c r="G73" s="37" t="s">
        <v>967</v>
      </c>
      <c r="H73" s="37" t="s">
        <v>969</v>
      </c>
    </row>
    <row r="74" ht="15.75" customHeight="1">
      <c r="A74" s="7" t="s">
        <v>324</v>
      </c>
      <c r="B74" s="7" t="s">
        <v>608</v>
      </c>
      <c r="C74" s="7" t="s">
        <v>605</v>
      </c>
      <c r="D74" s="7" t="s">
        <v>970</v>
      </c>
      <c r="E74" s="31">
        <v>4.0</v>
      </c>
      <c r="F74" s="31">
        <v>2.0</v>
      </c>
      <c r="G74" s="37" t="s">
        <v>971</v>
      </c>
      <c r="H74" s="37" t="s">
        <v>973</v>
      </c>
    </row>
    <row r="75" ht="15.75" customHeight="1">
      <c r="G75" s="64"/>
      <c r="H75" s="64"/>
    </row>
    <row r="76" ht="15.75" customHeight="1">
      <c r="G76" s="64"/>
      <c r="H76" s="64"/>
    </row>
    <row r="77" ht="15.75" customHeight="1">
      <c r="G77" s="64"/>
      <c r="H77" s="64"/>
    </row>
    <row r="78" ht="15.75" customHeight="1">
      <c r="G78" s="64"/>
      <c r="H78" s="64"/>
    </row>
    <row r="79" ht="15.75" customHeight="1">
      <c r="G79" s="64"/>
      <c r="H79" s="64"/>
    </row>
    <row r="80" ht="15.75" customHeight="1">
      <c r="G80" s="64"/>
      <c r="H80" s="64"/>
    </row>
    <row r="81" ht="15.75" customHeight="1">
      <c r="G81" s="64"/>
      <c r="H81" s="64"/>
    </row>
    <row r="82" ht="15.75" customHeight="1">
      <c r="G82" s="64"/>
      <c r="H82" s="64"/>
    </row>
    <row r="83" ht="15.75" customHeight="1">
      <c r="G83" s="64"/>
      <c r="H83" s="64"/>
    </row>
    <row r="84" ht="15.75" customHeight="1">
      <c r="G84" s="64"/>
      <c r="H84" s="64"/>
    </row>
    <row r="85" ht="15.75" customHeight="1">
      <c r="G85" s="64"/>
      <c r="H85" s="64"/>
    </row>
    <row r="86" ht="15.75" customHeight="1">
      <c r="G86" s="64"/>
      <c r="H86" s="64"/>
    </row>
    <row r="87" ht="15.75" customHeight="1">
      <c r="G87" s="64"/>
      <c r="H87" s="64"/>
    </row>
    <row r="88" ht="15.75" customHeight="1">
      <c r="G88" s="64"/>
      <c r="H88" s="64"/>
    </row>
    <row r="89" ht="15.75" customHeight="1">
      <c r="G89" s="64"/>
      <c r="H89" s="64"/>
    </row>
    <row r="90" ht="15.75" customHeight="1">
      <c r="G90" s="64"/>
      <c r="H90" s="64"/>
    </row>
    <row r="91" ht="15.75" customHeight="1">
      <c r="G91" s="64"/>
      <c r="H91" s="64"/>
    </row>
    <row r="92" ht="15.75" customHeight="1">
      <c r="G92" s="64"/>
      <c r="H92" s="64"/>
    </row>
    <row r="93" ht="15.75" customHeight="1">
      <c r="G93" s="64"/>
      <c r="H93" s="64"/>
    </row>
    <row r="94" ht="15.75" customHeight="1">
      <c r="G94" s="64"/>
      <c r="H94" s="64"/>
    </row>
    <row r="95" ht="15.75" customHeight="1">
      <c r="G95" s="64"/>
      <c r="H95" s="64"/>
    </row>
    <row r="96" ht="15.75" customHeight="1">
      <c r="G96" s="64"/>
      <c r="H96" s="64"/>
    </row>
    <row r="97" ht="15.75" customHeight="1">
      <c r="G97" s="64"/>
      <c r="H97" s="64"/>
    </row>
    <row r="98" ht="15.75" customHeight="1">
      <c r="G98" s="64"/>
      <c r="H98" s="64"/>
    </row>
    <row r="99" ht="15.75" customHeight="1">
      <c r="G99" s="64"/>
      <c r="H99" s="64"/>
    </row>
    <row r="100" ht="15.75" customHeight="1">
      <c r="G100" s="64"/>
      <c r="H100" s="64"/>
    </row>
    <row r="101" ht="15.75" customHeight="1">
      <c r="G101" s="64"/>
      <c r="H101" s="64"/>
    </row>
    <row r="102" ht="15.75" customHeight="1">
      <c r="G102" s="64"/>
      <c r="H102" s="64"/>
    </row>
    <row r="103" ht="15.75" customHeight="1">
      <c r="G103" s="64"/>
      <c r="H103" s="64"/>
    </row>
    <row r="104" ht="15.75" customHeight="1">
      <c r="G104" s="64"/>
      <c r="H104" s="64"/>
    </row>
    <row r="105" ht="15.75" customHeight="1">
      <c r="G105" s="64"/>
      <c r="H105" s="64"/>
    </row>
    <row r="106" ht="15.75" customHeight="1">
      <c r="G106" s="64"/>
      <c r="H106" s="64"/>
    </row>
    <row r="107" ht="15.75" customHeight="1">
      <c r="G107" s="64"/>
      <c r="H107" s="64"/>
    </row>
    <row r="108" ht="15.75" customHeight="1">
      <c r="G108" s="64"/>
      <c r="H108" s="64"/>
    </row>
    <row r="109" ht="15.75" customHeight="1">
      <c r="G109" s="64"/>
      <c r="H109" s="64"/>
    </row>
    <row r="110" ht="15.75" customHeight="1">
      <c r="G110" s="64"/>
      <c r="H110" s="64"/>
    </row>
    <row r="111" ht="15.75" customHeight="1">
      <c r="G111" s="64"/>
      <c r="H111" s="64"/>
    </row>
    <row r="112" ht="15.75" customHeight="1">
      <c r="G112" s="64"/>
      <c r="H112" s="64"/>
    </row>
    <row r="113" ht="15.75" customHeight="1">
      <c r="G113" s="64"/>
      <c r="H113" s="64"/>
    </row>
    <row r="114" ht="15.75" customHeight="1">
      <c r="G114" s="64"/>
      <c r="H114" s="64"/>
    </row>
    <row r="115" ht="15.75" customHeight="1">
      <c r="G115" s="64"/>
      <c r="H115" s="64"/>
    </row>
    <row r="116" ht="15.75" customHeight="1">
      <c r="G116" s="64"/>
      <c r="H116" s="64"/>
    </row>
    <row r="117" ht="15.75" customHeight="1">
      <c r="G117" s="64"/>
      <c r="H117" s="64"/>
    </row>
    <row r="118" ht="15.75" customHeight="1">
      <c r="G118" s="64"/>
      <c r="H118" s="64"/>
    </row>
    <row r="119" ht="15.75" customHeight="1">
      <c r="G119" s="64"/>
      <c r="H119" s="64"/>
    </row>
    <row r="120" ht="15.75" customHeight="1">
      <c r="G120" s="64"/>
      <c r="H120" s="64"/>
    </row>
    <row r="121" ht="15.75" customHeight="1">
      <c r="G121" s="64"/>
      <c r="H121" s="64"/>
    </row>
    <row r="122" ht="15.75" customHeight="1">
      <c r="G122" s="64"/>
      <c r="H122" s="64"/>
    </row>
    <row r="123" ht="15.75" customHeight="1">
      <c r="G123" s="64"/>
      <c r="H123" s="64"/>
    </row>
    <row r="124" ht="15.75" customHeight="1">
      <c r="G124" s="64"/>
      <c r="H124" s="64"/>
    </row>
    <row r="125" ht="15.75" customHeight="1">
      <c r="G125" s="64"/>
      <c r="H125" s="64"/>
    </row>
    <row r="126" ht="15.75" customHeight="1">
      <c r="G126" s="64"/>
      <c r="H126" s="64"/>
    </row>
    <row r="127" ht="15.75" customHeight="1">
      <c r="G127" s="64"/>
      <c r="H127" s="64"/>
    </row>
    <row r="128" ht="15.75" customHeight="1">
      <c r="G128" s="64"/>
      <c r="H128" s="64"/>
    </row>
    <row r="129" ht="15.75" customHeight="1">
      <c r="G129" s="64"/>
      <c r="H129" s="64"/>
    </row>
    <row r="130" ht="15.75" customHeight="1">
      <c r="G130" s="64"/>
      <c r="H130" s="64"/>
    </row>
    <row r="131" ht="15.75" customHeight="1">
      <c r="G131" s="64"/>
      <c r="H131" s="64"/>
    </row>
    <row r="132" ht="15.75" customHeight="1">
      <c r="G132" s="64"/>
      <c r="H132" s="64"/>
    </row>
    <row r="133" ht="15.75" customHeight="1">
      <c r="G133" s="64"/>
      <c r="H133" s="64"/>
    </row>
    <row r="134" ht="15.75" customHeight="1">
      <c r="G134" s="64"/>
      <c r="H134" s="64"/>
    </row>
    <row r="135" ht="15.75" customHeight="1">
      <c r="G135" s="64"/>
      <c r="H135" s="64"/>
    </row>
    <row r="136" ht="15.75" customHeight="1">
      <c r="G136" s="64"/>
      <c r="H136" s="64"/>
    </row>
    <row r="137" ht="15.75" customHeight="1">
      <c r="G137" s="64"/>
      <c r="H137" s="64"/>
    </row>
    <row r="138" ht="15.75" customHeight="1">
      <c r="G138" s="64"/>
      <c r="H138" s="64"/>
    </row>
    <row r="139" ht="15.75" customHeight="1">
      <c r="G139" s="64"/>
      <c r="H139" s="64"/>
    </row>
    <row r="140" ht="15.75" customHeight="1">
      <c r="G140" s="64"/>
      <c r="H140" s="64"/>
    </row>
    <row r="141" ht="15.75" customHeight="1">
      <c r="G141" s="64"/>
      <c r="H141" s="64"/>
    </row>
    <row r="142" ht="15.75" customHeight="1">
      <c r="G142" s="64"/>
      <c r="H142" s="64"/>
    </row>
    <row r="143" ht="15.75" customHeight="1">
      <c r="G143" s="64"/>
      <c r="H143" s="64"/>
    </row>
    <row r="144" ht="15.75" customHeight="1">
      <c r="G144" s="64"/>
      <c r="H144" s="64"/>
    </row>
    <row r="145" ht="15.75" customHeight="1">
      <c r="G145" s="64"/>
      <c r="H145" s="64"/>
    </row>
    <row r="146" ht="15.75" customHeight="1">
      <c r="G146" s="64"/>
      <c r="H146" s="64"/>
    </row>
    <row r="147" ht="15.75" customHeight="1">
      <c r="G147" s="64"/>
      <c r="H147" s="64"/>
    </row>
    <row r="148" ht="15.75" customHeight="1">
      <c r="G148" s="64"/>
      <c r="H148" s="64"/>
    </row>
    <row r="149" ht="15.75" customHeight="1">
      <c r="G149" s="64"/>
      <c r="H149" s="64"/>
    </row>
    <row r="150" ht="15.75" customHeight="1">
      <c r="G150" s="64"/>
      <c r="H150" s="64"/>
    </row>
    <row r="151" ht="15.75" customHeight="1">
      <c r="G151" s="64"/>
      <c r="H151" s="64"/>
    </row>
    <row r="152" ht="15.75" customHeight="1">
      <c r="G152" s="64"/>
      <c r="H152" s="64"/>
    </row>
    <row r="153" ht="15.75" customHeight="1">
      <c r="G153" s="64"/>
      <c r="H153" s="64"/>
    </row>
    <row r="154" ht="15.75" customHeight="1">
      <c r="G154" s="64"/>
      <c r="H154" s="64"/>
    </row>
    <row r="155" ht="15.75" customHeight="1">
      <c r="G155" s="64"/>
      <c r="H155" s="64"/>
    </row>
    <row r="156" ht="15.75" customHeight="1">
      <c r="G156" s="64"/>
      <c r="H156" s="64"/>
    </row>
    <row r="157" ht="15.75" customHeight="1">
      <c r="G157" s="64"/>
      <c r="H157" s="64"/>
    </row>
    <row r="158" ht="15.75" customHeight="1">
      <c r="G158" s="64"/>
      <c r="H158" s="64"/>
    </row>
    <row r="159" ht="15.75" customHeight="1">
      <c r="G159" s="64"/>
      <c r="H159" s="64"/>
    </row>
    <row r="160" ht="15.75" customHeight="1">
      <c r="G160" s="64"/>
      <c r="H160" s="64"/>
    </row>
    <row r="161" ht="15.75" customHeight="1">
      <c r="G161" s="64"/>
      <c r="H161" s="64"/>
    </row>
    <row r="162" ht="15.75" customHeight="1">
      <c r="G162" s="64"/>
      <c r="H162" s="64"/>
    </row>
    <row r="163" ht="15.75" customHeight="1">
      <c r="G163" s="64"/>
      <c r="H163" s="64"/>
    </row>
    <row r="164" ht="15.75" customHeight="1">
      <c r="G164" s="64"/>
      <c r="H164" s="64"/>
    </row>
    <row r="165" ht="15.75" customHeight="1">
      <c r="G165" s="64"/>
      <c r="H165" s="64"/>
    </row>
    <row r="166" ht="15.75" customHeight="1">
      <c r="G166" s="64"/>
      <c r="H166" s="64"/>
    </row>
    <row r="167" ht="15.75" customHeight="1">
      <c r="G167" s="64"/>
      <c r="H167" s="64"/>
    </row>
    <row r="168" ht="15.75" customHeight="1">
      <c r="G168" s="64"/>
      <c r="H168" s="64"/>
    </row>
    <row r="169" ht="15.75" customHeight="1">
      <c r="G169" s="64"/>
      <c r="H169" s="64"/>
    </row>
    <row r="170" ht="15.75" customHeight="1">
      <c r="G170" s="64"/>
      <c r="H170" s="64"/>
    </row>
    <row r="171" ht="15.75" customHeight="1">
      <c r="G171" s="64"/>
      <c r="H171" s="64"/>
    </row>
    <row r="172" ht="15.75" customHeight="1">
      <c r="G172" s="64"/>
      <c r="H172" s="64"/>
    </row>
    <row r="173" ht="15.75" customHeight="1">
      <c r="G173" s="64"/>
      <c r="H173" s="64"/>
    </row>
    <row r="174" ht="15.75" customHeight="1">
      <c r="G174" s="64"/>
      <c r="H174" s="64"/>
    </row>
    <row r="175" ht="15.75" customHeight="1">
      <c r="G175" s="64"/>
      <c r="H175" s="64"/>
    </row>
    <row r="176" ht="15.75" customHeight="1">
      <c r="G176" s="64"/>
      <c r="H176" s="64"/>
    </row>
    <row r="177" ht="15.75" customHeight="1">
      <c r="G177" s="64"/>
      <c r="H177" s="64"/>
    </row>
    <row r="178" ht="15.75" customHeight="1">
      <c r="G178" s="64"/>
      <c r="H178" s="64"/>
    </row>
    <row r="179" ht="15.75" customHeight="1">
      <c r="G179" s="64"/>
      <c r="H179" s="64"/>
    </row>
    <row r="180" ht="15.75" customHeight="1">
      <c r="G180" s="64"/>
      <c r="H180" s="64"/>
    </row>
    <row r="181" ht="15.75" customHeight="1">
      <c r="G181" s="64"/>
      <c r="H181" s="64"/>
    </row>
    <row r="182" ht="15.75" customHeight="1">
      <c r="G182" s="64"/>
      <c r="H182" s="64"/>
    </row>
    <row r="183" ht="15.75" customHeight="1">
      <c r="G183" s="64"/>
      <c r="H183" s="64"/>
    </row>
    <row r="184" ht="15.75" customHeight="1">
      <c r="G184" s="64"/>
      <c r="H184" s="64"/>
    </row>
    <row r="185" ht="15.75" customHeight="1">
      <c r="G185" s="64"/>
      <c r="H185" s="64"/>
    </row>
    <row r="186" ht="15.75" customHeight="1">
      <c r="G186" s="64"/>
      <c r="H186" s="64"/>
    </row>
    <row r="187" ht="15.75" customHeight="1">
      <c r="G187" s="64"/>
      <c r="H187" s="64"/>
    </row>
    <row r="188" ht="15.75" customHeight="1">
      <c r="G188" s="64"/>
      <c r="H188" s="64"/>
    </row>
    <row r="189" ht="15.75" customHeight="1">
      <c r="G189" s="64"/>
      <c r="H189" s="64"/>
    </row>
    <row r="190" ht="15.75" customHeight="1">
      <c r="G190" s="64"/>
      <c r="H190" s="64"/>
    </row>
    <row r="191" ht="15.75" customHeight="1">
      <c r="G191" s="64"/>
      <c r="H191" s="64"/>
    </row>
    <row r="192" ht="15.75" customHeight="1">
      <c r="G192" s="64"/>
      <c r="H192" s="64"/>
    </row>
    <row r="193" ht="15.75" customHeight="1">
      <c r="G193" s="64"/>
      <c r="H193" s="64"/>
    </row>
    <row r="194" ht="15.75" customHeight="1">
      <c r="G194" s="64"/>
      <c r="H194" s="64"/>
    </row>
    <row r="195" ht="15.75" customHeight="1">
      <c r="G195" s="64"/>
      <c r="H195" s="64"/>
    </row>
    <row r="196" ht="15.75" customHeight="1">
      <c r="G196" s="64"/>
      <c r="H196" s="64"/>
    </row>
    <row r="197" ht="15.75" customHeight="1">
      <c r="G197" s="64"/>
      <c r="H197" s="64"/>
    </row>
    <row r="198" ht="15.75" customHeight="1">
      <c r="G198" s="64"/>
      <c r="H198" s="64"/>
    </row>
    <row r="199" ht="15.75" customHeight="1">
      <c r="G199" s="64"/>
      <c r="H199" s="64"/>
    </row>
    <row r="200" ht="15.75" customHeight="1">
      <c r="G200" s="64"/>
      <c r="H200" s="64"/>
    </row>
    <row r="201" ht="15.75" customHeight="1">
      <c r="G201" s="64"/>
      <c r="H201" s="64"/>
    </row>
    <row r="202" ht="15.75" customHeight="1">
      <c r="G202" s="64"/>
      <c r="H202" s="64"/>
    </row>
    <row r="203" ht="15.75" customHeight="1">
      <c r="G203" s="64"/>
      <c r="H203" s="64"/>
    </row>
    <row r="204" ht="15.75" customHeight="1">
      <c r="G204" s="64"/>
      <c r="H204" s="64"/>
    </row>
    <row r="205" ht="15.75" customHeight="1">
      <c r="G205" s="64"/>
      <c r="H205" s="64"/>
    </row>
    <row r="206" ht="15.75" customHeight="1">
      <c r="G206" s="64"/>
      <c r="H206" s="64"/>
    </row>
    <row r="207" ht="15.75" customHeight="1">
      <c r="G207" s="64"/>
      <c r="H207" s="64"/>
    </row>
    <row r="208" ht="15.75" customHeight="1">
      <c r="G208" s="64"/>
      <c r="H208" s="64"/>
    </row>
    <row r="209" ht="15.75" customHeight="1">
      <c r="G209" s="64"/>
      <c r="H209" s="64"/>
    </row>
    <row r="210" ht="15.75" customHeight="1">
      <c r="G210" s="64"/>
      <c r="H210" s="64"/>
    </row>
    <row r="211" ht="15.75" customHeight="1">
      <c r="G211" s="64"/>
      <c r="H211" s="64"/>
    </row>
    <row r="212" ht="15.75" customHeight="1">
      <c r="G212" s="64"/>
      <c r="H212" s="64"/>
    </row>
    <row r="213" ht="15.75" customHeight="1">
      <c r="G213" s="64"/>
      <c r="H213" s="64"/>
    </row>
    <row r="214" ht="15.75" customHeight="1">
      <c r="G214" s="64"/>
      <c r="H214" s="64"/>
    </row>
    <row r="215" ht="15.75" customHeight="1">
      <c r="G215" s="64"/>
      <c r="H215" s="64"/>
    </row>
    <row r="216" ht="15.75" customHeight="1">
      <c r="G216" s="64"/>
      <c r="H216" s="64"/>
    </row>
    <row r="217" ht="15.75" customHeight="1">
      <c r="G217" s="64"/>
      <c r="H217" s="64"/>
    </row>
    <row r="218" ht="15.75" customHeight="1">
      <c r="G218" s="64"/>
      <c r="H218" s="64"/>
    </row>
    <row r="219" ht="15.75" customHeight="1">
      <c r="G219" s="64"/>
      <c r="H219" s="64"/>
    </row>
    <row r="220" ht="15.75" customHeight="1">
      <c r="G220" s="64"/>
      <c r="H220" s="64"/>
    </row>
    <row r="221" ht="15.75" customHeight="1">
      <c r="G221" s="64"/>
      <c r="H221" s="64"/>
    </row>
    <row r="222" ht="15.75" customHeight="1">
      <c r="G222" s="64"/>
      <c r="H222" s="64"/>
    </row>
    <row r="223" ht="15.75" customHeight="1">
      <c r="G223" s="64"/>
      <c r="H223" s="64"/>
    </row>
    <row r="224" ht="15.75" customHeight="1">
      <c r="G224" s="64"/>
      <c r="H224" s="64"/>
    </row>
    <row r="225" ht="15.75" customHeight="1">
      <c r="G225" s="64"/>
      <c r="H225" s="64"/>
    </row>
    <row r="226" ht="15.75" customHeight="1">
      <c r="G226" s="64"/>
      <c r="H226" s="64"/>
    </row>
    <row r="227" ht="15.75" customHeight="1">
      <c r="G227" s="64"/>
      <c r="H227" s="64"/>
    </row>
    <row r="228" ht="15.75" customHeight="1">
      <c r="G228" s="64"/>
      <c r="H228" s="64"/>
    </row>
    <row r="229" ht="15.75" customHeight="1">
      <c r="G229" s="64"/>
      <c r="H229" s="64"/>
    </row>
    <row r="230" ht="15.75" customHeight="1">
      <c r="G230" s="64"/>
      <c r="H230" s="64"/>
    </row>
    <row r="231" ht="15.75" customHeight="1">
      <c r="G231" s="64"/>
      <c r="H231" s="64"/>
    </row>
    <row r="232" ht="15.75" customHeight="1">
      <c r="G232" s="64"/>
      <c r="H232" s="64"/>
    </row>
    <row r="233" ht="15.75" customHeight="1">
      <c r="G233" s="64"/>
      <c r="H233" s="64"/>
    </row>
    <row r="234" ht="15.75" customHeight="1">
      <c r="G234" s="64"/>
      <c r="H234" s="64"/>
    </row>
    <row r="235" ht="15.75" customHeight="1">
      <c r="G235" s="64"/>
      <c r="H235" s="64"/>
    </row>
    <row r="236" ht="15.75" customHeight="1">
      <c r="G236" s="64"/>
      <c r="H236" s="64"/>
    </row>
    <row r="237" ht="15.75" customHeight="1">
      <c r="G237" s="64"/>
      <c r="H237" s="64"/>
    </row>
    <row r="238" ht="15.75" customHeight="1">
      <c r="G238" s="64"/>
      <c r="H238" s="64"/>
    </row>
    <row r="239" ht="15.75" customHeight="1">
      <c r="G239" s="64"/>
      <c r="H239" s="64"/>
    </row>
    <row r="240" ht="15.75" customHeight="1">
      <c r="G240" s="64"/>
      <c r="H240" s="64"/>
    </row>
    <row r="241" ht="15.75" customHeight="1">
      <c r="G241" s="64"/>
      <c r="H241" s="64"/>
    </row>
    <row r="242" ht="15.75" customHeight="1">
      <c r="G242" s="64"/>
      <c r="H242" s="64"/>
    </row>
    <row r="243" ht="15.75" customHeight="1">
      <c r="G243" s="64"/>
      <c r="H243" s="64"/>
    </row>
    <row r="244" ht="15.75" customHeight="1">
      <c r="G244" s="64"/>
      <c r="H244" s="64"/>
    </row>
    <row r="245" ht="15.75" customHeight="1">
      <c r="G245" s="64"/>
      <c r="H245" s="64"/>
    </row>
    <row r="246" ht="15.75" customHeight="1">
      <c r="G246" s="64"/>
      <c r="H246" s="64"/>
    </row>
    <row r="247" ht="15.75" customHeight="1">
      <c r="G247" s="64"/>
      <c r="H247" s="64"/>
    </row>
    <row r="248" ht="15.75" customHeight="1">
      <c r="G248" s="64"/>
      <c r="H248" s="64"/>
    </row>
    <row r="249" ht="15.75" customHeight="1">
      <c r="G249" s="64"/>
      <c r="H249" s="64"/>
    </row>
    <row r="250" ht="15.75" customHeight="1">
      <c r="G250" s="64"/>
      <c r="H250" s="64"/>
    </row>
    <row r="251" ht="15.75" customHeight="1">
      <c r="G251" s="64"/>
      <c r="H251" s="64"/>
    </row>
    <row r="252" ht="15.75" customHeight="1">
      <c r="G252" s="64"/>
      <c r="H252" s="64"/>
    </row>
    <row r="253" ht="15.75" customHeight="1">
      <c r="G253" s="64"/>
      <c r="H253" s="64"/>
    </row>
    <row r="254" ht="15.75" customHeight="1">
      <c r="G254" s="64"/>
      <c r="H254" s="64"/>
    </row>
    <row r="255" ht="15.75" customHeight="1">
      <c r="G255" s="64"/>
      <c r="H255" s="64"/>
    </row>
    <row r="256" ht="15.75" customHeight="1">
      <c r="G256" s="64"/>
      <c r="H256" s="64"/>
    </row>
    <row r="257" ht="15.75" customHeight="1">
      <c r="G257" s="64"/>
      <c r="H257" s="64"/>
    </row>
    <row r="258" ht="15.75" customHeight="1">
      <c r="G258" s="64"/>
      <c r="H258" s="64"/>
    </row>
    <row r="259" ht="15.75" customHeight="1">
      <c r="G259" s="64"/>
      <c r="H259" s="64"/>
    </row>
    <row r="260" ht="15.75" customHeight="1">
      <c r="G260" s="64"/>
      <c r="H260" s="64"/>
    </row>
    <row r="261" ht="15.75" customHeight="1">
      <c r="G261" s="64"/>
      <c r="H261" s="64"/>
    </row>
    <row r="262" ht="15.75" customHeight="1">
      <c r="G262" s="64"/>
      <c r="H262" s="64"/>
    </row>
    <row r="263" ht="15.75" customHeight="1">
      <c r="G263" s="64"/>
      <c r="H263" s="64"/>
    </row>
    <row r="264" ht="15.75" customHeight="1">
      <c r="G264" s="64"/>
      <c r="H264" s="64"/>
    </row>
    <row r="265" ht="15.75" customHeight="1">
      <c r="G265" s="64"/>
      <c r="H265" s="64"/>
    </row>
    <row r="266" ht="15.75" customHeight="1">
      <c r="G266" s="64"/>
      <c r="H266" s="64"/>
    </row>
    <row r="267" ht="15.75" customHeight="1">
      <c r="G267" s="64"/>
      <c r="H267" s="64"/>
    </row>
    <row r="268" ht="15.75" customHeight="1">
      <c r="G268" s="64"/>
      <c r="H268" s="64"/>
    </row>
    <row r="269" ht="15.75" customHeight="1">
      <c r="G269" s="64"/>
      <c r="H269" s="64"/>
    </row>
    <row r="270" ht="15.75" customHeight="1">
      <c r="G270" s="64"/>
      <c r="H270" s="64"/>
    </row>
    <row r="271" ht="15.75" customHeight="1">
      <c r="G271" s="64"/>
      <c r="H271" s="64"/>
    </row>
    <row r="272" ht="15.75" customHeight="1">
      <c r="G272" s="64"/>
      <c r="H272" s="64"/>
    </row>
    <row r="273" ht="15.75" customHeight="1">
      <c r="G273" s="64"/>
      <c r="H273" s="64"/>
    </row>
    <row r="274" ht="15.75" customHeight="1">
      <c r="G274" s="64"/>
      <c r="H274" s="64"/>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38"/>
    <col customWidth="1" min="2" max="3" width="12.63"/>
    <col customWidth="1" min="4" max="4" width="18.13"/>
    <col customWidth="1" min="5" max="5" width="24.25"/>
    <col customWidth="1" min="6" max="6" width="22.63"/>
    <col customWidth="1" min="7" max="7" width="17.38"/>
    <col customWidth="1" min="8" max="8" width="23.13"/>
    <col customWidth="1" min="9" max="9" width="25.75"/>
    <col customWidth="1" min="10" max="10" width="20.75"/>
    <col customWidth="1" min="11" max="11" width="18.25"/>
    <col customWidth="1" min="12" max="12" width="24.25"/>
    <col customWidth="1" min="13" max="13" width="18.25"/>
    <col customWidth="1" min="14" max="14" width="24.13"/>
  </cols>
  <sheetData>
    <row r="1" ht="15.75" customHeight="1">
      <c r="A1" s="41" t="s">
        <v>712</v>
      </c>
      <c r="B1" s="41" t="s">
        <v>559</v>
      </c>
      <c r="C1" s="41" t="s">
        <v>11</v>
      </c>
      <c r="D1" s="41" t="s">
        <v>618</v>
      </c>
      <c r="E1" s="41" t="s">
        <v>720</v>
      </c>
      <c r="F1" s="41" t="s">
        <v>722</v>
      </c>
      <c r="G1" s="41" t="s">
        <v>725</v>
      </c>
      <c r="H1" s="41" t="s">
        <v>727</v>
      </c>
      <c r="I1" s="41" t="s">
        <v>728</v>
      </c>
      <c r="J1" s="41" t="s">
        <v>730</v>
      </c>
      <c r="K1" s="41" t="s">
        <v>731</v>
      </c>
      <c r="L1" s="41" t="s">
        <v>735</v>
      </c>
      <c r="M1" s="42" t="s">
        <v>737</v>
      </c>
      <c r="N1" s="42" t="s">
        <v>742</v>
      </c>
    </row>
    <row r="2" ht="15.75" customHeight="1">
      <c r="A2" s="43" t="s">
        <v>744</v>
      </c>
      <c r="B2" s="43" t="s">
        <v>581</v>
      </c>
      <c r="C2" s="43" t="s">
        <v>519</v>
      </c>
      <c r="D2" s="43" t="s">
        <v>748</v>
      </c>
      <c r="E2" s="43" t="s">
        <v>749</v>
      </c>
      <c r="F2" s="43" t="s">
        <v>751</v>
      </c>
      <c r="G2" s="44">
        <v>2024.0</v>
      </c>
      <c r="H2" s="44">
        <v>0.0066</v>
      </c>
      <c r="I2" s="44">
        <v>0.0085</v>
      </c>
      <c r="J2" s="44">
        <v>2.0</v>
      </c>
      <c r="K2" s="44">
        <v>2.0</v>
      </c>
      <c r="L2" s="44">
        <v>1.0</v>
      </c>
      <c r="M2" s="45">
        <v>0.44</v>
      </c>
      <c r="N2" s="46" t="s">
        <v>764</v>
      </c>
    </row>
    <row r="3" ht="15.75" customHeight="1">
      <c r="A3" s="43" t="s">
        <v>767</v>
      </c>
      <c r="B3" s="43" t="s">
        <v>596</v>
      </c>
      <c r="C3" s="43" t="s">
        <v>481</v>
      </c>
      <c r="D3" s="43" t="s">
        <v>774</v>
      </c>
      <c r="E3" s="43" t="s">
        <v>749</v>
      </c>
      <c r="F3" s="43" t="s">
        <v>751</v>
      </c>
      <c r="G3" s="44">
        <v>2024.0</v>
      </c>
      <c r="H3" s="44">
        <v>0.0083</v>
      </c>
      <c r="I3" s="44">
        <v>0.0104</v>
      </c>
      <c r="J3" s="44">
        <v>2.0</v>
      </c>
      <c r="K3" s="44">
        <v>1.0</v>
      </c>
      <c r="L3" s="44">
        <v>1.0</v>
      </c>
      <c r="M3" s="45">
        <v>0.68</v>
      </c>
      <c r="N3" s="46" t="s">
        <v>764</v>
      </c>
    </row>
    <row r="4" ht="15.75" customHeight="1">
      <c r="A4" s="43" t="s">
        <v>781</v>
      </c>
      <c r="B4" s="43" t="s">
        <v>581</v>
      </c>
      <c r="C4" s="43" t="s">
        <v>341</v>
      </c>
      <c r="D4" s="43" t="s">
        <v>783</v>
      </c>
      <c r="E4" s="43" t="s">
        <v>784</v>
      </c>
      <c r="F4" s="43" t="s">
        <v>751</v>
      </c>
      <c r="G4" s="44">
        <v>2024.0</v>
      </c>
      <c r="H4" s="44">
        <v>3.2304</v>
      </c>
      <c r="I4" s="44">
        <v>4.0321</v>
      </c>
      <c r="J4" s="44">
        <v>37.0</v>
      </c>
      <c r="K4" s="44">
        <v>30.0</v>
      </c>
      <c r="L4" s="44">
        <v>3.0</v>
      </c>
      <c r="M4" s="45">
        <v>270.81</v>
      </c>
      <c r="N4" s="46" t="s">
        <v>764</v>
      </c>
    </row>
    <row r="5" ht="15.75" customHeight="1">
      <c r="A5" s="43" t="s">
        <v>789</v>
      </c>
      <c r="B5" s="43" t="s">
        <v>577</v>
      </c>
      <c r="C5" s="43" t="s">
        <v>422</v>
      </c>
      <c r="D5" s="43" t="s">
        <v>688</v>
      </c>
      <c r="E5" s="43" t="s">
        <v>749</v>
      </c>
      <c r="F5" s="43" t="s">
        <v>751</v>
      </c>
      <c r="G5" s="44">
        <v>2024.0</v>
      </c>
      <c r="H5" s="44">
        <v>0.0104</v>
      </c>
      <c r="I5" s="44">
        <v>0.0112</v>
      </c>
      <c r="J5" s="44">
        <v>2.0</v>
      </c>
      <c r="K5" s="44">
        <v>1.0</v>
      </c>
      <c r="L5" s="44">
        <v>1.0</v>
      </c>
      <c r="M5" s="45">
        <v>1.26</v>
      </c>
      <c r="N5" s="46" t="s">
        <v>764</v>
      </c>
    </row>
    <row r="6" ht="15.75" customHeight="1">
      <c r="A6" s="43" t="s">
        <v>795</v>
      </c>
      <c r="B6" s="43" t="s">
        <v>596</v>
      </c>
      <c r="C6" s="43" t="s">
        <v>481</v>
      </c>
      <c r="D6" s="43" t="s">
        <v>774</v>
      </c>
      <c r="E6" s="43" t="s">
        <v>797</v>
      </c>
      <c r="F6" s="43" t="s">
        <v>798</v>
      </c>
      <c r="G6" s="44">
        <v>2023.0</v>
      </c>
      <c r="H6" s="44">
        <v>0.0859</v>
      </c>
      <c r="I6" s="44">
        <v>0.0951</v>
      </c>
      <c r="J6" s="44">
        <v>4.0</v>
      </c>
      <c r="K6" s="44">
        <v>4.0</v>
      </c>
      <c r="L6" s="44">
        <v>1.0</v>
      </c>
      <c r="M6" s="45">
        <v>0.3485</v>
      </c>
      <c r="N6" s="46" t="s">
        <v>764</v>
      </c>
    </row>
    <row r="7" ht="15.75" customHeight="1">
      <c r="A7" s="43" t="s">
        <v>807</v>
      </c>
      <c r="B7" s="43" t="s">
        <v>596</v>
      </c>
      <c r="C7" s="43" t="s">
        <v>443</v>
      </c>
      <c r="D7" s="43" t="s">
        <v>808</v>
      </c>
      <c r="E7" s="43" t="s">
        <v>749</v>
      </c>
      <c r="F7" s="43" t="s">
        <v>751</v>
      </c>
      <c r="G7" s="44">
        <v>2024.0</v>
      </c>
      <c r="H7" s="44">
        <v>0.0049</v>
      </c>
      <c r="I7" s="44">
        <v>0.0056</v>
      </c>
      <c r="J7" s="44">
        <v>2.0</v>
      </c>
      <c r="K7" s="44">
        <v>1.0</v>
      </c>
      <c r="L7" s="44">
        <v>1.0</v>
      </c>
      <c r="M7" s="45">
        <v>0.61</v>
      </c>
      <c r="N7" s="46" t="s">
        <v>764</v>
      </c>
    </row>
    <row r="8" ht="15.75" customHeight="1">
      <c r="A8" s="43" t="s">
        <v>812</v>
      </c>
      <c r="B8" s="43" t="s">
        <v>581</v>
      </c>
      <c r="C8" s="43" t="s">
        <v>479</v>
      </c>
      <c r="D8" s="43" t="s">
        <v>811</v>
      </c>
      <c r="E8" s="43" t="s">
        <v>784</v>
      </c>
      <c r="F8" s="43" t="s">
        <v>751</v>
      </c>
      <c r="G8" s="44">
        <v>2024.0</v>
      </c>
      <c r="H8" s="44">
        <v>0.7281</v>
      </c>
      <c r="I8" s="44">
        <v>0.9315</v>
      </c>
      <c r="J8" s="44">
        <v>4.0</v>
      </c>
      <c r="K8" s="44">
        <v>3.0</v>
      </c>
      <c r="L8" s="44">
        <v>1.0</v>
      </c>
      <c r="M8" s="45">
        <v>63.89</v>
      </c>
      <c r="N8" s="46" t="s">
        <v>764</v>
      </c>
    </row>
    <row r="9" ht="15.75" customHeight="1">
      <c r="A9" s="43" t="s">
        <v>815</v>
      </c>
      <c r="B9" s="43" t="s">
        <v>581</v>
      </c>
      <c r="C9" s="43" t="s">
        <v>202</v>
      </c>
      <c r="D9" s="43" t="s">
        <v>803</v>
      </c>
      <c r="E9" s="43" t="s">
        <v>817</v>
      </c>
      <c r="F9" s="43" t="s">
        <v>798</v>
      </c>
      <c r="G9" s="44">
        <v>2023.0</v>
      </c>
      <c r="H9" s="44">
        <v>0.1384</v>
      </c>
      <c r="I9" s="44">
        <v>0.1788</v>
      </c>
      <c r="J9" s="44">
        <v>2.0</v>
      </c>
      <c r="K9" s="44">
        <v>1.0</v>
      </c>
      <c r="L9" s="44">
        <v>1.0</v>
      </c>
      <c r="M9" s="45">
        <v>0.6753</v>
      </c>
      <c r="N9" s="46" t="s">
        <v>764</v>
      </c>
    </row>
    <row r="10" ht="15.75" customHeight="1">
      <c r="A10" s="43" t="s">
        <v>818</v>
      </c>
      <c r="B10" s="43" t="s">
        <v>577</v>
      </c>
      <c r="C10" s="43" t="s">
        <v>169</v>
      </c>
      <c r="D10" s="43" t="s">
        <v>655</v>
      </c>
      <c r="E10" s="43" t="s">
        <v>817</v>
      </c>
      <c r="F10" s="43" t="s">
        <v>798</v>
      </c>
      <c r="G10" s="44">
        <v>2023.0</v>
      </c>
      <c r="H10" s="44">
        <v>0.132</v>
      </c>
      <c r="I10" s="44">
        <v>0.147</v>
      </c>
      <c r="J10" s="44">
        <v>2.0</v>
      </c>
      <c r="K10" s="44">
        <v>2.0</v>
      </c>
      <c r="L10" s="44">
        <v>1.0</v>
      </c>
      <c r="M10" s="45">
        <v>1.0075</v>
      </c>
      <c r="N10" s="46" t="s">
        <v>764</v>
      </c>
    </row>
    <row r="11" ht="15.75" customHeight="1">
      <c r="A11" s="43" t="s">
        <v>820</v>
      </c>
      <c r="B11" s="43" t="s">
        <v>596</v>
      </c>
      <c r="C11" s="43" t="s">
        <v>493</v>
      </c>
      <c r="D11" s="43" t="s">
        <v>823</v>
      </c>
      <c r="E11" s="43" t="s">
        <v>749</v>
      </c>
      <c r="F11" s="43" t="s">
        <v>751</v>
      </c>
      <c r="G11" s="44">
        <v>2024.0</v>
      </c>
      <c r="H11" s="44">
        <v>0.0094</v>
      </c>
      <c r="I11" s="44">
        <v>0.0105</v>
      </c>
      <c r="J11" s="44">
        <v>2.0</v>
      </c>
      <c r="K11" s="44">
        <v>1.0</v>
      </c>
      <c r="L11" s="44">
        <v>1.0</v>
      </c>
      <c r="M11" s="45">
        <v>0.6</v>
      </c>
      <c r="N11" s="46" t="s">
        <v>764</v>
      </c>
    </row>
    <row r="12" ht="15.75" customHeight="1">
      <c r="A12" s="43" t="s">
        <v>825</v>
      </c>
      <c r="B12" s="43" t="s">
        <v>577</v>
      </c>
      <c r="C12" s="43" t="s">
        <v>363</v>
      </c>
      <c r="D12" s="43" t="s">
        <v>634</v>
      </c>
      <c r="E12" s="43" t="s">
        <v>826</v>
      </c>
      <c r="F12" s="43" t="s">
        <v>751</v>
      </c>
      <c r="G12" s="44">
        <v>2024.0</v>
      </c>
      <c r="H12" s="44">
        <v>1.4245</v>
      </c>
      <c r="I12" s="44">
        <v>1.7938</v>
      </c>
      <c r="J12" s="44">
        <v>14.0</v>
      </c>
      <c r="K12" s="44">
        <v>9.0</v>
      </c>
      <c r="L12" s="44">
        <v>2.0</v>
      </c>
      <c r="M12" s="45">
        <v>106.04</v>
      </c>
      <c r="N12" s="46" t="s">
        <v>764</v>
      </c>
    </row>
    <row r="13" ht="15.75" customHeight="1">
      <c r="A13" s="43" t="s">
        <v>828</v>
      </c>
      <c r="B13" s="43" t="s">
        <v>603</v>
      </c>
      <c r="C13" s="43" t="s">
        <v>449</v>
      </c>
      <c r="D13" s="43" t="s">
        <v>830</v>
      </c>
      <c r="E13" s="43" t="s">
        <v>797</v>
      </c>
      <c r="F13" s="43" t="s">
        <v>798</v>
      </c>
      <c r="G13" s="44">
        <v>2023.0</v>
      </c>
      <c r="H13" s="44">
        <v>0.2004</v>
      </c>
      <c r="I13" s="44">
        <v>0.2537</v>
      </c>
      <c r="J13" s="44">
        <v>2.0</v>
      </c>
      <c r="K13" s="44">
        <v>1.0</v>
      </c>
      <c r="L13" s="44">
        <v>1.0</v>
      </c>
      <c r="M13" s="45">
        <v>1.3043</v>
      </c>
      <c r="N13" s="46" t="s">
        <v>764</v>
      </c>
    </row>
    <row r="14" ht="15.75" customHeight="1">
      <c r="A14" s="43" t="s">
        <v>832</v>
      </c>
      <c r="B14" s="43" t="s">
        <v>577</v>
      </c>
      <c r="C14" s="43" t="s">
        <v>294</v>
      </c>
      <c r="D14" s="43" t="s">
        <v>684</v>
      </c>
      <c r="E14" s="43" t="s">
        <v>817</v>
      </c>
      <c r="F14" s="43" t="s">
        <v>798</v>
      </c>
      <c r="G14" s="44">
        <v>2023.0</v>
      </c>
      <c r="H14" s="44">
        <v>0.0898</v>
      </c>
      <c r="I14" s="44">
        <v>0.109</v>
      </c>
      <c r="J14" s="44">
        <v>4.0</v>
      </c>
      <c r="K14" s="44">
        <v>3.0</v>
      </c>
      <c r="L14" s="44">
        <v>1.0</v>
      </c>
      <c r="M14" s="45">
        <v>0.4221</v>
      </c>
      <c r="N14" s="46" t="s">
        <v>764</v>
      </c>
    </row>
    <row r="15" ht="15.75" customHeight="1">
      <c r="A15" s="43" t="s">
        <v>835</v>
      </c>
      <c r="B15" s="43" t="s">
        <v>581</v>
      </c>
      <c r="C15" s="43" t="s">
        <v>436</v>
      </c>
      <c r="D15" s="43" t="s">
        <v>793</v>
      </c>
      <c r="E15" s="43" t="s">
        <v>836</v>
      </c>
      <c r="F15" s="43" t="s">
        <v>798</v>
      </c>
      <c r="G15" s="44">
        <v>2023.0</v>
      </c>
      <c r="H15" s="44">
        <v>0.1955</v>
      </c>
      <c r="I15" s="44">
        <v>0.2367</v>
      </c>
      <c r="J15" s="44">
        <v>5.0</v>
      </c>
      <c r="K15" s="44">
        <v>2.0</v>
      </c>
      <c r="L15" s="44">
        <v>1.0</v>
      </c>
      <c r="M15" s="45">
        <v>1.4033</v>
      </c>
      <c r="N15" s="46" t="s">
        <v>764</v>
      </c>
    </row>
    <row r="16" ht="15.75" customHeight="1">
      <c r="A16" s="43" t="s">
        <v>840</v>
      </c>
      <c r="B16" s="43" t="s">
        <v>605</v>
      </c>
      <c r="C16" s="43" t="s">
        <v>221</v>
      </c>
      <c r="D16" s="43" t="s">
        <v>841</v>
      </c>
      <c r="E16" s="43" t="s">
        <v>842</v>
      </c>
      <c r="F16" s="43" t="s">
        <v>751</v>
      </c>
      <c r="G16" s="44">
        <v>2024.0</v>
      </c>
      <c r="H16" s="44">
        <v>0.3843</v>
      </c>
      <c r="I16" s="44">
        <v>0.4924</v>
      </c>
      <c r="J16" s="44">
        <v>4.0</v>
      </c>
      <c r="K16" s="44">
        <v>3.0</v>
      </c>
      <c r="L16" s="44">
        <v>1.0</v>
      </c>
      <c r="M16" s="45">
        <v>25.89</v>
      </c>
      <c r="N16" s="46" t="s">
        <v>764</v>
      </c>
    </row>
    <row r="17" ht="15.75" customHeight="1">
      <c r="A17" s="43" t="s">
        <v>846</v>
      </c>
      <c r="B17" s="43" t="s">
        <v>605</v>
      </c>
      <c r="C17" s="43" t="s">
        <v>408</v>
      </c>
      <c r="D17" s="43" t="s">
        <v>847</v>
      </c>
      <c r="E17" s="43" t="s">
        <v>836</v>
      </c>
      <c r="F17" s="43" t="s">
        <v>798</v>
      </c>
      <c r="G17" s="44">
        <v>2023.0</v>
      </c>
      <c r="H17" s="44">
        <v>0.3959</v>
      </c>
      <c r="I17" s="44">
        <v>0.4476</v>
      </c>
      <c r="J17" s="44">
        <v>4.0</v>
      </c>
      <c r="K17" s="44">
        <v>3.0</v>
      </c>
      <c r="L17" s="44">
        <v>1.0</v>
      </c>
      <c r="M17" s="45">
        <v>4.338</v>
      </c>
      <c r="N17" s="46" t="s">
        <v>764</v>
      </c>
    </row>
    <row r="18" ht="15.75" customHeight="1">
      <c r="A18" s="43" t="s">
        <v>850</v>
      </c>
      <c r="B18" s="43" t="s">
        <v>581</v>
      </c>
      <c r="C18" s="43" t="s">
        <v>336</v>
      </c>
      <c r="D18" s="43" t="s">
        <v>755</v>
      </c>
      <c r="E18" s="43" t="s">
        <v>826</v>
      </c>
      <c r="F18" s="43" t="s">
        <v>751</v>
      </c>
      <c r="G18" s="44">
        <v>2024.0</v>
      </c>
      <c r="H18" s="44">
        <v>2.0105</v>
      </c>
      <c r="I18" s="44">
        <v>2.6983</v>
      </c>
      <c r="J18" s="44">
        <v>17.0</v>
      </c>
      <c r="K18" s="44">
        <v>13.0</v>
      </c>
      <c r="L18" s="44">
        <v>2.0</v>
      </c>
      <c r="M18" s="45">
        <v>167.63</v>
      </c>
      <c r="N18" s="46" t="s">
        <v>764</v>
      </c>
    </row>
    <row r="19" ht="15.75" customHeight="1">
      <c r="A19" s="43" t="s">
        <v>855</v>
      </c>
      <c r="B19" s="43" t="s">
        <v>581</v>
      </c>
      <c r="C19" s="43" t="s">
        <v>489</v>
      </c>
      <c r="D19" s="43" t="s">
        <v>721</v>
      </c>
      <c r="E19" s="43" t="s">
        <v>797</v>
      </c>
      <c r="F19" s="43" t="s">
        <v>798</v>
      </c>
      <c r="G19" s="44">
        <v>2023.0</v>
      </c>
      <c r="H19" s="44">
        <v>0.0585</v>
      </c>
      <c r="I19" s="44">
        <v>0.0741</v>
      </c>
      <c r="J19" s="44">
        <v>2.0</v>
      </c>
      <c r="K19" s="44">
        <v>1.0</v>
      </c>
      <c r="L19" s="44">
        <v>1.0</v>
      </c>
      <c r="M19" s="45">
        <v>0.2598</v>
      </c>
      <c r="N19" s="46" t="s">
        <v>764</v>
      </c>
    </row>
    <row r="20" ht="15.75" customHeight="1">
      <c r="A20" s="43" t="s">
        <v>860</v>
      </c>
      <c r="B20" s="43" t="s">
        <v>577</v>
      </c>
      <c r="C20" s="43" t="s">
        <v>414</v>
      </c>
      <c r="D20" s="43" t="s">
        <v>647</v>
      </c>
      <c r="E20" s="43" t="s">
        <v>817</v>
      </c>
      <c r="F20" s="43" t="s">
        <v>798</v>
      </c>
      <c r="G20" s="44">
        <v>2023.0</v>
      </c>
      <c r="H20" s="44">
        <v>0.0672</v>
      </c>
      <c r="I20" s="44">
        <v>0.084</v>
      </c>
      <c r="J20" s="44">
        <v>2.0</v>
      </c>
      <c r="K20" s="44">
        <v>1.0</v>
      </c>
      <c r="L20" s="44">
        <v>1.0</v>
      </c>
      <c r="M20" s="45">
        <v>0.3874</v>
      </c>
      <c r="N20" s="46" t="s">
        <v>764</v>
      </c>
    </row>
    <row r="21" ht="15.75" customHeight="1">
      <c r="A21" s="43" t="s">
        <v>869</v>
      </c>
      <c r="B21" s="43" t="s">
        <v>605</v>
      </c>
      <c r="C21" s="43" t="s">
        <v>523</v>
      </c>
      <c r="D21" s="43" t="s">
        <v>872</v>
      </c>
      <c r="E21" s="43" t="s">
        <v>749</v>
      </c>
      <c r="F21" s="43" t="s">
        <v>751</v>
      </c>
      <c r="G21" s="44">
        <v>2024.0</v>
      </c>
      <c r="H21" s="44">
        <v>0.0088</v>
      </c>
      <c r="I21" s="44">
        <v>0.0112</v>
      </c>
      <c r="J21" s="44">
        <v>2.0</v>
      </c>
      <c r="K21" s="44">
        <v>1.0</v>
      </c>
      <c r="L21" s="44">
        <v>1.0</v>
      </c>
      <c r="M21" s="45">
        <v>1.04</v>
      </c>
      <c r="N21" s="46" t="s">
        <v>764</v>
      </c>
    </row>
    <row r="22" ht="15.75" customHeight="1">
      <c r="A22" s="43" t="s">
        <v>877</v>
      </c>
      <c r="B22" s="43" t="s">
        <v>605</v>
      </c>
      <c r="C22" s="43" t="s">
        <v>408</v>
      </c>
      <c r="D22" s="43" t="s">
        <v>847</v>
      </c>
      <c r="E22" s="43" t="s">
        <v>784</v>
      </c>
      <c r="F22" s="43" t="s">
        <v>751</v>
      </c>
      <c r="G22" s="44">
        <v>2024.0</v>
      </c>
      <c r="H22" s="44">
        <v>0.6937</v>
      </c>
      <c r="I22" s="44">
        <v>0.8969</v>
      </c>
      <c r="J22" s="44">
        <v>6.0</v>
      </c>
      <c r="K22" s="44">
        <v>4.0</v>
      </c>
      <c r="L22" s="44">
        <v>1.0</v>
      </c>
      <c r="M22" s="45">
        <v>45.43</v>
      </c>
      <c r="N22" s="46" t="s">
        <v>764</v>
      </c>
    </row>
    <row r="23" ht="15.75" customHeight="1">
      <c r="A23" s="43" t="s">
        <v>879</v>
      </c>
      <c r="B23" s="43" t="s">
        <v>596</v>
      </c>
      <c r="C23" s="43" t="s">
        <v>211</v>
      </c>
      <c r="D23" s="43" t="s">
        <v>868</v>
      </c>
      <c r="E23" s="43" t="s">
        <v>749</v>
      </c>
      <c r="F23" s="43" t="s">
        <v>751</v>
      </c>
      <c r="G23" s="44">
        <v>2024.0</v>
      </c>
      <c r="H23" s="44">
        <v>0.0087</v>
      </c>
      <c r="I23" s="44">
        <v>0.0105</v>
      </c>
      <c r="J23" s="44">
        <v>3.0</v>
      </c>
      <c r="K23" s="44">
        <v>2.0</v>
      </c>
      <c r="L23" s="44">
        <v>1.0</v>
      </c>
      <c r="M23" s="45">
        <v>0.84</v>
      </c>
      <c r="N23" s="46" t="s">
        <v>764</v>
      </c>
    </row>
    <row r="24" ht="15.75" customHeight="1">
      <c r="A24" s="43" t="s">
        <v>881</v>
      </c>
      <c r="B24" s="43" t="s">
        <v>596</v>
      </c>
      <c r="C24" s="43" t="s">
        <v>211</v>
      </c>
      <c r="D24" s="43" t="s">
        <v>868</v>
      </c>
      <c r="E24" s="43" t="s">
        <v>797</v>
      </c>
      <c r="F24" s="43" t="s">
        <v>798</v>
      </c>
      <c r="G24" s="44">
        <v>2023.0</v>
      </c>
      <c r="H24" s="44">
        <v>0.0597</v>
      </c>
      <c r="I24" s="44">
        <v>0.0721</v>
      </c>
      <c r="J24" s="44">
        <v>4.0</v>
      </c>
      <c r="K24" s="44">
        <v>3.0</v>
      </c>
      <c r="L24" s="44">
        <v>1.0</v>
      </c>
      <c r="M24" s="45">
        <v>0.2829</v>
      </c>
      <c r="N24" s="46" t="s">
        <v>764</v>
      </c>
    </row>
    <row r="25" ht="15.75" customHeight="1">
      <c r="A25" s="43" t="s">
        <v>884</v>
      </c>
      <c r="B25" s="43" t="s">
        <v>603</v>
      </c>
      <c r="C25" s="43" t="s">
        <v>509</v>
      </c>
      <c r="D25" s="43" t="s">
        <v>885</v>
      </c>
      <c r="E25" s="43" t="s">
        <v>749</v>
      </c>
      <c r="F25" s="43" t="s">
        <v>751</v>
      </c>
      <c r="G25" s="44">
        <v>2024.0</v>
      </c>
      <c r="H25" s="44">
        <v>0.0102</v>
      </c>
      <c r="I25" s="44">
        <v>0.0114</v>
      </c>
      <c r="J25" s="44">
        <v>2.0</v>
      </c>
      <c r="K25" s="44">
        <v>2.0</v>
      </c>
      <c r="L25" s="44">
        <v>1.0</v>
      </c>
      <c r="M25" s="45">
        <v>0.6</v>
      </c>
      <c r="N25" s="46" t="s">
        <v>764</v>
      </c>
    </row>
    <row r="26" ht="15.75" customHeight="1">
      <c r="A26" s="43" t="s">
        <v>888</v>
      </c>
      <c r="B26" s="43" t="s">
        <v>581</v>
      </c>
      <c r="C26" s="43" t="s">
        <v>517</v>
      </c>
      <c r="D26" s="43" t="s">
        <v>763</v>
      </c>
      <c r="E26" s="43" t="s">
        <v>817</v>
      </c>
      <c r="F26" s="43" t="s">
        <v>798</v>
      </c>
      <c r="G26" s="44">
        <v>2023.0</v>
      </c>
      <c r="H26" s="44">
        <v>0.1308</v>
      </c>
      <c r="I26" s="44">
        <v>0.1519</v>
      </c>
      <c r="J26" s="44">
        <v>2.0</v>
      </c>
      <c r="K26" s="44">
        <v>1.0</v>
      </c>
      <c r="L26" s="44">
        <v>1.0</v>
      </c>
      <c r="M26" s="45">
        <v>0.8377</v>
      </c>
      <c r="N26" s="46" t="s">
        <v>764</v>
      </c>
    </row>
    <row r="27" ht="15.75" customHeight="1">
      <c r="A27" s="43" t="s">
        <v>892</v>
      </c>
      <c r="B27" s="43" t="s">
        <v>577</v>
      </c>
      <c r="C27" s="43" t="s">
        <v>422</v>
      </c>
      <c r="D27" s="43" t="s">
        <v>688</v>
      </c>
      <c r="E27" s="43" t="s">
        <v>826</v>
      </c>
      <c r="F27" s="43" t="s">
        <v>751</v>
      </c>
      <c r="G27" s="44">
        <v>2024.0</v>
      </c>
      <c r="H27" s="44">
        <v>0.8179</v>
      </c>
      <c r="I27" s="44">
        <v>1.0183</v>
      </c>
      <c r="J27" s="44">
        <v>10.0</v>
      </c>
      <c r="K27" s="44">
        <v>9.0</v>
      </c>
      <c r="L27" s="44">
        <v>1.0</v>
      </c>
      <c r="M27" s="45">
        <v>71.41</v>
      </c>
      <c r="N27" s="46" t="s">
        <v>764</v>
      </c>
    </row>
    <row r="28" ht="15.75" customHeight="1">
      <c r="A28" s="43" t="s">
        <v>899</v>
      </c>
      <c r="B28" s="43" t="s">
        <v>603</v>
      </c>
      <c r="C28" s="43" t="s">
        <v>509</v>
      </c>
      <c r="D28" s="43" t="s">
        <v>885</v>
      </c>
      <c r="E28" s="43" t="s">
        <v>797</v>
      </c>
      <c r="F28" s="43" t="s">
        <v>798</v>
      </c>
      <c r="G28" s="44">
        <v>2023.0</v>
      </c>
      <c r="H28" s="44">
        <v>0.0424</v>
      </c>
      <c r="I28" s="44">
        <v>0.0559</v>
      </c>
      <c r="J28" s="44">
        <v>2.0</v>
      </c>
      <c r="K28" s="44">
        <v>1.0</v>
      </c>
      <c r="L28" s="44">
        <v>1.0</v>
      </c>
      <c r="M28" s="45">
        <v>0.2385</v>
      </c>
      <c r="N28" s="46" t="s">
        <v>764</v>
      </c>
    </row>
    <row r="29" ht="15.75" customHeight="1">
      <c r="A29" s="43" t="s">
        <v>903</v>
      </c>
      <c r="B29" s="43" t="s">
        <v>605</v>
      </c>
      <c r="C29" s="43" t="s">
        <v>354</v>
      </c>
      <c r="D29" s="43" t="s">
        <v>905</v>
      </c>
      <c r="E29" s="43" t="s">
        <v>817</v>
      </c>
      <c r="F29" s="43" t="s">
        <v>798</v>
      </c>
      <c r="G29" s="44">
        <v>2023.0</v>
      </c>
      <c r="H29" s="44">
        <v>0.2051</v>
      </c>
      <c r="I29" s="44">
        <v>0.2413</v>
      </c>
      <c r="J29" s="44">
        <v>3.0</v>
      </c>
      <c r="K29" s="44">
        <v>1.0</v>
      </c>
      <c r="L29" s="44">
        <v>1.0</v>
      </c>
      <c r="M29" s="45">
        <v>0.6466</v>
      </c>
      <c r="N29" s="46" t="s">
        <v>764</v>
      </c>
    </row>
    <row r="30" ht="15.75" customHeight="1">
      <c r="A30" s="43" t="s">
        <v>909</v>
      </c>
      <c r="B30" s="43" t="s">
        <v>581</v>
      </c>
      <c r="C30" s="43" t="s">
        <v>468</v>
      </c>
      <c r="D30" s="43" t="s">
        <v>703</v>
      </c>
      <c r="E30" s="43" t="s">
        <v>817</v>
      </c>
      <c r="F30" s="43" t="s">
        <v>798</v>
      </c>
      <c r="G30" s="44">
        <v>2023.0</v>
      </c>
      <c r="H30" s="44">
        <v>0.2083</v>
      </c>
      <c r="I30" s="44">
        <v>0.2413</v>
      </c>
      <c r="J30" s="44">
        <v>2.0</v>
      </c>
      <c r="K30" s="44">
        <v>1.0</v>
      </c>
      <c r="L30" s="44">
        <v>1.0</v>
      </c>
      <c r="M30" s="45">
        <v>0.9874</v>
      </c>
      <c r="N30" s="46" t="s">
        <v>764</v>
      </c>
    </row>
    <row r="31" ht="15.75" customHeight="1">
      <c r="A31" s="43" t="s">
        <v>911</v>
      </c>
      <c r="B31" s="43" t="s">
        <v>605</v>
      </c>
      <c r="C31" s="43" t="s">
        <v>497</v>
      </c>
      <c r="D31" s="43" t="s">
        <v>912</v>
      </c>
      <c r="E31" s="43" t="s">
        <v>842</v>
      </c>
      <c r="F31" s="43" t="s">
        <v>751</v>
      </c>
      <c r="G31" s="44">
        <v>2024.0</v>
      </c>
      <c r="H31" s="44">
        <v>0.4742</v>
      </c>
      <c r="I31" s="44">
        <v>0.5489</v>
      </c>
      <c r="J31" s="44">
        <v>7.0</v>
      </c>
      <c r="K31" s="44">
        <v>3.0</v>
      </c>
      <c r="L31" s="44">
        <v>1.0</v>
      </c>
      <c r="M31" s="45">
        <v>40.14</v>
      </c>
      <c r="N31" s="46" t="s">
        <v>764</v>
      </c>
    </row>
    <row r="32" ht="15.75" customHeight="1">
      <c r="A32" s="43" t="s">
        <v>914</v>
      </c>
      <c r="B32" s="43" t="s">
        <v>577</v>
      </c>
      <c r="C32" s="43" t="s">
        <v>286</v>
      </c>
      <c r="D32" s="43" t="s">
        <v>644</v>
      </c>
      <c r="E32" s="43" t="s">
        <v>826</v>
      </c>
      <c r="F32" s="43" t="s">
        <v>751</v>
      </c>
      <c r="G32" s="44">
        <v>2024.0</v>
      </c>
      <c r="H32" s="44">
        <v>0.2459</v>
      </c>
      <c r="I32" s="44">
        <v>0.3249</v>
      </c>
      <c r="J32" s="44">
        <v>2.0</v>
      </c>
      <c r="K32" s="44">
        <v>2.0</v>
      </c>
      <c r="L32" s="44">
        <v>1.0</v>
      </c>
      <c r="M32" s="45">
        <v>17.82</v>
      </c>
      <c r="N32" s="46" t="s">
        <v>764</v>
      </c>
    </row>
    <row r="33" ht="15.75" customHeight="1">
      <c r="A33" s="43" t="s">
        <v>916</v>
      </c>
      <c r="B33" s="43" t="s">
        <v>596</v>
      </c>
      <c r="C33" s="43" t="s">
        <v>507</v>
      </c>
      <c r="D33" s="43" t="s">
        <v>864</v>
      </c>
      <c r="E33" s="43" t="s">
        <v>797</v>
      </c>
      <c r="F33" s="43" t="s">
        <v>798</v>
      </c>
      <c r="G33" s="44">
        <v>2023.0</v>
      </c>
      <c r="H33" s="44">
        <v>0.0345</v>
      </c>
      <c r="I33" s="44">
        <v>0.0425</v>
      </c>
      <c r="J33" s="44">
        <v>2.0</v>
      </c>
      <c r="K33" s="44">
        <v>2.0</v>
      </c>
      <c r="L33" s="44">
        <v>1.0</v>
      </c>
      <c r="M33" s="45">
        <v>0.1818</v>
      </c>
      <c r="N33" s="46" t="s">
        <v>764</v>
      </c>
    </row>
    <row r="34" ht="15.75" customHeight="1">
      <c r="A34" s="43" t="s">
        <v>921</v>
      </c>
      <c r="B34" s="43" t="s">
        <v>577</v>
      </c>
      <c r="C34" s="43" t="s">
        <v>169</v>
      </c>
      <c r="D34" s="43" t="s">
        <v>655</v>
      </c>
      <c r="E34" s="43" t="s">
        <v>836</v>
      </c>
      <c r="F34" s="43" t="s">
        <v>798</v>
      </c>
      <c r="G34" s="44">
        <v>2023.0</v>
      </c>
      <c r="H34" s="44">
        <v>0.2661</v>
      </c>
      <c r="I34" s="44">
        <v>0.3483</v>
      </c>
      <c r="J34" s="44">
        <v>2.0</v>
      </c>
      <c r="K34" s="44">
        <v>1.0</v>
      </c>
      <c r="L34" s="44">
        <v>1.0</v>
      </c>
      <c r="M34" s="45">
        <v>2.8931</v>
      </c>
      <c r="N34" s="46" t="s">
        <v>764</v>
      </c>
    </row>
    <row r="35" ht="15.75" customHeight="1">
      <c r="A35" s="43" t="s">
        <v>924</v>
      </c>
      <c r="B35" s="43" t="s">
        <v>581</v>
      </c>
      <c r="C35" s="43" t="s">
        <v>491</v>
      </c>
      <c r="D35" s="43" t="s">
        <v>777</v>
      </c>
      <c r="E35" s="43" t="s">
        <v>836</v>
      </c>
      <c r="F35" s="43" t="s">
        <v>798</v>
      </c>
      <c r="G35" s="44">
        <v>2023.0</v>
      </c>
      <c r="H35" s="44">
        <v>0.1357</v>
      </c>
      <c r="I35" s="44">
        <v>0.1708</v>
      </c>
      <c r="J35" s="44">
        <v>3.0</v>
      </c>
      <c r="K35" s="44">
        <v>3.0</v>
      </c>
      <c r="L35" s="44">
        <v>1.0</v>
      </c>
      <c r="M35" s="45">
        <v>1.3135</v>
      </c>
      <c r="N35" s="46" t="s">
        <v>764</v>
      </c>
    </row>
    <row r="36" ht="15.75" customHeight="1">
      <c r="A36" s="43" t="s">
        <v>927</v>
      </c>
      <c r="B36" s="43" t="s">
        <v>581</v>
      </c>
      <c r="C36" s="43" t="s">
        <v>341</v>
      </c>
      <c r="D36" s="43" t="s">
        <v>783</v>
      </c>
      <c r="E36" s="43" t="s">
        <v>817</v>
      </c>
      <c r="F36" s="43" t="s">
        <v>798</v>
      </c>
      <c r="G36" s="44">
        <v>2023.0</v>
      </c>
      <c r="H36" s="44">
        <v>0.0621</v>
      </c>
      <c r="I36" s="44">
        <v>0.0695</v>
      </c>
      <c r="J36" s="44">
        <v>3.0</v>
      </c>
      <c r="K36" s="44">
        <v>2.0</v>
      </c>
      <c r="L36" s="44">
        <v>1.0</v>
      </c>
      <c r="M36" s="45">
        <v>0.2545</v>
      </c>
      <c r="N36" s="46" t="s">
        <v>764</v>
      </c>
    </row>
    <row r="37" ht="15.75" customHeight="1">
      <c r="A37" s="43" t="s">
        <v>929</v>
      </c>
      <c r="B37" s="43" t="s">
        <v>603</v>
      </c>
      <c r="C37" s="43" t="s">
        <v>449</v>
      </c>
      <c r="D37" s="43" t="s">
        <v>830</v>
      </c>
      <c r="E37" s="43" t="s">
        <v>826</v>
      </c>
      <c r="F37" s="43" t="s">
        <v>751</v>
      </c>
      <c r="G37" s="44">
        <v>2024.0</v>
      </c>
      <c r="H37" s="44">
        <v>0.3567</v>
      </c>
      <c r="I37" s="44">
        <v>0.4492</v>
      </c>
      <c r="J37" s="44">
        <v>3.0</v>
      </c>
      <c r="K37" s="44">
        <v>2.0</v>
      </c>
      <c r="L37" s="44">
        <v>1.0</v>
      </c>
      <c r="M37" s="45">
        <v>33.71</v>
      </c>
      <c r="N37" s="46" t="s">
        <v>764</v>
      </c>
    </row>
    <row r="38" ht="15.75" customHeight="1">
      <c r="A38" s="43" t="s">
        <v>931</v>
      </c>
      <c r="B38" s="43" t="s">
        <v>596</v>
      </c>
      <c r="C38" s="43" t="s">
        <v>346</v>
      </c>
      <c r="D38" s="43" t="s">
        <v>873</v>
      </c>
      <c r="E38" s="43" t="s">
        <v>797</v>
      </c>
      <c r="F38" s="43" t="s">
        <v>798</v>
      </c>
      <c r="G38" s="44">
        <v>2023.0</v>
      </c>
      <c r="H38" s="44">
        <v>0.0857</v>
      </c>
      <c r="I38" s="44">
        <v>0.1119</v>
      </c>
      <c r="J38" s="44">
        <v>2.0</v>
      </c>
      <c r="K38" s="44">
        <v>1.0</v>
      </c>
      <c r="L38" s="44">
        <v>1.0</v>
      </c>
      <c r="M38" s="45">
        <v>0.4681</v>
      </c>
      <c r="N38" s="46" t="s">
        <v>764</v>
      </c>
    </row>
    <row r="39" ht="15.75" customHeight="1">
      <c r="A39" s="43" t="s">
        <v>934</v>
      </c>
      <c r="B39" s="43" t="s">
        <v>577</v>
      </c>
      <c r="C39" s="43" t="s">
        <v>51</v>
      </c>
      <c r="D39" s="43" t="s">
        <v>641</v>
      </c>
      <c r="E39" s="43" t="s">
        <v>749</v>
      </c>
      <c r="F39" s="43" t="s">
        <v>751</v>
      </c>
      <c r="G39" s="44">
        <v>2024.0</v>
      </c>
      <c r="H39" s="44">
        <v>0.0061</v>
      </c>
      <c r="I39" s="44">
        <v>0.0068</v>
      </c>
      <c r="J39" s="44">
        <v>2.0</v>
      </c>
      <c r="K39" s="44">
        <v>2.0</v>
      </c>
      <c r="L39" s="44">
        <v>1.0</v>
      </c>
      <c r="M39" s="45">
        <v>0.6</v>
      </c>
      <c r="N39" s="46" t="s">
        <v>764</v>
      </c>
    </row>
    <row r="40" ht="15.75" customHeight="1">
      <c r="A40" s="43" t="s">
        <v>936</v>
      </c>
      <c r="B40" s="43" t="s">
        <v>605</v>
      </c>
      <c r="C40" s="43" t="s">
        <v>160</v>
      </c>
      <c r="D40" s="43" t="s">
        <v>937</v>
      </c>
      <c r="E40" s="43" t="s">
        <v>836</v>
      </c>
      <c r="F40" s="43" t="s">
        <v>798</v>
      </c>
      <c r="G40" s="44">
        <v>2023.0</v>
      </c>
      <c r="H40" s="44">
        <v>0.1264</v>
      </c>
      <c r="I40" s="44">
        <v>0.1655</v>
      </c>
      <c r="J40" s="44">
        <v>2.0</v>
      </c>
      <c r="K40" s="44">
        <v>1.0</v>
      </c>
      <c r="L40" s="44">
        <v>1.0</v>
      </c>
      <c r="M40" s="45">
        <v>1.0806</v>
      </c>
      <c r="N40" s="46" t="s">
        <v>764</v>
      </c>
    </row>
    <row r="41" ht="15.75" customHeight="1">
      <c r="A41" s="43" t="s">
        <v>939</v>
      </c>
      <c r="B41" s="43" t="s">
        <v>577</v>
      </c>
      <c r="C41" s="43" t="s">
        <v>463</v>
      </c>
      <c r="D41" s="43" t="s">
        <v>662</v>
      </c>
      <c r="E41" s="43" t="s">
        <v>826</v>
      </c>
      <c r="F41" s="43" t="s">
        <v>751</v>
      </c>
      <c r="G41" s="44">
        <v>2024.0</v>
      </c>
      <c r="H41" s="44">
        <v>0.6859</v>
      </c>
      <c r="I41" s="44">
        <v>0.7804</v>
      </c>
      <c r="J41" s="44">
        <v>4.0</v>
      </c>
      <c r="K41" s="44">
        <v>2.0</v>
      </c>
      <c r="L41" s="44">
        <v>1.0</v>
      </c>
      <c r="M41" s="45">
        <v>56.74</v>
      </c>
      <c r="N41" s="46" t="s">
        <v>764</v>
      </c>
    </row>
    <row r="42" ht="15.75" customHeight="1">
      <c r="A42" s="43" t="s">
        <v>942</v>
      </c>
      <c r="B42" s="43" t="s">
        <v>581</v>
      </c>
      <c r="C42" s="43" t="s">
        <v>491</v>
      </c>
      <c r="D42" s="43" t="s">
        <v>777</v>
      </c>
      <c r="E42" s="43" t="s">
        <v>826</v>
      </c>
      <c r="F42" s="43" t="s">
        <v>751</v>
      </c>
      <c r="G42" s="44">
        <v>2024.0</v>
      </c>
      <c r="H42" s="44">
        <v>0.9144</v>
      </c>
      <c r="I42" s="44">
        <v>1.1931</v>
      </c>
      <c r="J42" s="44">
        <v>6.0</v>
      </c>
      <c r="K42" s="44">
        <v>5.0</v>
      </c>
      <c r="L42" s="44">
        <v>1.0</v>
      </c>
      <c r="M42" s="45">
        <v>70.89</v>
      </c>
      <c r="N42" s="46" t="s">
        <v>764</v>
      </c>
    </row>
    <row r="43" ht="15.75" customHeight="1">
      <c r="A43" s="43" t="s">
        <v>945</v>
      </c>
      <c r="B43" s="43" t="s">
        <v>577</v>
      </c>
      <c r="C43" s="43" t="s">
        <v>372</v>
      </c>
      <c r="D43" s="43" t="s">
        <v>673</v>
      </c>
      <c r="E43" s="43" t="s">
        <v>826</v>
      </c>
      <c r="F43" s="43" t="s">
        <v>751</v>
      </c>
      <c r="G43" s="44">
        <v>2024.0</v>
      </c>
      <c r="H43" s="44">
        <v>1.1914</v>
      </c>
      <c r="I43" s="44">
        <v>1.4466</v>
      </c>
      <c r="J43" s="44">
        <v>14.0</v>
      </c>
      <c r="K43" s="44">
        <v>7.0</v>
      </c>
      <c r="L43" s="44">
        <v>2.0</v>
      </c>
      <c r="M43" s="45">
        <v>106.6</v>
      </c>
      <c r="N43" s="46" t="s">
        <v>764</v>
      </c>
    </row>
    <row r="44" ht="15.75" customHeight="1">
      <c r="A44" s="43" t="s">
        <v>951</v>
      </c>
      <c r="B44" s="43" t="s">
        <v>577</v>
      </c>
      <c r="C44" s="43" t="s">
        <v>78</v>
      </c>
      <c r="D44" s="43" t="s">
        <v>680</v>
      </c>
      <c r="E44" s="43" t="s">
        <v>842</v>
      </c>
      <c r="F44" s="43" t="s">
        <v>751</v>
      </c>
      <c r="G44" s="44">
        <v>2024.0</v>
      </c>
      <c r="H44" s="44">
        <v>0.8724</v>
      </c>
      <c r="I44" s="44">
        <v>0.9881</v>
      </c>
      <c r="J44" s="44">
        <v>8.0</v>
      </c>
      <c r="K44" s="44">
        <v>7.0</v>
      </c>
      <c r="L44" s="44">
        <v>1.0</v>
      </c>
      <c r="M44" s="45">
        <v>95.65</v>
      </c>
      <c r="N44" s="46" t="s">
        <v>764</v>
      </c>
    </row>
    <row r="45" ht="15.75" customHeight="1">
      <c r="A45" s="43" t="s">
        <v>955</v>
      </c>
      <c r="B45" s="43" t="s">
        <v>581</v>
      </c>
      <c r="C45" s="43" t="s">
        <v>491</v>
      </c>
      <c r="D45" s="43" t="s">
        <v>777</v>
      </c>
      <c r="E45" s="43" t="s">
        <v>784</v>
      </c>
      <c r="F45" s="43" t="s">
        <v>751</v>
      </c>
      <c r="G45" s="44">
        <v>2024.0</v>
      </c>
      <c r="H45" s="44">
        <v>0.8831</v>
      </c>
      <c r="I45" s="44">
        <v>1.0709</v>
      </c>
      <c r="J45" s="44">
        <v>9.0</v>
      </c>
      <c r="K45" s="44">
        <v>8.0</v>
      </c>
      <c r="L45" s="44">
        <v>1.0</v>
      </c>
      <c r="M45" s="45">
        <v>61.31</v>
      </c>
      <c r="N45" s="46" t="s">
        <v>764</v>
      </c>
    </row>
    <row r="46" ht="15.75" customHeight="1">
      <c r="A46" s="43" t="s">
        <v>959</v>
      </c>
      <c r="B46" s="43" t="s">
        <v>581</v>
      </c>
      <c r="C46" s="43" t="s">
        <v>489</v>
      </c>
      <c r="D46" s="43" t="s">
        <v>721</v>
      </c>
      <c r="E46" s="43" t="s">
        <v>836</v>
      </c>
      <c r="F46" s="43" t="s">
        <v>798</v>
      </c>
      <c r="G46" s="44">
        <v>2023.0</v>
      </c>
      <c r="H46" s="44">
        <v>0.2146</v>
      </c>
      <c r="I46" s="44">
        <v>0.2331</v>
      </c>
      <c r="J46" s="44">
        <v>5.0</v>
      </c>
      <c r="K46" s="44">
        <v>4.0</v>
      </c>
      <c r="L46" s="44">
        <v>1.0</v>
      </c>
      <c r="M46" s="45">
        <v>2.3502</v>
      </c>
      <c r="N46" s="46" t="s">
        <v>764</v>
      </c>
    </row>
    <row r="47" ht="15.75" customHeight="1">
      <c r="A47" s="43" t="s">
        <v>963</v>
      </c>
      <c r="B47" s="43" t="s">
        <v>577</v>
      </c>
      <c r="C47" s="43" t="s">
        <v>229</v>
      </c>
      <c r="D47" s="43" t="s">
        <v>630</v>
      </c>
      <c r="E47" s="43" t="s">
        <v>817</v>
      </c>
      <c r="F47" s="43" t="s">
        <v>798</v>
      </c>
      <c r="G47" s="44">
        <v>2023.0</v>
      </c>
      <c r="H47" s="44">
        <v>0.2235</v>
      </c>
      <c r="I47" s="44">
        <v>0.2856</v>
      </c>
      <c r="J47" s="44">
        <v>2.0</v>
      </c>
      <c r="K47" s="44">
        <v>1.0</v>
      </c>
      <c r="L47" s="44">
        <v>1.0</v>
      </c>
      <c r="M47" s="45">
        <v>0.8705</v>
      </c>
      <c r="N47" s="46" t="s">
        <v>764</v>
      </c>
    </row>
    <row r="48" ht="15.75" customHeight="1">
      <c r="A48" s="43" t="s">
        <v>968</v>
      </c>
      <c r="B48" s="43" t="s">
        <v>581</v>
      </c>
      <c r="C48" s="43" t="s">
        <v>104</v>
      </c>
      <c r="D48" s="43" t="s">
        <v>729</v>
      </c>
      <c r="E48" s="43" t="s">
        <v>749</v>
      </c>
      <c r="F48" s="43" t="s">
        <v>751</v>
      </c>
      <c r="G48" s="44">
        <v>2024.0</v>
      </c>
      <c r="H48" s="44">
        <v>0.0197</v>
      </c>
      <c r="I48" s="44">
        <v>0.0247</v>
      </c>
      <c r="J48" s="44">
        <v>2.0</v>
      </c>
      <c r="K48" s="44">
        <v>1.0</v>
      </c>
      <c r="L48" s="44">
        <v>1.0</v>
      </c>
      <c r="M48" s="45" t="s">
        <v>972</v>
      </c>
      <c r="N48" s="46" t="s">
        <v>764</v>
      </c>
    </row>
    <row r="49" ht="15.75" customHeight="1">
      <c r="A49" s="43" t="s">
        <v>975</v>
      </c>
      <c r="B49" s="43" t="s">
        <v>581</v>
      </c>
      <c r="C49" s="43" t="s">
        <v>505</v>
      </c>
      <c r="D49" s="43" t="s">
        <v>799</v>
      </c>
      <c r="E49" s="43" t="s">
        <v>836</v>
      </c>
      <c r="F49" s="43" t="s">
        <v>798</v>
      </c>
      <c r="G49" s="44">
        <v>2023.0</v>
      </c>
      <c r="H49" s="44">
        <v>0.316</v>
      </c>
      <c r="I49" s="44">
        <v>0.3956</v>
      </c>
      <c r="J49" s="44">
        <v>2.0</v>
      </c>
      <c r="K49" s="44">
        <v>1.0</v>
      </c>
      <c r="L49" s="44">
        <v>1.0</v>
      </c>
      <c r="M49" s="45">
        <v>3.5327</v>
      </c>
      <c r="N49" s="46" t="s">
        <v>764</v>
      </c>
    </row>
    <row r="50" ht="15.75" customHeight="1">
      <c r="A50" s="43" t="s">
        <v>976</v>
      </c>
      <c r="B50" s="43" t="s">
        <v>581</v>
      </c>
      <c r="C50" s="43" t="s">
        <v>299</v>
      </c>
      <c r="D50" s="43" t="s">
        <v>736</v>
      </c>
      <c r="E50" s="43" t="s">
        <v>784</v>
      </c>
      <c r="F50" s="43" t="s">
        <v>751</v>
      </c>
      <c r="G50" s="44">
        <v>2024.0</v>
      </c>
      <c r="H50" s="44">
        <v>1.8299</v>
      </c>
      <c r="I50" s="44">
        <v>2.1452</v>
      </c>
      <c r="J50" s="44">
        <v>21.0</v>
      </c>
      <c r="K50" s="44">
        <v>16.0</v>
      </c>
      <c r="L50" s="44">
        <v>2.0</v>
      </c>
      <c r="M50" s="45">
        <v>126.54</v>
      </c>
      <c r="N50" s="46" t="s">
        <v>764</v>
      </c>
    </row>
    <row r="51" ht="15.75" customHeight="1">
      <c r="A51" s="43" t="s">
        <v>978</v>
      </c>
      <c r="B51" s="43" t="s">
        <v>596</v>
      </c>
      <c r="C51" s="43" t="s">
        <v>493</v>
      </c>
      <c r="D51" s="43" t="s">
        <v>823</v>
      </c>
      <c r="E51" s="43" t="s">
        <v>836</v>
      </c>
      <c r="F51" s="43" t="s">
        <v>798</v>
      </c>
      <c r="G51" s="44">
        <v>2023.0</v>
      </c>
      <c r="H51" s="44">
        <v>0.366</v>
      </c>
      <c r="I51" s="44">
        <v>0.4587</v>
      </c>
      <c r="J51" s="44">
        <v>6.0</v>
      </c>
      <c r="K51" s="44">
        <v>4.0</v>
      </c>
      <c r="L51" s="44">
        <v>1.0</v>
      </c>
      <c r="M51" s="45">
        <v>5.1566</v>
      </c>
      <c r="N51" s="46" t="s">
        <v>764</v>
      </c>
    </row>
    <row r="52" ht="15.75" customHeight="1">
      <c r="A52" s="43" t="s">
        <v>979</v>
      </c>
      <c r="B52" s="43" t="s">
        <v>581</v>
      </c>
      <c r="C52" s="43" t="s">
        <v>336</v>
      </c>
      <c r="D52" s="43" t="s">
        <v>755</v>
      </c>
      <c r="E52" s="43" t="s">
        <v>784</v>
      </c>
      <c r="F52" s="43" t="s">
        <v>751</v>
      </c>
      <c r="G52" s="44">
        <v>2024.0</v>
      </c>
      <c r="H52" s="44">
        <v>1.5677</v>
      </c>
      <c r="I52" s="44">
        <v>1.9875</v>
      </c>
      <c r="J52" s="44">
        <v>14.0</v>
      </c>
      <c r="K52" s="44">
        <v>12.0</v>
      </c>
      <c r="L52" s="44">
        <v>2.0</v>
      </c>
      <c r="M52" s="45">
        <v>110.8</v>
      </c>
      <c r="N52" s="46" t="s">
        <v>764</v>
      </c>
    </row>
    <row r="53" ht="15.75" customHeight="1">
      <c r="A53" s="43" t="s">
        <v>982</v>
      </c>
      <c r="B53" s="43" t="s">
        <v>603</v>
      </c>
      <c r="C53" s="43" t="s">
        <v>449</v>
      </c>
      <c r="D53" s="43" t="s">
        <v>830</v>
      </c>
      <c r="E53" s="43" t="s">
        <v>784</v>
      </c>
      <c r="F53" s="43" t="s">
        <v>751</v>
      </c>
      <c r="G53" s="44">
        <v>2024.0</v>
      </c>
      <c r="H53" s="44">
        <v>0.7343</v>
      </c>
      <c r="I53" s="44">
        <v>0.8637</v>
      </c>
      <c r="J53" s="44">
        <v>7.0</v>
      </c>
      <c r="K53" s="44">
        <v>5.0</v>
      </c>
      <c r="L53" s="44">
        <v>1.0</v>
      </c>
      <c r="M53" s="45">
        <v>57.87</v>
      </c>
      <c r="N53" s="46" t="s">
        <v>764</v>
      </c>
    </row>
    <row r="54" ht="15.75" customHeight="1">
      <c r="A54" s="43" t="s">
        <v>983</v>
      </c>
      <c r="B54" s="43" t="s">
        <v>605</v>
      </c>
      <c r="C54" s="43" t="s">
        <v>221</v>
      </c>
      <c r="D54" s="43" t="s">
        <v>841</v>
      </c>
      <c r="E54" s="43" t="s">
        <v>836</v>
      </c>
      <c r="F54" s="43" t="s">
        <v>798</v>
      </c>
      <c r="G54" s="44">
        <v>2023.0</v>
      </c>
      <c r="H54" s="44">
        <v>0.0901</v>
      </c>
      <c r="I54" s="44">
        <v>0.1048</v>
      </c>
      <c r="J54" s="44">
        <v>2.0</v>
      </c>
      <c r="K54" s="44">
        <v>1.0</v>
      </c>
      <c r="L54" s="44">
        <v>1.0</v>
      </c>
      <c r="M54" s="45">
        <v>0.8836</v>
      </c>
      <c r="N54" s="46" t="s">
        <v>764</v>
      </c>
    </row>
    <row r="55" ht="15.75" customHeight="1">
      <c r="A55" s="43" t="s">
        <v>985</v>
      </c>
      <c r="B55" s="43" t="s">
        <v>577</v>
      </c>
      <c r="C55" s="43" t="s">
        <v>414</v>
      </c>
      <c r="D55" s="43" t="s">
        <v>647</v>
      </c>
      <c r="E55" s="43" t="s">
        <v>784</v>
      </c>
      <c r="F55" s="43" t="s">
        <v>751</v>
      </c>
      <c r="G55" s="44">
        <v>2024.0</v>
      </c>
      <c r="H55" s="44">
        <v>1.3299</v>
      </c>
      <c r="I55" s="44">
        <v>1.67</v>
      </c>
      <c r="J55" s="44">
        <v>14.0</v>
      </c>
      <c r="K55" s="44">
        <v>12.0</v>
      </c>
      <c r="L55" s="44">
        <v>2.0</v>
      </c>
      <c r="M55" s="45">
        <v>113.69</v>
      </c>
      <c r="N55" s="46" t="s">
        <v>764</v>
      </c>
    </row>
    <row r="56" ht="15.75" customHeight="1">
      <c r="A56" s="43" t="s">
        <v>987</v>
      </c>
      <c r="B56" s="43" t="s">
        <v>581</v>
      </c>
      <c r="C56" s="43" t="s">
        <v>489</v>
      </c>
      <c r="D56" s="43" t="s">
        <v>721</v>
      </c>
      <c r="E56" s="43" t="s">
        <v>817</v>
      </c>
      <c r="F56" s="43" t="s">
        <v>798</v>
      </c>
      <c r="G56" s="44">
        <v>2023.0</v>
      </c>
      <c r="H56" s="44">
        <v>0.0908</v>
      </c>
      <c r="I56" s="44">
        <v>0.1175</v>
      </c>
      <c r="J56" s="44">
        <v>2.0</v>
      </c>
      <c r="K56" s="44">
        <v>2.0</v>
      </c>
      <c r="L56" s="44">
        <v>1.0</v>
      </c>
      <c r="M56" s="45">
        <v>0.51</v>
      </c>
      <c r="N56" s="46" t="s">
        <v>764</v>
      </c>
    </row>
    <row r="57" ht="15.75" customHeight="1">
      <c r="A57" s="43" t="s">
        <v>989</v>
      </c>
      <c r="B57" s="43" t="s">
        <v>581</v>
      </c>
      <c r="C57" s="43" t="s">
        <v>123</v>
      </c>
      <c r="D57" s="43" t="s">
        <v>782</v>
      </c>
      <c r="E57" s="43" t="s">
        <v>784</v>
      </c>
      <c r="F57" s="43" t="s">
        <v>751</v>
      </c>
      <c r="G57" s="44">
        <v>2024.0</v>
      </c>
      <c r="H57" s="44">
        <v>0.3669</v>
      </c>
      <c r="I57" s="44">
        <v>0.436</v>
      </c>
      <c r="J57" s="44">
        <v>6.0</v>
      </c>
      <c r="K57" s="44">
        <v>4.0</v>
      </c>
      <c r="L57" s="44">
        <v>1.0</v>
      </c>
      <c r="M57" s="45">
        <v>31.52</v>
      </c>
      <c r="N57" s="46" t="s">
        <v>764</v>
      </c>
    </row>
    <row r="58" ht="15.75" customHeight="1">
      <c r="A58" s="43" t="s">
        <v>991</v>
      </c>
      <c r="B58" s="43" t="s">
        <v>596</v>
      </c>
      <c r="C58" s="43" t="s">
        <v>392</v>
      </c>
      <c r="D58" s="43" t="s">
        <v>838</v>
      </c>
      <c r="E58" s="43" t="s">
        <v>826</v>
      </c>
      <c r="F58" s="43" t="s">
        <v>751</v>
      </c>
      <c r="G58" s="44">
        <v>2024.0</v>
      </c>
      <c r="H58" s="44">
        <v>0.51</v>
      </c>
      <c r="I58" s="44">
        <v>0.5724</v>
      </c>
      <c r="J58" s="44">
        <v>6.0</v>
      </c>
      <c r="K58" s="44">
        <v>5.0</v>
      </c>
      <c r="L58" s="44">
        <v>1.0</v>
      </c>
      <c r="M58" s="45">
        <v>37.72</v>
      </c>
      <c r="N58" s="46" t="s">
        <v>764</v>
      </c>
    </row>
    <row r="59" ht="15.75" customHeight="1">
      <c r="A59" s="43" t="s">
        <v>993</v>
      </c>
      <c r="B59" s="43" t="s">
        <v>581</v>
      </c>
      <c r="C59" s="43" t="s">
        <v>196</v>
      </c>
      <c r="D59" s="43" t="s">
        <v>750</v>
      </c>
      <c r="E59" s="43" t="s">
        <v>826</v>
      </c>
      <c r="F59" s="43" t="s">
        <v>751</v>
      </c>
      <c r="G59" s="44">
        <v>2024.0</v>
      </c>
      <c r="H59" s="44">
        <v>0.6259</v>
      </c>
      <c r="I59" s="44">
        <v>0.6883</v>
      </c>
      <c r="J59" s="44">
        <v>9.0</v>
      </c>
      <c r="K59" s="44">
        <v>8.0</v>
      </c>
      <c r="L59" s="44">
        <v>1.0</v>
      </c>
      <c r="M59" s="45">
        <v>47.06</v>
      </c>
      <c r="N59" s="46" t="s">
        <v>764</v>
      </c>
    </row>
    <row r="60" ht="15.75" customHeight="1">
      <c r="A60" s="43" t="s">
        <v>994</v>
      </c>
      <c r="B60" s="43" t="s">
        <v>581</v>
      </c>
      <c r="C60" s="43" t="s">
        <v>468</v>
      </c>
      <c r="D60" s="43" t="s">
        <v>703</v>
      </c>
      <c r="E60" s="43" t="s">
        <v>797</v>
      </c>
      <c r="F60" s="43" t="s">
        <v>798</v>
      </c>
      <c r="G60" s="44">
        <v>2023.0</v>
      </c>
      <c r="H60" s="44">
        <v>0.0375</v>
      </c>
      <c r="I60" s="44">
        <v>0.0453</v>
      </c>
      <c r="J60" s="44">
        <v>2.0</v>
      </c>
      <c r="K60" s="44">
        <v>1.0</v>
      </c>
      <c r="L60" s="44">
        <v>1.0</v>
      </c>
      <c r="M60" s="45">
        <v>0.2103</v>
      </c>
      <c r="N60" s="46" t="s">
        <v>764</v>
      </c>
    </row>
    <row r="61" ht="15.75" customHeight="1">
      <c r="A61" s="43" t="s">
        <v>996</v>
      </c>
      <c r="B61" s="43" t="s">
        <v>596</v>
      </c>
      <c r="C61" s="43" t="s">
        <v>136</v>
      </c>
      <c r="D61" s="43" t="s">
        <v>852</v>
      </c>
      <c r="E61" s="43" t="s">
        <v>826</v>
      </c>
      <c r="F61" s="43" t="s">
        <v>751</v>
      </c>
      <c r="G61" s="44">
        <v>2024.0</v>
      </c>
      <c r="H61" s="44">
        <v>0.653</v>
      </c>
      <c r="I61" s="44">
        <v>0.7346</v>
      </c>
      <c r="J61" s="44">
        <v>5.0</v>
      </c>
      <c r="K61" s="44">
        <v>3.0</v>
      </c>
      <c r="L61" s="44">
        <v>1.0</v>
      </c>
      <c r="M61" s="45">
        <v>73.67</v>
      </c>
      <c r="N61" s="46" t="s">
        <v>764</v>
      </c>
    </row>
    <row r="62" ht="15.75" customHeight="1">
      <c r="A62" s="43" t="s">
        <v>998</v>
      </c>
      <c r="B62" s="43" t="s">
        <v>596</v>
      </c>
      <c r="C62" s="43" t="s">
        <v>346</v>
      </c>
      <c r="D62" s="43" t="s">
        <v>873</v>
      </c>
      <c r="E62" s="43" t="s">
        <v>817</v>
      </c>
      <c r="F62" s="43" t="s">
        <v>798</v>
      </c>
      <c r="G62" s="44">
        <v>2023.0</v>
      </c>
      <c r="H62" s="44">
        <v>0.1387</v>
      </c>
      <c r="I62" s="44">
        <v>0.1765</v>
      </c>
      <c r="J62" s="44">
        <v>2.0</v>
      </c>
      <c r="K62" s="44">
        <v>1.0</v>
      </c>
      <c r="L62" s="44">
        <v>1.0</v>
      </c>
      <c r="M62" s="45">
        <v>0.8902</v>
      </c>
      <c r="N62" s="46" t="s">
        <v>764</v>
      </c>
    </row>
    <row r="63" ht="15.75" customHeight="1">
      <c r="A63" s="43" t="s">
        <v>1000</v>
      </c>
      <c r="B63" s="43" t="s">
        <v>605</v>
      </c>
      <c r="C63" s="43" t="s">
        <v>324</v>
      </c>
      <c r="D63" s="43" t="s">
        <v>970</v>
      </c>
      <c r="E63" s="43" t="s">
        <v>749</v>
      </c>
      <c r="F63" s="43" t="s">
        <v>751</v>
      </c>
      <c r="G63" s="44">
        <v>2024.0</v>
      </c>
      <c r="H63" s="44">
        <v>0.0043</v>
      </c>
      <c r="I63" s="44">
        <v>0.0049</v>
      </c>
      <c r="J63" s="44">
        <v>2.0</v>
      </c>
      <c r="K63" s="44">
        <v>1.0</v>
      </c>
      <c r="L63" s="44">
        <v>1.0</v>
      </c>
      <c r="M63" s="45">
        <v>0.43</v>
      </c>
      <c r="N63" s="46" t="s">
        <v>764</v>
      </c>
    </row>
    <row r="64" ht="15.75" customHeight="1">
      <c r="A64" s="43" t="s">
        <v>1002</v>
      </c>
      <c r="B64" s="43" t="s">
        <v>603</v>
      </c>
      <c r="C64" s="43" t="s">
        <v>272</v>
      </c>
      <c r="D64" s="43" t="s">
        <v>891</v>
      </c>
      <c r="E64" s="43" t="s">
        <v>749</v>
      </c>
      <c r="F64" s="43" t="s">
        <v>751</v>
      </c>
      <c r="G64" s="44">
        <v>2024.0</v>
      </c>
      <c r="H64" s="44">
        <v>0.0047</v>
      </c>
      <c r="I64" s="44">
        <v>0.0056</v>
      </c>
      <c r="J64" s="44">
        <v>2.0</v>
      </c>
      <c r="K64" s="44">
        <v>1.0</v>
      </c>
      <c r="L64" s="44">
        <v>1.0</v>
      </c>
      <c r="M64" s="45">
        <v>0.31</v>
      </c>
      <c r="N64" s="46" t="s">
        <v>764</v>
      </c>
    </row>
    <row r="65" ht="15.75" customHeight="1">
      <c r="A65" s="43" t="s">
        <v>1004</v>
      </c>
      <c r="B65" s="43" t="s">
        <v>603</v>
      </c>
      <c r="C65" s="43" t="s">
        <v>495</v>
      </c>
      <c r="D65" s="43" t="s">
        <v>900</v>
      </c>
      <c r="E65" s="43" t="s">
        <v>836</v>
      </c>
      <c r="F65" s="43" t="s">
        <v>798</v>
      </c>
      <c r="G65" s="44">
        <v>2023.0</v>
      </c>
      <c r="H65" s="44">
        <v>0.1217</v>
      </c>
      <c r="I65" s="44">
        <v>0.1407</v>
      </c>
      <c r="J65" s="44">
        <v>2.0</v>
      </c>
      <c r="K65" s="44">
        <v>1.0</v>
      </c>
      <c r="L65" s="44">
        <v>1.0</v>
      </c>
      <c r="M65" s="45">
        <v>1.4841</v>
      </c>
      <c r="N65" s="46" t="s">
        <v>764</v>
      </c>
    </row>
    <row r="66" ht="15.75" customHeight="1">
      <c r="A66" s="43" t="s">
        <v>1006</v>
      </c>
      <c r="B66" s="43" t="s">
        <v>596</v>
      </c>
      <c r="C66" s="43" t="s">
        <v>136</v>
      </c>
      <c r="D66" s="43" t="s">
        <v>852</v>
      </c>
      <c r="E66" s="43" t="s">
        <v>817</v>
      </c>
      <c r="F66" s="43" t="s">
        <v>798</v>
      </c>
      <c r="G66" s="44">
        <v>2023.0</v>
      </c>
      <c r="H66" s="44">
        <v>0.1891</v>
      </c>
      <c r="I66" s="44">
        <v>0.2133</v>
      </c>
      <c r="J66" s="44">
        <v>2.0</v>
      </c>
      <c r="K66" s="44">
        <v>1.0</v>
      </c>
      <c r="L66" s="44">
        <v>1.0</v>
      </c>
      <c r="M66" s="45">
        <v>0.979</v>
      </c>
      <c r="N66" s="46" t="s">
        <v>764</v>
      </c>
    </row>
    <row r="67" ht="15.75" customHeight="1">
      <c r="A67" s="43" t="s">
        <v>1008</v>
      </c>
      <c r="B67" s="43" t="s">
        <v>577</v>
      </c>
      <c r="C67" s="43" t="s">
        <v>422</v>
      </c>
      <c r="D67" s="43" t="s">
        <v>688</v>
      </c>
      <c r="E67" s="43" t="s">
        <v>836</v>
      </c>
      <c r="F67" s="43" t="s">
        <v>798</v>
      </c>
      <c r="G67" s="44">
        <v>2023.0</v>
      </c>
      <c r="H67" s="44">
        <v>0.5481</v>
      </c>
      <c r="I67" s="44">
        <v>0.7096</v>
      </c>
      <c r="J67" s="44">
        <v>4.0</v>
      </c>
      <c r="K67" s="44">
        <v>3.0</v>
      </c>
      <c r="L67" s="44">
        <v>1.0</v>
      </c>
      <c r="M67" s="45">
        <v>4.8669</v>
      </c>
      <c r="N67" s="46" t="s">
        <v>764</v>
      </c>
    </row>
    <row r="68" ht="15.75" customHeight="1">
      <c r="A68" s="43" t="s">
        <v>1009</v>
      </c>
      <c r="B68" s="43" t="s">
        <v>577</v>
      </c>
      <c r="C68" s="43" t="s">
        <v>237</v>
      </c>
      <c r="D68" s="43" t="s">
        <v>669</v>
      </c>
      <c r="E68" s="43" t="s">
        <v>817</v>
      </c>
      <c r="F68" s="43" t="s">
        <v>798</v>
      </c>
      <c r="G68" s="44">
        <v>2023.0</v>
      </c>
      <c r="H68" s="44">
        <v>0.039</v>
      </c>
      <c r="I68" s="44">
        <v>0.0475</v>
      </c>
      <c r="J68" s="44">
        <v>3.0</v>
      </c>
      <c r="K68" s="44">
        <v>2.0</v>
      </c>
      <c r="L68" s="44">
        <v>1.0</v>
      </c>
      <c r="M68" s="45">
        <v>0.1976</v>
      </c>
      <c r="N68" s="46" t="s">
        <v>764</v>
      </c>
    </row>
    <row r="69" ht="15.75" customHeight="1">
      <c r="A69" s="43" t="s">
        <v>1011</v>
      </c>
      <c r="B69" s="43" t="s">
        <v>581</v>
      </c>
      <c r="C69" s="43" t="s">
        <v>305</v>
      </c>
      <c r="D69" s="43" t="s">
        <v>788</v>
      </c>
      <c r="E69" s="43" t="s">
        <v>817</v>
      </c>
      <c r="F69" s="43" t="s">
        <v>798</v>
      </c>
      <c r="G69" s="44">
        <v>2023.0</v>
      </c>
      <c r="H69" s="44">
        <v>0.0208</v>
      </c>
      <c r="I69" s="44">
        <v>0.0248</v>
      </c>
      <c r="J69" s="44">
        <v>2.0</v>
      </c>
      <c r="K69" s="44">
        <v>1.0</v>
      </c>
      <c r="L69" s="44">
        <v>1.0</v>
      </c>
      <c r="M69" s="45">
        <v>0.1132</v>
      </c>
      <c r="N69" s="46" t="s">
        <v>764</v>
      </c>
    </row>
    <row r="70" ht="15.75" customHeight="1">
      <c r="A70" s="43" t="s">
        <v>1013</v>
      </c>
      <c r="B70" s="43" t="s">
        <v>603</v>
      </c>
      <c r="C70" s="43" t="s">
        <v>495</v>
      </c>
      <c r="D70" s="43" t="s">
        <v>900</v>
      </c>
      <c r="E70" s="43" t="s">
        <v>817</v>
      </c>
      <c r="F70" s="43" t="s">
        <v>798</v>
      </c>
      <c r="G70" s="44">
        <v>2023.0</v>
      </c>
      <c r="H70" s="44">
        <v>0.1045</v>
      </c>
      <c r="I70" s="44">
        <v>0.1238</v>
      </c>
      <c r="J70" s="44">
        <v>2.0</v>
      </c>
      <c r="K70" s="44">
        <v>1.0</v>
      </c>
      <c r="L70" s="44">
        <v>1.0</v>
      </c>
      <c r="M70" s="45">
        <v>0.4061</v>
      </c>
      <c r="N70" s="46" t="s">
        <v>764</v>
      </c>
    </row>
    <row r="71" ht="15.75" customHeight="1">
      <c r="A71" s="43" t="s">
        <v>1015</v>
      </c>
      <c r="B71" s="43" t="s">
        <v>605</v>
      </c>
      <c r="C71" s="43" t="s">
        <v>160</v>
      </c>
      <c r="D71" s="43" t="s">
        <v>937</v>
      </c>
      <c r="E71" s="43" t="s">
        <v>826</v>
      </c>
      <c r="F71" s="43" t="s">
        <v>751</v>
      </c>
      <c r="G71" s="44">
        <v>2024.0</v>
      </c>
      <c r="H71" s="44">
        <v>0.7858</v>
      </c>
      <c r="I71" s="44">
        <v>0.9567</v>
      </c>
      <c r="J71" s="44">
        <v>7.0</v>
      </c>
      <c r="K71" s="44">
        <v>4.0</v>
      </c>
      <c r="L71" s="44">
        <v>1.0</v>
      </c>
      <c r="M71" s="45">
        <v>90.35</v>
      </c>
      <c r="N71" s="46" t="s">
        <v>764</v>
      </c>
    </row>
    <row r="72" ht="15.75" customHeight="1">
      <c r="A72" s="43" t="s">
        <v>1017</v>
      </c>
      <c r="B72" s="43" t="s">
        <v>577</v>
      </c>
      <c r="C72" s="43" t="s">
        <v>294</v>
      </c>
      <c r="D72" s="43" t="s">
        <v>684</v>
      </c>
      <c r="E72" s="43" t="s">
        <v>797</v>
      </c>
      <c r="F72" s="43" t="s">
        <v>798</v>
      </c>
      <c r="G72" s="44">
        <v>2023.0</v>
      </c>
      <c r="H72" s="44">
        <v>0.0595</v>
      </c>
      <c r="I72" s="44">
        <v>0.0723</v>
      </c>
      <c r="J72" s="44">
        <v>2.0</v>
      </c>
      <c r="K72" s="44">
        <v>2.0</v>
      </c>
      <c r="L72" s="44">
        <v>1.0</v>
      </c>
      <c r="M72" s="45">
        <v>0.2393</v>
      </c>
      <c r="N72" s="46" t="s">
        <v>764</v>
      </c>
    </row>
    <row r="73" ht="15.75" customHeight="1">
      <c r="A73" s="43" t="s">
        <v>1019</v>
      </c>
      <c r="B73" s="43" t="s">
        <v>603</v>
      </c>
      <c r="C73" s="43" t="s">
        <v>317</v>
      </c>
      <c r="D73" s="43" t="s">
        <v>917</v>
      </c>
      <c r="E73" s="43" t="s">
        <v>826</v>
      </c>
      <c r="F73" s="43" t="s">
        <v>751</v>
      </c>
      <c r="G73" s="44">
        <v>2024.0</v>
      </c>
      <c r="H73" s="44">
        <v>0.2155</v>
      </c>
      <c r="I73" s="44">
        <v>0.2527</v>
      </c>
      <c r="J73" s="44">
        <v>2.0</v>
      </c>
      <c r="K73" s="44">
        <v>1.0</v>
      </c>
      <c r="L73" s="44">
        <v>1.0</v>
      </c>
      <c r="M73" s="45">
        <v>15.86</v>
      </c>
      <c r="N73" s="46" t="s">
        <v>764</v>
      </c>
    </row>
    <row r="74" ht="15.75" customHeight="1">
      <c r="A74" s="43" t="s">
        <v>1021</v>
      </c>
      <c r="B74" s="43" t="s">
        <v>581</v>
      </c>
      <c r="C74" s="43" t="s">
        <v>378</v>
      </c>
      <c r="D74" s="43" t="s">
        <v>718</v>
      </c>
      <c r="E74" s="43" t="s">
        <v>826</v>
      </c>
      <c r="F74" s="43" t="s">
        <v>751</v>
      </c>
      <c r="G74" s="44">
        <v>2024.0</v>
      </c>
      <c r="H74" s="44">
        <v>0.9179</v>
      </c>
      <c r="I74" s="44">
        <v>1.1284</v>
      </c>
      <c r="J74" s="44">
        <v>9.0</v>
      </c>
      <c r="K74" s="44">
        <v>7.0</v>
      </c>
      <c r="L74" s="44">
        <v>1.0</v>
      </c>
      <c r="M74" s="45">
        <v>75.56</v>
      </c>
      <c r="N74" s="46" t="s">
        <v>764</v>
      </c>
    </row>
    <row r="75" ht="15.75" customHeight="1">
      <c r="A75" s="43" t="s">
        <v>1022</v>
      </c>
      <c r="B75" s="43" t="s">
        <v>581</v>
      </c>
      <c r="C75" s="43" t="s">
        <v>489</v>
      </c>
      <c r="D75" s="43" t="s">
        <v>721</v>
      </c>
      <c r="E75" s="43" t="s">
        <v>826</v>
      </c>
      <c r="F75" s="43" t="s">
        <v>751</v>
      </c>
      <c r="G75" s="44">
        <v>2024.0</v>
      </c>
      <c r="H75" s="44">
        <v>0.3588</v>
      </c>
      <c r="I75" s="44">
        <v>0.4498</v>
      </c>
      <c r="J75" s="44">
        <v>2.0</v>
      </c>
      <c r="K75" s="44">
        <v>2.0</v>
      </c>
      <c r="L75" s="44">
        <v>1.0</v>
      </c>
      <c r="M75" s="45">
        <v>33.38</v>
      </c>
      <c r="N75" s="46" t="s">
        <v>764</v>
      </c>
    </row>
    <row r="76" ht="15.75" customHeight="1">
      <c r="A76" s="43" t="s">
        <v>1024</v>
      </c>
      <c r="B76" s="43" t="s">
        <v>581</v>
      </c>
      <c r="C76" s="43" t="s">
        <v>385</v>
      </c>
      <c r="D76" s="43" t="s">
        <v>773</v>
      </c>
      <c r="E76" s="43" t="s">
        <v>826</v>
      </c>
      <c r="F76" s="43" t="s">
        <v>751</v>
      </c>
      <c r="G76" s="44">
        <v>2024.0</v>
      </c>
      <c r="H76" s="44">
        <v>1.2578</v>
      </c>
      <c r="I76" s="44">
        <v>1.6554</v>
      </c>
      <c r="J76" s="44">
        <v>16.0</v>
      </c>
      <c r="K76" s="44">
        <v>10.0</v>
      </c>
      <c r="L76" s="44">
        <v>1.0</v>
      </c>
      <c r="M76" s="45">
        <v>100.37</v>
      </c>
      <c r="N76" s="46" t="s">
        <v>764</v>
      </c>
    </row>
    <row r="77" ht="15.75" customHeight="1">
      <c r="A77" s="43" t="s">
        <v>1026</v>
      </c>
      <c r="B77" s="43" t="s">
        <v>577</v>
      </c>
      <c r="C77" s="43" t="s">
        <v>294</v>
      </c>
      <c r="D77" s="43" t="s">
        <v>684</v>
      </c>
      <c r="E77" s="43" t="s">
        <v>836</v>
      </c>
      <c r="F77" s="43" t="s">
        <v>798</v>
      </c>
      <c r="G77" s="44">
        <v>2023.0</v>
      </c>
      <c r="H77" s="44">
        <v>0.5291</v>
      </c>
      <c r="I77" s="44">
        <v>0.7103</v>
      </c>
      <c r="J77" s="44">
        <v>6.0</v>
      </c>
      <c r="K77" s="44">
        <v>3.0</v>
      </c>
      <c r="L77" s="44">
        <v>1.0</v>
      </c>
      <c r="M77" s="45">
        <v>5.0846</v>
      </c>
      <c r="N77" s="46" t="s">
        <v>764</v>
      </c>
    </row>
    <row r="78" ht="15.75" customHeight="1">
      <c r="A78" s="43" t="s">
        <v>1028</v>
      </c>
      <c r="B78" s="43" t="s">
        <v>577</v>
      </c>
      <c r="C78" s="43" t="s">
        <v>185</v>
      </c>
      <c r="D78" s="43" t="s">
        <v>695</v>
      </c>
      <c r="E78" s="43" t="s">
        <v>784</v>
      </c>
      <c r="F78" s="43" t="s">
        <v>751</v>
      </c>
      <c r="G78" s="44">
        <v>2024.0</v>
      </c>
      <c r="H78" s="44">
        <v>0.6825</v>
      </c>
      <c r="I78" s="44">
        <v>0.7974</v>
      </c>
      <c r="J78" s="44">
        <v>8.0</v>
      </c>
      <c r="K78" s="44">
        <v>5.0</v>
      </c>
      <c r="L78" s="44">
        <v>1.0</v>
      </c>
      <c r="M78" s="45">
        <v>47.65</v>
      </c>
      <c r="N78" s="46" t="s">
        <v>764</v>
      </c>
    </row>
    <row r="79" ht="15.75" customHeight="1">
      <c r="A79" s="43" t="s">
        <v>1030</v>
      </c>
      <c r="B79" s="43" t="s">
        <v>605</v>
      </c>
      <c r="C79" s="43" t="s">
        <v>408</v>
      </c>
      <c r="D79" s="43" t="s">
        <v>847</v>
      </c>
      <c r="E79" s="43" t="s">
        <v>826</v>
      </c>
      <c r="F79" s="43" t="s">
        <v>751</v>
      </c>
      <c r="G79" s="44">
        <v>2024.0</v>
      </c>
      <c r="H79" s="44">
        <v>0.4036</v>
      </c>
      <c r="I79" s="44">
        <v>0.5191</v>
      </c>
      <c r="J79" s="44">
        <v>6.0</v>
      </c>
      <c r="K79" s="44">
        <v>3.0</v>
      </c>
      <c r="L79" s="44">
        <v>1.0</v>
      </c>
      <c r="M79" s="45">
        <v>34.19</v>
      </c>
      <c r="N79" s="46" t="s">
        <v>764</v>
      </c>
    </row>
    <row r="80" ht="15.75" customHeight="1">
      <c r="A80" s="43" t="s">
        <v>1032</v>
      </c>
      <c r="B80" s="43" t="s">
        <v>581</v>
      </c>
      <c r="C80" s="43" t="s">
        <v>378</v>
      </c>
      <c r="D80" s="43" t="s">
        <v>718</v>
      </c>
      <c r="E80" s="43" t="s">
        <v>836</v>
      </c>
      <c r="F80" s="43" t="s">
        <v>798</v>
      </c>
      <c r="G80" s="44">
        <v>2023.0</v>
      </c>
      <c r="H80" s="44">
        <v>0.2695</v>
      </c>
      <c r="I80" s="44">
        <v>0.3191</v>
      </c>
      <c r="J80" s="44">
        <v>2.0</v>
      </c>
      <c r="K80" s="44">
        <v>1.0</v>
      </c>
      <c r="L80" s="44">
        <v>1.0</v>
      </c>
      <c r="M80" s="45">
        <v>2.4869</v>
      </c>
      <c r="N80" s="46" t="s">
        <v>764</v>
      </c>
    </row>
    <row r="81" ht="15.75" customHeight="1">
      <c r="A81" s="43" t="s">
        <v>1033</v>
      </c>
      <c r="B81" s="43" t="s">
        <v>581</v>
      </c>
      <c r="C81" s="43" t="s">
        <v>196</v>
      </c>
      <c r="D81" s="43" t="s">
        <v>750</v>
      </c>
      <c r="E81" s="43" t="s">
        <v>749</v>
      </c>
      <c r="F81" s="43" t="s">
        <v>751</v>
      </c>
      <c r="G81" s="44">
        <v>2024.0</v>
      </c>
      <c r="H81" s="44">
        <v>0.0069</v>
      </c>
      <c r="I81" s="44">
        <v>0.008</v>
      </c>
      <c r="J81" s="44">
        <v>2.0</v>
      </c>
      <c r="K81" s="44">
        <v>1.0</v>
      </c>
      <c r="L81" s="44">
        <v>1.0</v>
      </c>
      <c r="M81" s="45">
        <v>0.42</v>
      </c>
      <c r="N81" s="46" t="s">
        <v>764</v>
      </c>
    </row>
    <row r="82" ht="15.75" customHeight="1">
      <c r="A82" s="43" t="s">
        <v>1035</v>
      </c>
      <c r="B82" s="43" t="s">
        <v>581</v>
      </c>
      <c r="C82" s="43" t="s">
        <v>505</v>
      </c>
      <c r="D82" s="43" t="s">
        <v>799</v>
      </c>
      <c r="E82" s="43" t="s">
        <v>749</v>
      </c>
      <c r="F82" s="43" t="s">
        <v>751</v>
      </c>
      <c r="G82" s="44">
        <v>2024.0</v>
      </c>
      <c r="H82" s="44">
        <v>0.0051</v>
      </c>
      <c r="I82" s="44">
        <v>0.0066</v>
      </c>
      <c r="J82" s="44">
        <v>2.0</v>
      </c>
      <c r="K82" s="44">
        <v>1.0</v>
      </c>
      <c r="L82" s="44">
        <v>1.0</v>
      </c>
      <c r="M82" s="45">
        <v>0.27</v>
      </c>
      <c r="N82" s="46" t="s">
        <v>764</v>
      </c>
    </row>
    <row r="83" ht="15.75" customHeight="1">
      <c r="A83" s="43" t="s">
        <v>1037</v>
      </c>
      <c r="B83" s="43" t="s">
        <v>577</v>
      </c>
      <c r="C83" s="43" t="s">
        <v>185</v>
      </c>
      <c r="D83" s="43" t="s">
        <v>695</v>
      </c>
      <c r="E83" s="43" t="s">
        <v>836</v>
      </c>
      <c r="F83" s="43" t="s">
        <v>798</v>
      </c>
      <c r="G83" s="44">
        <v>2023.0</v>
      </c>
      <c r="H83" s="44">
        <v>0.2357</v>
      </c>
      <c r="I83" s="44">
        <v>0.2748</v>
      </c>
      <c r="J83" s="44">
        <v>4.0</v>
      </c>
      <c r="K83" s="44">
        <v>2.0</v>
      </c>
      <c r="L83" s="44">
        <v>1.0</v>
      </c>
      <c r="M83" s="45">
        <v>1.8122</v>
      </c>
      <c r="N83" s="46" t="s">
        <v>764</v>
      </c>
    </row>
    <row r="84" ht="15.75" customHeight="1">
      <c r="A84" s="43" t="s">
        <v>1039</v>
      </c>
      <c r="B84" s="43" t="s">
        <v>605</v>
      </c>
      <c r="C84" s="43" t="s">
        <v>483</v>
      </c>
      <c r="D84" s="43" t="s">
        <v>803</v>
      </c>
      <c r="E84" s="43" t="s">
        <v>836</v>
      </c>
      <c r="F84" s="43" t="s">
        <v>798</v>
      </c>
      <c r="G84" s="44">
        <v>2023.0</v>
      </c>
      <c r="H84" s="44">
        <v>0.0776</v>
      </c>
      <c r="I84" s="44">
        <v>0.0839</v>
      </c>
      <c r="J84" s="44">
        <v>2.0</v>
      </c>
      <c r="K84" s="44">
        <v>1.0</v>
      </c>
      <c r="L84" s="44">
        <v>1.0</v>
      </c>
      <c r="M84" s="45">
        <v>0.9345</v>
      </c>
      <c r="N84" s="46" t="s">
        <v>764</v>
      </c>
    </row>
    <row r="85" ht="15.75" customHeight="1">
      <c r="A85" s="43" t="s">
        <v>1041</v>
      </c>
      <c r="B85" s="43" t="s">
        <v>581</v>
      </c>
      <c r="C85" s="43" t="s">
        <v>519</v>
      </c>
      <c r="D85" s="43" t="s">
        <v>748</v>
      </c>
      <c r="E85" s="43" t="s">
        <v>784</v>
      </c>
      <c r="F85" s="43" t="s">
        <v>751</v>
      </c>
      <c r="G85" s="44">
        <v>2024.0</v>
      </c>
      <c r="H85" s="44">
        <v>0.6077</v>
      </c>
      <c r="I85" s="44">
        <v>0.7144</v>
      </c>
      <c r="J85" s="44">
        <v>4.0</v>
      </c>
      <c r="K85" s="44">
        <v>2.0</v>
      </c>
      <c r="L85" s="44">
        <v>1.0</v>
      </c>
      <c r="M85" s="45">
        <v>73.17</v>
      </c>
      <c r="N85" s="46" t="s">
        <v>764</v>
      </c>
    </row>
    <row r="86" ht="15.75" customHeight="1">
      <c r="A86" s="43" t="s">
        <v>1043</v>
      </c>
      <c r="B86" s="43" t="s">
        <v>605</v>
      </c>
      <c r="C86" s="43" t="s">
        <v>324</v>
      </c>
      <c r="D86" s="43" t="s">
        <v>970</v>
      </c>
      <c r="E86" s="43" t="s">
        <v>836</v>
      </c>
      <c r="F86" s="43" t="s">
        <v>798</v>
      </c>
      <c r="G86" s="44">
        <v>2023.0</v>
      </c>
      <c r="H86" s="44">
        <v>0.1154</v>
      </c>
      <c r="I86" s="44">
        <v>0.1313</v>
      </c>
      <c r="J86" s="44">
        <v>3.0</v>
      </c>
      <c r="K86" s="44">
        <v>2.0</v>
      </c>
      <c r="L86" s="44">
        <v>1.0</v>
      </c>
      <c r="M86" s="45">
        <v>1.3939</v>
      </c>
      <c r="N86" s="46" t="s">
        <v>764</v>
      </c>
    </row>
    <row r="87" ht="15.75" customHeight="1">
      <c r="A87" s="43" t="s">
        <v>1045</v>
      </c>
      <c r="B87" s="43" t="s">
        <v>581</v>
      </c>
      <c r="C87" s="43" t="s">
        <v>489</v>
      </c>
      <c r="D87" s="43" t="s">
        <v>721</v>
      </c>
      <c r="E87" s="43" t="s">
        <v>749</v>
      </c>
      <c r="F87" s="43" t="s">
        <v>751</v>
      </c>
      <c r="G87" s="44">
        <v>2024.0</v>
      </c>
      <c r="H87" s="44">
        <v>0.0069</v>
      </c>
      <c r="I87" s="44">
        <v>0.009</v>
      </c>
      <c r="J87" s="44">
        <v>2.0</v>
      </c>
      <c r="K87" s="44">
        <v>2.0</v>
      </c>
      <c r="L87" s="44">
        <v>1.0</v>
      </c>
      <c r="M87" s="45">
        <v>0.56</v>
      </c>
      <c r="N87" s="46" t="s">
        <v>764</v>
      </c>
    </row>
    <row r="88" ht="15.75" customHeight="1">
      <c r="A88" s="43" t="s">
        <v>1046</v>
      </c>
      <c r="B88" s="43" t="s">
        <v>577</v>
      </c>
      <c r="C88" s="43" t="s">
        <v>78</v>
      </c>
      <c r="D88" s="43" t="s">
        <v>680</v>
      </c>
      <c r="E88" s="43" t="s">
        <v>836</v>
      </c>
      <c r="F88" s="43" t="s">
        <v>798</v>
      </c>
      <c r="G88" s="44">
        <v>2023.0</v>
      </c>
      <c r="H88" s="44">
        <v>0.1553</v>
      </c>
      <c r="I88" s="44">
        <v>0.1698</v>
      </c>
      <c r="J88" s="44">
        <v>4.0</v>
      </c>
      <c r="K88" s="44">
        <v>3.0</v>
      </c>
      <c r="L88" s="44">
        <v>1.0</v>
      </c>
      <c r="M88" s="45">
        <v>1.6806</v>
      </c>
      <c r="N88" s="46" t="s">
        <v>764</v>
      </c>
    </row>
    <row r="89" ht="15.75" customHeight="1">
      <c r="A89" s="43" t="s">
        <v>1048</v>
      </c>
      <c r="B89" s="43" t="s">
        <v>605</v>
      </c>
      <c r="C89" s="43" t="s">
        <v>523</v>
      </c>
      <c r="D89" s="43" t="s">
        <v>872</v>
      </c>
      <c r="E89" s="43" t="s">
        <v>797</v>
      </c>
      <c r="F89" s="43" t="s">
        <v>798</v>
      </c>
      <c r="G89" s="44">
        <v>2023.0</v>
      </c>
      <c r="H89" s="44">
        <v>0.0845</v>
      </c>
      <c r="I89" s="44">
        <v>0.093</v>
      </c>
      <c r="J89" s="44">
        <v>2.0</v>
      </c>
      <c r="K89" s="44">
        <v>1.0</v>
      </c>
      <c r="L89" s="44">
        <v>1.0</v>
      </c>
      <c r="M89" s="45">
        <v>0.4457</v>
      </c>
      <c r="N89" s="46" t="s">
        <v>764</v>
      </c>
    </row>
    <row r="90" ht="15.75" customHeight="1">
      <c r="A90" s="43" t="s">
        <v>1050</v>
      </c>
      <c r="B90" s="43" t="s">
        <v>577</v>
      </c>
      <c r="C90" s="43" t="s">
        <v>485</v>
      </c>
      <c r="D90" s="43" t="s">
        <v>637</v>
      </c>
      <c r="E90" s="43" t="s">
        <v>784</v>
      </c>
      <c r="F90" s="43" t="s">
        <v>751</v>
      </c>
      <c r="G90" s="44">
        <v>2024.0</v>
      </c>
      <c r="H90" s="44">
        <v>0.6111</v>
      </c>
      <c r="I90" s="44">
        <v>0.7292</v>
      </c>
      <c r="J90" s="44">
        <v>6.0</v>
      </c>
      <c r="K90" s="44">
        <v>4.0</v>
      </c>
      <c r="L90" s="44">
        <v>1.0</v>
      </c>
      <c r="M90" s="45">
        <v>48.33</v>
      </c>
      <c r="N90" s="46" t="s">
        <v>764</v>
      </c>
    </row>
    <row r="91" ht="15.75" customHeight="1">
      <c r="A91" s="43" t="s">
        <v>1052</v>
      </c>
      <c r="B91" s="43" t="s">
        <v>605</v>
      </c>
      <c r="C91" s="43" t="s">
        <v>483</v>
      </c>
      <c r="D91" s="43" t="s">
        <v>803</v>
      </c>
      <c r="E91" s="43" t="s">
        <v>784</v>
      </c>
      <c r="F91" s="43" t="s">
        <v>751</v>
      </c>
      <c r="G91" s="44">
        <v>2024.0</v>
      </c>
      <c r="H91" s="44">
        <v>3.2862</v>
      </c>
      <c r="I91" s="44">
        <v>3.8318</v>
      </c>
      <c r="J91" s="44">
        <v>31.0</v>
      </c>
      <c r="K91" s="44">
        <v>21.0</v>
      </c>
      <c r="L91" s="44">
        <v>3.0</v>
      </c>
      <c r="M91" s="45">
        <v>370.03</v>
      </c>
      <c r="N91" s="46" t="s">
        <v>764</v>
      </c>
    </row>
    <row r="92" ht="15.75" customHeight="1">
      <c r="A92" s="43" t="s">
        <v>1054</v>
      </c>
      <c r="B92" s="43" t="s">
        <v>596</v>
      </c>
      <c r="C92" s="43" t="s">
        <v>481</v>
      </c>
      <c r="D92" s="43" t="s">
        <v>774</v>
      </c>
      <c r="E92" s="43" t="s">
        <v>842</v>
      </c>
      <c r="F92" s="43" t="s">
        <v>751</v>
      </c>
      <c r="G92" s="44">
        <v>2024.0</v>
      </c>
      <c r="H92" s="44">
        <v>0.3936</v>
      </c>
      <c r="I92" s="44">
        <v>0.4384</v>
      </c>
      <c r="J92" s="44">
        <v>8.0</v>
      </c>
      <c r="K92" s="44">
        <v>5.0</v>
      </c>
      <c r="L92" s="44">
        <v>1.0</v>
      </c>
      <c r="M92" s="45">
        <v>27.92</v>
      </c>
      <c r="N92" s="46" t="s">
        <v>764</v>
      </c>
    </row>
    <row r="93" ht="15.75" customHeight="1">
      <c r="A93" s="43" t="s">
        <v>1055</v>
      </c>
      <c r="B93" s="43" t="s">
        <v>581</v>
      </c>
      <c r="C93" s="43" t="s">
        <v>123</v>
      </c>
      <c r="D93" s="43" t="s">
        <v>782</v>
      </c>
      <c r="E93" s="43" t="s">
        <v>749</v>
      </c>
      <c r="F93" s="43" t="s">
        <v>751</v>
      </c>
      <c r="G93" s="44">
        <v>2024.0</v>
      </c>
      <c r="H93" s="44">
        <v>0.0146</v>
      </c>
      <c r="I93" s="44">
        <v>0.019</v>
      </c>
      <c r="J93" s="44">
        <v>2.0</v>
      </c>
      <c r="K93" s="44">
        <v>1.0</v>
      </c>
      <c r="L93" s="44">
        <v>1.0</v>
      </c>
      <c r="M93" s="45">
        <v>1.22</v>
      </c>
      <c r="N93" s="46" t="s">
        <v>764</v>
      </c>
    </row>
    <row r="94" ht="15.75" customHeight="1">
      <c r="A94" s="43" t="s">
        <v>1057</v>
      </c>
      <c r="B94" s="43" t="s">
        <v>577</v>
      </c>
      <c r="C94" s="43" t="s">
        <v>485</v>
      </c>
      <c r="D94" s="43" t="s">
        <v>637</v>
      </c>
      <c r="E94" s="43" t="s">
        <v>842</v>
      </c>
      <c r="F94" s="43" t="s">
        <v>751</v>
      </c>
      <c r="G94" s="44">
        <v>2024.0</v>
      </c>
      <c r="H94" s="44">
        <v>0.4181</v>
      </c>
      <c r="I94" s="44">
        <v>0.4748</v>
      </c>
      <c r="J94" s="44">
        <v>5.0</v>
      </c>
      <c r="K94" s="44">
        <v>3.0</v>
      </c>
      <c r="L94" s="44">
        <v>1.0</v>
      </c>
      <c r="M94" s="45">
        <v>41.42</v>
      </c>
      <c r="N94" s="46" t="s">
        <v>764</v>
      </c>
    </row>
    <row r="95" ht="15.75" customHeight="1">
      <c r="A95" s="43" t="s">
        <v>1059</v>
      </c>
      <c r="B95" s="43" t="s">
        <v>581</v>
      </c>
      <c r="C95" s="43" t="s">
        <v>104</v>
      </c>
      <c r="D95" s="43" t="s">
        <v>729</v>
      </c>
      <c r="E95" s="43" t="s">
        <v>836</v>
      </c>
      <c r="F95" s="43" t="s">
        <v>798</v>
      </c>
      <c r="G95" s="44">
        <v>2023.0</v>
      </c>
      <c r="H95" s="44">
        <v>0.0493</v>
      </c>
      <c r="I95" s="44">
        <v>0.0582</v>
      </c>
      <c r="J95" s="44">
        <v>2.0</v>
      </c>
      <c r="K95" s="44">
        <v>2.0</v>
      </c>
      <c r="L95" s="44">
        <v>1.0</v>
      </c>
      <c r="M95" s="45">
        <v>0.5547</v>
      </c>
      <c r="N95" s="46" t="s">
        <v>764</v>
      </c>
    </row>
    <row r="96" ht="15.75" customHeight="1">
      <c r="A96" s="43" t="s">
        <v>1064</v>
      </c>
      <c r="B96" s="43" t="s">
        <v>605</v>
      </c>
      <c r="C96" s="43" t="s">
        <v>324</v>
      </c>
      <c r="D96" s="43" t="s">
        <v>970</v>
      </c>
      <c r="E96" s="43" t="s">
        <v>784</v>
      </c>
      <c r="F96" s="43" t="s">
        <v>751</v>
      </c>
      <c r="G96" s="44">
        <v>2024.0</v>
      </c>
      <c r="H96" s="44">
        <v>0.464</v>
      </c>
      <c r="I96" s="44">
        <v>0.6028</v>
      </c>
      <c r="J96" s="44">
        <v>3.0</v>
      </c>
      <c r="K96" s="44">
        <v>2.0</v>
      </c>
      <c r="L96" s="44">
        <v>1.0</v>
      </c>
      <c r="M96" s="45">
        <v>41.75</v>
      </c>
      <c r="N96" s="46" t="s">
        <v>764</v>
      </c>
    </row>
    <row r="97" ht="15.75" customHeight="1">
      <c r="A97" s="43" t="s">
        <v>1065</v>
      </c>
      <c r="B97" s="43" t="s">
        <v>596</v>
      </c>
      <c r="C97" s="43" t="s">
        <v>346</v>
      </c>
      <c r="D97" s="43" t="s">
        <v>873</v>
      </c>
      <c r="E97" s="43" t="s">
        <v>784</v>
      </c>
      <c r="F97" s="43" t="s">
        <v>751</v>
      </c>
      <c r="G97" s="44">
        <v>2024.0</v>
      </c>
      <c r="H97" s="44">
        <v>0.8851</v>
      </c>
      <c r="I97" s="44">
        <v>0.9618</v>
      </c>
      <c r="J97" s="44">
        <v>6.0</v>
      </c>
      <c r="K97" s="44">
        <v>5.0</v>
      </c>
      <c r="L97" s="44">
        <v>1.0</v>
      </c>
      <c r="M97" s="45">
        <v>88.93</v>
      </c>
      <c r="N97" s="46" t="s">
        <v>764</v>
      </c>
    </row>
    <row r="98" ht="15.75" customHeight="1">
      <c r="A98" s="43" t="s">
        <v>1067</v>
      </c>
      <c r="B98" s="43" t="s">
        <v>581</v>
      </c>
      <c r="C98" s="43" t="s">
        <v>515</v>
      </c>
      <c r="D98" s="43" t="s">
        <v>709</v>
      </c>
      <c r="E98" s="43" t="s">
        <v>842</v>
      </c>
      <c r="F98" s="43" t="s">
        <v>751</v>
      </c>
      <c r="G98" s="44">
        <v>2024.0</v>
      </c>
      <c r="H98" s="44">
        <v>0.8212</v>
      </c>
      <c r="I98" s="44">
        <v>0.9657</v>
      </c>
      <c r="J98" s="44">
        <v>9.0</v>
      </c>
      <c r="K98" s="44">
        <v>6.0</v>
      </c>
      <c r="L98" s="44">
        <v>1.0</v>
      </c>
      <c r="M98" s="45">
        <v>44.05</v>
      </c>
      <c r="N98" s="46" t="s">
        <v>764</v>
      </c>
    </row>
    <row r="99" ht="15.75" customHeight="1">
      <c r="A99" s="43" t="s">
        <v>1069</v>
      </c>
      <c r="B99" s="43" t="s">
        <v>603</v>
      </c>
      <c r="C99" s="43" t="s">
        <v>521</v>
      </c>
      <c r="D99" s="43" t="s">
        <v>882</v>
      </c>
      <c r="E99" s="43" t="s">
        <v>817</v>
      </c>
      <c r="F99" s="43" t="s">
        <v>798</v>
      </c>
      <c r="G99" s="44">
        <v>2023.0</v>
      </c>
      <c r="H99" s="44">
        <v>0.1375</v>
      </c>
      <c r="I99" s="44">
        <v>0.1845</v>
      </c>
      <c r="J99" s="44">
        <v>2.0</v>
      </c>
      <c r="K99" s="44">
        <v>2.0</v>
      </c>
      <c r="L99" s="44">
        <v>1.0</v>
      </c>
      <c r="M99" s="45">
        <v>0.8047</v>
      </c>
      <c r="N99" s="46" t="s">
        <v>764</v>
      </c>
    </row>
    <row r="100" ht="15.75" customHeight="1">
      <c r="A100" s="43" t="s">
        <v>1071</v>
      </c>
      <c r="B100" s="43" t="s">
        <v>605</v>
      </c>
      <c r="C100" s="43" t="s">
        <v>160</v>
      </c>
      <c r="D100" s="43" t="s">
        <v>937</v>
      </c>
      <c r="E100" s="43" t="s">
        <v>797</v>
      </c>
      <c r="F100" s="43" t="s">
        <v>798</v>
      </c>
      <c r="G100" s="44">
        <v>2023.0</v>
      </c>
      <c r="H100" s="44">
        <v>0.0578</v>
      </c>
      <c r="I100" s="44">
        <v>0.0636</v>
      </c>
      <c r="J100" s="44">
        <v>3.0</v>
      </c>
      <c r="K100" s="44">
        <v>2.0</v>
      </c>
      <c r="L100" s="44">
        <v>1.0</v>
      </c>
      <c r="M100" s="45">
        <v>0.1706</v>
      </c>
      <c r="N100" s="46" t="s">
        <v>764</v>
      </c>
    </row>
    <row r="101" ht="15.75" customHeight="1">
      <c r="A101" s="43" t="s">
        <v>1072</v>
      </c>
      <c r="B101" s="43" t="s">
        <v>596</v>
      </c>
      <c r="C101" s="43" t="s">
        <v>493</v>
      </c>
      <c r="D101" s="43" t="s">
        <v>823</v>
      </c>
      <c r="E101" s="43" t="s">
        <v>826</v>
      </c>
      <c r="F101" s="43" t="s">
        <v>751</v>
      </c>
      <c r="G101" s="44">
        <v>2024.0</v>
      </c>
      <c r="H101" s="44">
        <v>0.1574</v>
      </c>
      <c r="I101" s="44">
        <v>0.182</v>
      </c>
      <c r="J101" s="44">
        <v>4.0</v>
      </c>
      <c r="K101" s="44">
        <v>3.0</v>
      </c>
      <c r="L101" s="44">
        <v>1.0</v>
      </c>
      <c r="M101" s="45">
        <v>9.29</v>
      </c>
      <c r="N101" s="46" t="s">
        <v>764</v>
      </c>
    </row>
    <row r="102" ht="15.75" customHeight="1">
      <c r="A102" s="43" t="s">
        <v>1074</v>
      </c>
      <c r="B102" s="43" t="s">
        <v>581</v>
      </c>
      <c r="C102" s="43" t="s">
        <v>503</v>
      </c>
      <c r="D102" s="43" t="s">
        <v>745</v>
      </c>
      <c r="E102" s="43" t="s">
        <v>836</v>
      </c>
      <c r="F102" s="43" t="s">
        <v>798</v>
      </c>
      <c r="G102" s="44">
        <v>2023.0</v>
      </c>
      <c r="H102" s="44">
        <v>0.2259</v>
      </c>
      <c r="I102" s="44">
        <v>0.2677</v>
      </c>
      <c r="J102" s="44">
        <v>2.0</v>
      </c>
      <c r="K102" s="44">
        <v>1.0</v>
      </c>
      <c r="L102" s="44">
        <v>1.0</v>
      </c>
      <c r="M102" s="45">
        <v>2.8569</v>
      </c>
      <c r="N102" s="46" t="s">
        <v>764</v>
      </c>
    </row>
    <row r="103" ht="15.75" customHeight="1">
      <c r="A103" s="43" t="s">
        <v>1076</v>
      </c>
      <c r="B103" s="43" t="s">
        <v>581</v>
      </c>
      <c r="C103" s="43" t="s">
        <v>252</v>
      </c>
      <c r="D103" s="43" t="s">
        <v>714</v>
      </c>
      <c r="E103" s="43" t="s">
        <v>826</v>
      </c>
      <c r="F103" s="43" t="s">
        <v>751</v>
      </c>
      <c r="G103" s="44">
        <v>2024.0</v>
      </c>
      <c r="H103" s="44">
        <v>1.0556</v>
      </c>
      <c r="I103" s="44">
        <v>1.2872</v>
      </c>
      <c r="J103" s="44">
        <v>8.0</v>
      </c>
      <c r="K103" s="44">
        <v>6.0</v>
      </c>
      <c r="L103" s="44">
        <v>1.0</v>
      </c>
      <c r="M103" s="45">
        <v>109.34</v>
      </c>
      <c r="N103" s="46" t="s">
        <v>764</v>
      </c>
    </row>
    <row r="104" ht="15.75" customHeight="1">
      <c r="A104" s="43" t="s">
        <v>1078</v>
      </c>
      <c r="B104" s="43" t="s">
        <v>577</v>
      </c>
      <c r="C104" s="43" t="s">
        <v>414</v>
      </c>
      <c r="D104" s="43" t="s">
        <v>647</v>
      </c>
      <c r="E104" s="43" t="s">
        <v>842</v>
      </c>
      <c r="F104" s="43" t="s">
        <v>751</v>
      </c>
      <c r="G104" s="44">
        <v>2024.0</v>
      </c>
      <c r="H104" s="44">
        <v>0.6655</v>
      </c>
      <c r="I104" s="44">
        <v>0.8965</v>
      </c>
      <c r="J104" s="44">
        <v>3.0</v>
      </c>
      <c r="K104" s="44">
        <v>2.0</v>
      </c>
      <c r="L104" s="44">
        <v>1.0</v>
      </c>
      <c r="M104" s="45">
        <v>66.83</v>
      </c>
      <c r="N104" s="46" t="s">
        <v>764</v>
      </c>
    </row>
    <row r="105" ht="15.75" customHeight="1">
      <c r="A105" s="43" t="s">
        <v>1080</v>
      </c>
      <c r="B105" s="43" t="s">
        <v>577</v>
      </c>
      <c r="C105" s="43" t="s">
        <v>501</v>
      </c>
      <c r="D105" s="43" t="s">
        <v>691</v>
      </c>
      <c r="E105" s="43" t="s">
        <v>826</v>
      </c>
      <c r="F105" s="43" t="s">
        <v>751</v>
      </c>
      <c r="G105" s="44">
        <v>2024.0</v>
      </c>
      <c r="H105" s="44">
        <v>0.5741</v>
      </c>
      <c r="I105" s="44">
        <v>0.6348</v>
      </c>
      <c r="J105" s="44">
        <v>7.0</v>
      </c>
      <c r="K105" s="44">
        <v>4.0</v>
      </c>
      <c r="L105" s="44">
        <v>1.0</v>
      </c>
      <c r="M105" s="45">
        <v>78.12</v>
      </c>
      <c r="N105" s="46" t="s">
        <v>764</v>
      </c>
    </row>
    <row r="106" ht="15.75" customHeight="1">
      <c r="A106" s="43" t="s">
        <v>1081</v>
      </c>
      <c r="B106" s="43" t="s">
        <v>577</v>
      </c>
      <c r="C106" s="43" t="s">
        <v>511</v>
      </c>
      <c r="D106" s="43" t="s">
        <v>626</v>
      </c>
      <c r="E106" s="43" t="s">
        <v>817</v>
      </c>
      <c r="F106" s="43" t="s">
        <v>798</v>
      </c>
      <c r="G106" s="44">
        <v>2023.0</v>
      </c>
      <c r="H106" s="44">
        <v>0.3248</v>
      </c>
      <c r="I106" s="44">
        <v>0.3856</v>
      </c>
      <c r="J106" s="44">
        <v>3.0</v>
      </c>
      <c r="K106" s="44">
        <v>2.0</v>
      </c>
      <c r="L106" s="44">
        <v>1.0</v>
      </c>
      <c r="M106" s="45">
        <v>1.5025</v>
      </c>
      <c r="N106" s="46" t="s">
        <v>764</v>
      </c>
    </row>
    <row r="107" ht="15.75" customHeight="1">
      <c r="A107" s="43" t="s">
        <v>1083</v>
      </c>
      <c r="B107" s="43" t="s">
        <v>577</v>
      </c>
      <c r="C107" s="43" t="s">
        <v>511</v>
      </c>
      <c r="D107" s="43" t="s">
        <v>626</v>
      </c>
      <c r="E107" s="43" t="s">
        <v>749</v>
      </c>
      <c r="F107" s="43" t="s">
        <v>751</v>
      </c>
      <c r="G107" s="44">
        <v>2024.0</v>
      </c>
      <c r="H107" s="44">
        <v>0.0106</v>
      </c>
      <c r="I107" s="44">
        <v>0.0121</v>
      </c>
      <c r="J107" s="44">
        <v>2.0</v>
      </c>
      <c r="K107" s="44">
        <v>2.0</v>
      </c>
      <c r="L107" s="44">
        <v>1.0</v>
      </c>
      <c r="M107" s="45">
        <v>0.8</v>
      </c>
      <c r="N107" s="46" t="s">
        <v>764</v>
      </c>
    </row>
    <row r="108" ht="15.75" customHeight="1">
      <c r="A108" s="43" t="s">
        <v>1085</v>
      </c>
      <c r="B108" s="43" t="s">
        <v>581</v>
      </c>
      <c r="C108" s="43" t="s">
        <v>305</v>
      </c>
      <c r="D108" s="43" t="s">
        <v>788</v>
      </c>
      <c r="E108" s="43" t="s">
        <v>836</v>
      </c>
      <c r="F108" s="43" t="s">
        <v>798</v>
      </c>
      <c r="G108" s="44">
        <v>2023.0</v>
      </c>
      <c r="H108" s="44">
        <v>0.1461</v>
      </c>
      <c r="I108" s="44">
        <v>0.1659</v>
      </c>
      <c r="J108" s="44">
        <v>2.0</v>
      </c>
      <c r="K108" s="44">
        <v>1.0</v>
      </c>
      <c r="L108" s="44">
        <v>1.0</v>
      </c>
      <c r="M108" s="45">
        <v>1.6112</v>
      </c>
      <c r="N108" s="46" t="s">
        <v>764</v>
      </c>
    </row>
    <row r="109" ht="15.75" customHeight="1">
      <c r="A109" s="43" t="s">
        <v>1087</v>
      </c>
      <c r="B109" s="43" t="s">
        <v>603</v>
      </c>
      <c r="C109" s="43" t="s">
        <v>317</v>
      </c>
      <c r="D109" s="43" t="s">
        <v>917</v>
      </c>
      <c r="E109" s="43" t="s">
        <v>836</v>
      </c>
      <c r="F109" s="43" t="s">
        <v>798</v>
      </c>
      <c r="G109" s="44">
        <v>2023.0</v>
      </c>
      <c r="H109" s="44">
        <v>0.3506</v>
      </c>
      <c r="I109" s="44">
        <v>0.4531</v>
      </c>
      <c r="J109" s="44">
        <v>2.0</v>
      </c>
      <c r="K109" s="44">
        <v>1.0</v>
      </c>
      <c r="L109" s="44">
        <v>1.0</v>
      </c>
      <c r="M109" s="45">
        <v>3.9749</v>
      </c>
      <c r="N109" s="46" t="s">
        <v>764</v>
      </c>
    </row>
    <row r="110" ht="15.75" customHeight="1">
      <c r="A110" s="43" t="s">
        <v>1089</v>
      </c>
      <c r="B110" s="43" t="s">
        <v>581</v>
      </c>
      <c r="C110" s="43" t="s">
        <v>252</v>
      </c>
      <c r="D110" s="43" t="s">
        <v>714</v>
      </c>
      <c r="E110" s="43" t="s">
        <v>842</v>
      </c>
      <c r="F110" s="43" t="s">
        <v>751</v>
      </c>
      <c r="G110" s="44">
        <v>2024.0</v>
      </c>
      <c r="H110" s="44">
        <v>0.8601</v>
      </c>
      <c r="I110" s="44">
        <v>0.942</v>
      </c>
      <c r="J110" s="44">
        <v>6.0</v>
      </c>
      <c r="K110" s="44">
        <v>5.0</v>
      </c>
      <c r="L110" s="44">
        <v>1.0</v>
      </c>
      <c r="M110" s="45">
        <v>51.66</v>
      </c>
      <c r="N110" s="46" t="s">
        <v>764</v>
      </c>
    </row>
    <row r="111" ht="15.75" customHeight="1">
      <c r="A111" s="43" t="s">
        <v>1090</v>
      </c>
      <c r="B111" s="43" t="s">
        <v>581</v>
      </c>
      <c r="C111" s="43" t="s">
        <v>385</v>
      </c>
      <c r="D111" s="43" t="s">
        <v>773</v>
      </c>
      <c r="E111" s="43" t="s">
        <v>784</v>
      </c>
      <c r="F111" s="43" t="s">
        <v>751</v>
      </c>
      <c r="G111" s="44">
        <v>2024.0</v>
      </c>
      <c r="H111" s="44">
        <v>1.293</v>
      </c>
      <c r="I111" s="44">
        <v>1.703</v>
      </c>
      <c r="J111" s="44">
        <v>14.0</v>
      </c>
      <c r="K111" s="44">
        <v>7.0</v>
      </c>
      <c r="L111" s="44">
        <v>2.0</v>
      </c>
      <c r="M111" s="45">
        <v>161.98</v>
      </c>
      <c r="N111" s="46" t="s">
        <v>764</v>
      </c>
    </row>
    <row r="112" ht="15.75" customHeight="1">
      <c r="A112" s="43" t="s">
        <v>1092</v>
      </c>
      <c r="B112" s="43" t="s">
        <v>577</v>
      </c>
      <c r="C112" s="43" t="s">
        <v>485</v>
      </c>
      <c r="D112" s="43" t="s">
        <v>637</v>
      </c>
      <c r="E112" s="43" t="s">
        <v>836</v>
      </c>
      <c r="F112" s="43" t="s">
        <v>798</v>
      </c>
      <c r="G112" s="44">
        <v>2023.0</v>
      </c>
      <c r="H112" s="44">
        <v>0.0828</v>
      </c>
      <c r="I112" s="44">
        <v>0.1043</v>
      </c>
      <c r="J112" s="44">
        <v>2.0</v>
      </c>
      <c r="K112" s="44">
        <v>1.0</v>
      </c>
      <c r="L112" s="44">
        <v>1.0</v>
      </c>
      <c r="M112" s="45">
        <v>0.9636</v>
      </c>
      <c r="N112" s="46" t="s">
        <v>764</v>
      </c>
    </row>
    <row r="113" ht="15.75" customHeight="1">
      <c r="A113" s="43" t="s">
        <v>1094</v>
      </c>
      <c r="B113" s="43" t="s">
        <v>581</v>
      </c>
      <c r="C113" s="43" t="s">
        <v>299</v>
      </c>
      <c r="D113" s="43" t="s">
        <v>736</v>
      </c>
      <c r="E113" s="43" t="s">
        <v>842</v>
      </c>
      <c r="F113" s="43" t="s">
        <v>751</v>
      </c>
      <c r="G113" s="44">
        <v>2024.0</v>
      </c>
      <c r="H113" s="44">
        <v>0.1463</v>
      </c>
      <c r="I113" s="44">
        <v>0.1682</v>
      </c>
      <c r="J113" s="44">
        <v>2.0</v>
      </c>
      <c r="K113" s="44">
        <v>1.0</v>
      </c>
      <c r="L113" s="44">
        <v>1.0</v>
      </c>
      <c r="M113" s="45">
        <v>12.51</v>
      </c>
      <c r="N113" s="46" t="s">
        <v>764</v>
      </c>
    </row>
    <row r="114" ht="15.75" customHeight="1">
      <c r="A114" s="43" t="s">
        <v>1095</v>
      </c>
      <c r="B114" s="43" t="s">
        <v>581</v>
      </c>
      <c r="C114" s="43" t="s">
        <v>341</v>
      </c>
      <c r="D114" s="43" t="s">
        <v>783</v>
      </c>
      <c r="E114" s="43" t="s">
        <v>842</v>
      </c>
      <c r="F114" s="43" t="s">
        <v>751</v>
      </c>
      <c r="G114" s="44">
        <v>2024.0</v>
      </c>
      <c r="H114" s="44">
        <v>1.01</v>
      </c>
      <c r="I114" s="44">
        <v>1.1117</v>
      </c>
      <c r="J114" s="44">
        <v>9.0</v>
      </c>
      <c r="K114" s="44">
        <v>7.0</v>
      </c>
      <c r="L114" s="44">
        <v>1.0</v>
      </c>
      <c r="M114" s="45">
        <v>105.16</v>
      </c>
      <c r="N114" s="46" t="s">
        <v>764</v>
      </c>
    </row>
    <row r="115" ht="15.75" customHeight="1">
      <c r="A115" s="43" t="s">
        <v>1098</v>
      </c>
      <c r="B115" s="43" t="s">
        <v>605</v>
      </c>
      <c r="C115" s="43" t="s">
        <v>354</v>
      </c>
      <c r="D115" s="43" t="s">
        <v>905</v>
      </c>
      <c r="E115" s="43" t="s">
        <v>826</v>
      </c>
      <c r="F115" s="43" t="s">
        <v>751</v>
      </c>
      <c r="G115" s="44">
        <v>2024.0</v>
      </c>
      <c r="H115" s="44">
        <v>1.6601</v>
      </c>
      <c r="I115" s="44">
        <v>1.9602</v>
      </c>
      <c r="J115" s="44">
        <v>13.0</v>
      </c>
      <c r="K115" s="44">
        <v>8.0</v>
      </c>
      <c r="L115" s="44">
        <v>2.0</v>
      </c>
      <c r="M115" s="45">
        <v>158.35</v>
      </c>
      <c r="N115" s="46" t="s">
        <v>764</v>
      </c>
    </row>
    <row r="116" ht="15.75" customHeight="1">
      <c r="A116" s="43" t="s">
        <v>1100</v>
      </c>
      <c r="B116" s="43" t="s">
        <v>577</v>
      </c>
      <c r="C116" s="43" t="s">
        <v>372</v>
      </c>
      <c r="D116" s="43" t="s">
        <v>673</v>
      </c>
      <c r="E116" s="43" t="s">
        <v>797</v>
      </c>
      <c r="F116" s="43" t="s">
        <v>798</v>
      </c>
      <c r="G116" s="44">
        <v>2023.0</v>
      </c>
      <c r="H116" s="44">
        <v>0.0407</v>
      </c>
      <c r="I116" s="44">
        <v>0.0448</v>
      </c>
      <c r="J116" s="44">
        <v>2.0</v>
      </c>
      <c r="K116" s="44">
        <v>1.0</v>
      </c>
      <c r="L116" s="44">
        <v>1.0</v>
      </c>
      <c r="M116" s="45">
        <v>0.2027</v>
      </c>
      <c r="N116" s="46" t="s">
        <v>764</v>
      </c>
    </row>
    <row r="117" ht="15.75" customHeight="1">
      <c r="A117" s="43" t="s">
        <v>1102</v>
      </c>
      <c r="B117" s="43" t="s">
        <v>577</v>
      </c>
      <c r="C117" s="43" t="s">
        <v>326</v>
      </c>
      <c r="D117" s="43" t="s">
        <v>658</v>
      </c>
      <c r="E117" s="43" t="s">
        <v>842</v>
      </c>
      <c r="F117" s="43" t="s">
        <v>751</v>
      </c>
      <c r="G117" s="44">
        <v>2024.0</v>
      </c>
      <c r="H117" s="44">
        <v>0.6988</v>
      </c>
      <c r="I117" s="44">
        <v>0.8194</v>
      </c>
      <c r="J117" s="44">
        <v>4.0</v>
      </c>
      <c r="K117" s="44">
        <v>3.0</v>
      </c>
      <c r="L117" s="44">
        <v>1.0</v>
      </c>
      <c r="M117" s="45">
        <v>40.74</v>
      </c>
      <c r="N117" s="46" t="s">
        <v>764</v>
      </c>
    </row>
    <row r="118" ht="15.75" customHeight="1">
      <c r="A118" s="43" t="s">
        <v>1104</v>
      </c>
      <c r="B118" s="43" t="s">
        <v>577</v>
      </c>
      <c r="C118" s="43" t="s">
        <v>51</v>
      </c>
      <c r="D118" s="43" t="s">
        <v>641</v>
      </c>
      <c r="E118" s="43" t="s">
        <v>842</v>
      </c>
      <c r="F118" s="43" t="s">
        <v>751</v>
      </c>
      <c r="G118" s="44">
        <v>2024.0</v>
      </c>
      <c r="H118" s="44">
        <v>0.3986</v>
      </c>
      <c r="I118" s="44">
        <v>0.4724</v>
      </c>
      <c r="J118" s="44">
        <v>6.0</v>
      </c>
      <c r="K118" s="44">
        <v>4.0</v>
      </c>
      <c r="L118" s="44">
        <v>1.0</v>
      </c>
      <c r="M118" s="45">
        <v>23.12</v>
      </c>
      <c r="N118" s="46" t="s">
        <v>764</v>
      </c>
    </row>
    <row r="119" ht="15.75" customHeight="1">
      <c r="A119" s="43" t="s">
        <v>1105</v>
      </c>
      <c r="B119" s="43" t="s">
        <v>605</v>
      </c>
      <c r="C119" s="43" t="s">
        <v>160</v>
      </c>
      <c r="D119" s="43" t="s">
        <v>937</v>
      </c>
      <c r="E119" s="43" t="s">
        <v>842</v>
      </c>
      <c r="F119" s="43" t="s">
        <v>751</v>
      </c>
      <c r="G119" s="44">
        <v>2024.0</v>
      </c>
      <c r="H119" s="44">
        <v>0.2364</v>
      </c>
      <c r="I119" s="44">
        <v>0.2969</v>
      </c>
      <c r="J119" s="44">
        <v>2.0</v>
      </c>
      <c r="K119" s="44">
        <v>1.0</v>
      </c>
      <c r="L119" s="44">
        <v>1.0</v>
      </c>
      <c r="M119" s="45">
        <v>14.64</v>
      </c>
      <c r="N119" s="46" t="s">
        <v>764</v>
      </c>
    </row>
    <row r="120" ht="15.75" customHeight="1">
      <c r="A120" s="43" t="s">
        <v>1107</v>
      </c>
      <c r="B120" s="43" t="s">
        <v>581</v>
      </c>
      <c r="C120" s="43" t="s">
        <v>196</v>
      </c>
      <c r="D120" s="43" t="s">
        <v>750</v>
      </c>
      <c r="E120" s="43" t="s">
        <v>797</v>
      </c>
      <c r="F120" s="43" t="s">
        <v>798</v>
      </c>
      <c r="G120" s="44">
        <v>2023.0</v>
      </c>
      <c r="H120" s="44">
        <v>0.1116</v>
      </c>
      <c r="I120" s="44">
        <v>0.143</v>
      </c>
      <c r="J120" s="44">
        <v>6.0</v>
      </c>
      <c r="K120" s="44">
        <v>5.0</v>
      </c>
      <c r="L120" s="44">
        <v>1.0</v>
      </c>
      <c r="M120" s="45">
        <v>0.4782</v>
      </c>
      <c r="N120" s="46" t="s">
        <v>764</v>
      </c>
    </row>
    <row r="121" ht="15.75" customHeight="1">
      <c r="A121" s="43" t="s">
        <v>1109</v>
      </c>
      <c r="B121" s="43" t="s">
        <v>577</v>
      </c>
      <c r="C121" s="43" t="s">
        <v>487</v>
      </c>
      <c r="D121" s="43" t="s">
        <v>677</v>
      </c>
      <c r="E121" s="43" t="s">
        <v>784</v>
      </c>
      <c r="F121" s="43" t="s">
        <v>751</v>
      </c>
      <c r="G121" s="44">
        <v>2024.0</v>
      </c>
      <c r="H121" s="44">
        <v>0.5688</v>
      </c>
      <c r="I121" s="44">
        <v>0.6328</v>
      </c>
      <c r="J121" s="44">
        <v>6.0</v>
      </c>
      <c r="K121" s="44">
        <v>4.0</v>
      </c>
      <c r="L121" s="44">
        <v>1.0</v>
      </c>
      <c r="M121" s="45">
        <v>43.0</v>
      </c>
      <c r="N121" s="46" t="s">
        <v>764</v>
      </c>
    </row>
    <row r="122" ht="15.75" customHeight="1">
      <c r="A122" s="43" t="s">
        <v>1111</v>
      </c>
      <c r="B122" s="43" t="s">
        <v>577</v>
      </c>
      <c r="C122" s="43" t="s">
        <v>499</v>
      </c>
      <c r="D122" s="43" t="s">
        <v>651</v>
      </c>
      <c r="E122" s="43" t="s">
        <v>842</v>
      </c>
      <c r="F122" s="43" t="s">
        <v>751</v>
      </c>
      <c r="G122" s="44">
        <v>2024.0</v>
      </c>
      <c r="H122" s="44">
        <v>0.2651</v>
      </c>
      <c r="I122" s="44">
        <v>0.3462</v>
      </c>
      <c r="J122" s="44">
        <v>4.0</v>
      </c>
      <c r="K122" s="44">
        <v>3.0</v>
      </c>
      <c r="L122" s="44">
        <v>1.0</v>
      </c>
      <c r="M122" s="45">
        <v>22.19</v>
      </c>
      <c r="N122" s="46" t="s">
        <v>764</v>
      </c>
    </row>
    <row r="123" ht="15.75" customHeight="1">
      <c r="A123" s="43" t="s">
        <v>1112</v>
      </c>
      <c r="B123" s="43" t="s">
        <v>577</v>
      </c>
      <c r="C123" s="43" t="s">
        <v>78</v>
      </c>
      <c r="D123" s="43" t="s">
        <v>680</v>
      </c>
      <c r="E123" s="43" t="s">
        <v>749</v>
      </c>
      <c r="F123" s="43" t="s">
        <v>751</v>
      </c>
      <c r="G123" s="44">
        <v>2024.0</v>
      </c>
      <c r="H123" s="44">
        <v>0.0087</v>
      </c>
      <c r="I123" s="44">
        <v>0.0097</v>
      </c>
      <c r="J123" s="44">
        <v>2.0</v>
      </c>
      <c r="K123" s="44">
        <v>1.0</v>
      </c>
      <c r="L123" s="44">
        <v>1.0</v>
      </c>
      <c r="M123" s="45">
        <v>0.65</v>
      </c>
      <c r="N123" s="46" t="s">
        <v>764</v>
      </c>
    </row>
    <row r="124" ht="15.75" customHeight="1">
      <c r="A124" s="43" t="s">
        <v>1114</v>
      </c>
      <c r="B124" s="43" t="s">
        <v>577</v>
      </c>
      <c r="C124" s="43" t="s">
        <v>229</v>
      </c>
      <c r="D124" s="43" t="s">
        <v>630</v>
      </c>
      <c r="E124" s="43" t="s">
        <v>836</v>
      </c>
      <c r="F124" s="43" t="s">
        <v>798</v>
      </c>
      <c r="G124" s="44">
        <v>2023.0</v>
      </c>
      <c r="H124" s="44">
        <v>0.1395</v>
      </c>
      <c r="I124" s="44">
        <v>0.1565</v>
      </c>
      <c r="J124" s="44">
        <v>3.0</v>
      </c>
      <c r="K124" s="44">
        <v>1.0</v>
      </c>
      <c r="L124" s="44">
        <v>1.0</v>
      </c>
      <c r="M124" s="45">
        <v>1.4351</v>
      </c>
      <c r="N124" s="46" t="s">
        <v>764</v>
      </c>
    </row>
    <row r="125" ht="15.75" customHeight="1">
      <c r="A125" s="43" t="s">
        <v>1116</v>
      </c>
      <c r="B125" s="43" t="s">
        <v>596</v>
      </c>
      <c r="C125" s="43" t="s">
        <v>392</v>
      </c>
      <c r="D125" s="43" t="s">
        <v>838</v>
      </c>
      <c r="E125" s="43" t="s">
        <v>784</v>
      </c>
      <c r="F125" s="43" t="s">
        <v>751</v>
      </c>
      <c r="G125" s="44">
        <v>2024.0</v>
      </c>
      <c r="H125" s="44">
        <v>0.3423</v>
      </c>
      <c r="I125" s="44">
        <v>0.432</v>
      </c>
      <c r="J125" s="44">
        <v>6.0</v>
      </c>
      <c r="K125" s="44">
        <v>5.0</v>
      </c>
      <c r="L125" s="44">
        <v>1.0</v>
      </c>
      <c r="M125" s="45">
        <v>23.47</v>
      </c>
      <c r="N125" s="46" t="s">
        <v>764</v>
      </c>
    </row>
    <row r="126" ht="15.75" customHeight="1">
      <c r="A126" s="43" t="s">
        <v>1118</v>
      </c>
      <c r="B126" s="43" t="s">
        <v>603</v>
      </c>
      <c r="C126" s="43" t="s">
        <v>509</v>
      </c>
      <c r="D126" s="43" t="s">
        <v>885</v>
      </c>
      <c r="E126" s="43" t="s">
        <v>842</v>
      </c>
      <c r="F126" s="43" t="s">
        <v>751</v>
      </c>
      <c r="G126" s="44">
        <v>2024.0</v>
      </c>
      <c r="H126" s="44">
        <v>0.3491</v>
      </c>
      <c r="I126" s="44">
        <v>0.4114</v>
      </c>
      <c r="J126" s="44">
        <v>2.0</v>
      </c>
      <c r="K126" s="44">
        <v>1.0</v>
      </c>
      <c r="L126" s="44">
        <v>1.0</v>
      </c>
      <c r="M126" s="45">
        <v>31.01</v>
      </c>
      <c r="N126" s="46" t="s">
        <v>764</v>
      </c>
    </row>
    <row r="127" ht="15.75" customHeight="1">
      <c r="A127" s="43" t="s">
        <v>1120</v>
      </c>
      <c r="B127" s="43" t="s">
        <v>603</v>
      </c>
      <c r="C127" s="43" t="s">
        <v>521</v>
      </c>
      <c r="D127" s="43" t="s">
        <v>882</v>
      </c>
      <c r="E127" s="43" t="s">
        <v>784</v>
      </c>
      <c r="F127" s="43" t="s">
        <v>751</v>
      </c>
      <c r="G127" s="44">
        <v>2024.0</v>
      </c>
      <c r="H127" s="44">
        <v>0.6454</v>
      </c>
      <c r="I127" s="44">
        <v>0.7635</v>
      </c>
      <c r="J127" s="44">
        <v>7.0</v>
      </c>
      <c r="K127" s="44">
        <v>5.0</v>
      </c>
      <c r="L127" s="44">
        <v>1.0</v>
      </c>
      <c r="M127" s="45">
        <v>56.44</v>
      </c>
      <c r="N127" s="46" t="s">
        <v>764</v>
      </c>
    </row>
    <row r="128" ht="15.75" customHeight="1">
      <c r="A128" s="43" t="s">
        <v>1122</v>
      </c>
      <c r="B128" s="43" t="s">
        <v>581</v>
      </c>
      <c r="C128" s="43" t="s">
        <v>341</v>
      </c>
      <c r="D128" s="43" t="s">
        <v>783</v>
      </c>
      <c r="E128" s="43" t="s">
        <v>836</v>
      </c>
      <c r="F128" s="43" t="s">
        <v>798</v>
      </c>
      <c r="G128" s="44">
        <v>2023.0</v>
      </c>
      <c r="H128" s="44">
        <v>0.1556</v>
      </c>
      <c r="I128" s="44">
        <v>0.1819</v>
      </c>
      <c r="J128" s="44">
        <v>2.0</v>
      </c>
      <c r="K128" s="44">
        <v>1.0</v>
      </c>
      <c r="L128" s="44">
        <v>1.0</v>
      </c>
      <c r="M128" s="45">
        <v>1.6718</v>
      </c>
      <c r="N128" s="46" t="s">
        <v>764</v>
      </c>
    </row>
    <row r="129" ht="15.75" customHeight="1">
      <c r="A129" s="43" t="s">
        <v>1123</v>
      </c>
      <c r="B129" s="43" t="s">
        <v>581</v>
      </c>
      <c r="C129" s="43" t="s">
        <v>202</v>
      </c>
      <c r="D129" s="43" t="s">
        <v>803</v>
      </c>
      <c r="E129" s="43" t="s">
        <v>836</v>
      </c>
      <c r="F129" s="43" t="s">
        <v>798</v>
      </c>
      <c r="G129" s="44">
        <v>2023.0</v>
      </c>
      <c r="H129" s="44">
        <v>0.2055</v>
      </c>
      <c r="I129" s="44">
        <v>0.2451</v>
      </c>
      <c r="J129" s="44">
        <v>2.0</v>
      </c>
      <c r="K129" s="44">
        <v>1.0</v>
      </c>
      <c r="L129" s="44">
        <v>1.0</v>
      </c>
      <c r="M129" s="45">
        <v>1.5351</v>
      </c>
      <c r="N129" s="46" t="s">
        <v>764</v>
      </c>
    </row>
    <row r="130" ht="15.75" customHeight="1">
      <c r="A130" s="43" t="s">
        <v>1125</v>
      </c>
      <c r="B130" s="43" t="s">
        <v>577</v>
      </c>
      <c r="C130" s="43" t="s">
        <v>326</v>
      </c>
      <c r="D130" s="43" t="s">
        <v>658</v>
      </c>
      <c r="E130" s="43" t="s">
        <v>826</v>
      </c>
      <c r="F130" s="43" t="s">
        <v>751</v>
      </c>
      <c r="G130" s="44">
        <v>2024.0</v>
      </c>
      <c r="H130" s="44">
        <v>0.5551</v>
      </c>
      <c r="I130" s="44">
        <v>0.6081</v>
      </c>
      <c r="J130" s="44">
        <v>5.0</v>
      </c>
      <c r="K130" s="44">
        <v>3.0</v>
      </c>
      <c r="L130" s="44">
        <v>1.0</v>
      </c>
      <c r="M130" s="45">
        <v>52.19</v>
      </c>
      <c r="N130" s="46" t="s">
        <v>764</v>
      </c>
    </row>
    <row r="131" ht="15.75" customHeight="1">
      <c r="A131" s="43" t="s">
        <v>1127</v>
      </c>
      <c r="B131" s="43" t="s">
        <v>596</v>
      </c>
      <c r="C131" s="43" t="s">
        <v>265</v>
      </c>
      <c r="D131" s="43" t="s">
        <v>829</v>
      </c>
      <c r="E131" s="43" t="s">
        <v>784</v>
      </c>
      <c r="F131" s="43" t="s">
        <v>751</v>
      </c>
      <c r="G131" s="44">
        <v>2024.0</v>
      </c>
      <c r="H131" s="44">
        <v>0.6208</v>
      </c>
      <c r="I131" s="44">
        <v>0.7772</v>
      </c>
      <c r="J131" s="44">
        <v>6.0</v>
      </c>
      <c r="K131" s="44">
        <v>5.0</v>
      </c>
      <c r="L131" s="44">
        <v>1.0</v>
      </c>
      <c r="M131" s="45">
        <v>58.59</v>
      </c>
      <c r="N131" s="46" t="s">
        <v>764</v>
      </c>
    </row>
    <row r="132" ht="15.75" customHeight="1">
      <c r="A132" s="43" t="s">
        <v>1129</v>
      </c>
      <c r="B132" s="43" t="s">
        <v>603</v>
      </c>
      <c r="C132" s="43" t="s">
        <v>521</v>
      </c>
      <c r="D132" s="43" t="s">
        <v>882</v>
      </c>
      <c r="E132" s="43" t="s">
        <v>826</v>
      </c>
      <c r="F132" s="43" t="s">
        <v>751</v>
      </c>
      <c r="G132" s="44">
        <v>2024.0</v>
      </c>
      <c r="H132" s="44">
        <v>0.4519</v>
      </c>
      <c r="I132" s="44">
        <v>0.4946</v>
      </c>
      <c r="J132" s="44">
        <v>3.0</v>
      </c>
      <c r="K132" s="44">
        <v>2.0</v>
      </c>
      <c r="L132" s="44">
        <v>1.0</v>
      </c>
      <c r="M132" s="45">
        <v>26.72</v>
      </c>
      <c r="N132" s="46" t="s">
        <v>764</v>
      </c>
    </row>
    <row r="133" ht="15.75" customHeight="1">
      <c r="A133" s="43" t="s">
        <v>1131</v>
      </c>
      <c r="B133" s="43" t="s">
        <v>581</v>
      </c>
      <c r="C133" s="43" t="s">
        <v>479</v>
      </c>
      <c r="D133" s="43" t="s">
        <v>811</v>
      </c>
      <c r="E133" s="43" t="s">
        <v>749</v>
      </c>
      <c r="F133" s="43" t="s">
        <v>751</v>
      </c>
      <c r="G133" s="44">
        <v>2024.0</v>
      </c>
      <c r="H133" s="44">
        <v>0.0125</v>
      </c>
      <c r="I133" s="44">
        <v>0.0153</v>
      </c>
      <c r="J133" s="44">
        <v>2.0</v>
      </c>
      <c r="K133" s="44">
        <v>1.0</v>
      </c>
      <c r="L133" s="44">
        <v>1.0</v>
      </c>
      <c r="M133" s="45">
        <v>1.1</v>
      </c>
      <c r="N133" s="46" t="s">
        <v>764</v>
      </c>
    </row>
    <row r="134" ht="15.75" customHeight="1">
      <c r="A134" s="43" t="s">
        <v>1133</v>
      </c>
      <c r="B134" s="43" t="s">
        <v>605</v>
      </c>
      <c r="C134" s="43" t="s">
        <v>221</v>
      </c>
      <c r="D134" s="43" t="s">
        <v>841</v>
      </c>
      <c r="E134" s="43" t="s">
        <v>817</v>
      </c>
      <c r="F134" s="43" t="s">
        <v>798</v>
      </c>
      <c r="G134" s="44">
        <v>2023.0</v>
      </c>
      <c r="H134" s="44">
        <v>0.2252</v>
      </c>
      <c r="I134" s="44">
        <v>0.2962</v>
      </c>
      <c r="J134" s="44">
        <v>2.0</v>
      </c>
      <c r="K134" s="44">
        <v>1.0</v>
      </c>
      <c r="L134" s="44">
        <v>1.0</v>
      </c>
      <c r="M134" s="45">
        <v>1.1198</v>
      </c>
      <c r="N134" s="46" t="s">
        <v>764</v>
      </c>
    </row>
    <row r="135" ht="15.75" customHeight="1">
      <c r="A135" s="43" t="s">
        <v>1135</v>
      </c>
      <c r="B135" s="43" t="s">
        <v>577</v>
      </c>
      <c r="C135" s="43" t="s">
        <v>51</v>
      </c>
      <c r="D135" s="43" t="s">
        <v>641</v>
      </c>
      <c r="E135" s="43" t="s">
        <v>797</v>
      </c>
      <c r="F135" s="43" t="s">
        <v>798</v>
      </c>
      <c r="G135" s="44">
        <v>2023.0</v>
      </c>
      <c r="H135" s="44">
        <v>0.1253</v>
      </c>
      <c r="I135" s="44">
        <v>0.1369</v>
      </c>
      <c r="J135" s="44">
        <v>2.0</v>
      </c>
      <c r="K135" s="44">
        <v>1.0</v>
      </c>
      <c r="L135" s="44">
        <v>1.0</v>
      </c>
      <c r="M135" s="45">
        <v>0.7769</v>
      </c>
      <c r="N135" s="46" t="s">
        <v>764</v>
      </c>
    </row>
    <row r="136" ht="15.75" customHeight="1">
      <c r="A136" s="43" t="s">
        <v>1138</v>
      </c>
      <c r="B136" s="43" t="s">
        <v>581</v>
      </c>
      <c r="C136" s="43" t="s">
        <v>252</v>
      </c>
      <c r="D136" s="43" t="s">
        <v>714</v>
      </c>
      <c r="E136" s="43" t="s">
        <v>797</v>
      </c>
      <c r="F136" s="43" t="s">
        <v>798</v>
      </c>
      <c r="G136" s="44">
        <v>2023.0</v>
      </c>
      <c r="H136" s="44">
        <v>0.0731</v>
      </c>
      <c r="I136" s="44">
        <v>0.0981</v>
      </c>
      <c r="J136" s="44">
        <v>4.0</v>
      </c>
      <c r="K136" s="44">
        <v>3.0</v>
      </c>
      <c r="L136" s="44">
        <v>1.0</v>
      </c>
      <c r="M136" s="45">
        <v>0.2939</v>
      </c>
      <c r="N136" s="46" t="s">
        <v>764</v>
      </c>
    </row>
    <row r="137" ht="15.75" customHeight="1">
      <c r="A137" s="43" t="s">
        <v>1140</v>
      </c>
      <c r="B137" s="43" t="s">
        <v>603</v>
      </c>
      <c r="C137" s="43" t="s">
        <v>272</v>
      </c>
      <c r="D137" s="43" t="s">
        <v>891</v>
      </c>
      <c r="E137" s="43" t="s">
        <v>797</v>
      </c>
      <c r="F137" s="43" t="s">
        <v>798</v>
      </c>
      <c r="G137" s="44">
        <v>2023.0</v>
      </c>
      <c r="H137" s="44">
        <v>0.1056</v>
      </c>
      <c r="I137" s="44">
        <v>0.1279</v>
      </c>
      <c r="J137" s="44">
        <v>3.0</v>
      </c>
      <c r="K137" s="44">
        <v>1.0</v>
      </c>
      <c r="L137" s="44">
        <v>1.0</v>
      </c>
      <c r="M137" s="45">
        <v>0.5922</v>
      </c>
      <c r="N137" s="46" t="s">
        <v>764</v>
      </c>
    </row>
    <row r="138" ht="15.75" customHeight="1">
      <c r="A138" s="43" t="s">
        <v>1142</v>
      </c>
      <c r="B138" s="43" t="s">
        <v>581</v>
      </c>
      <c r="C138" s="43" t="s">
        <v>436</v>
      </c>
      <c r="D138" s="43" t="s">
        <v>793</v>
      </c>
      <c r="E138" s="43" t="s">
        <v>842</v>
      </c>
      <c r="F138" s="43" t="s">
        <v>751</v>
      </c>
      <c r="G138" s="44">
        <v>2024.0</v>
      </c>
      <c r="H138" s="44">
        <v>0.3104</v>
      </c>
      <c r="I138" s="44">
        <v>0.4172</v>
      </c>
      <c r="J138" s="44">
        <v>2.0</v>
      </c>
      <c r="K138" s="44">
        <v>1.0</v>
      </c>
      <c r="L138" s="44">
        <v>1.0</v>
      </c>
      <c r="M138" s="45">
        <v>23.54</v>
      </c>
      <c r="N138" s="46" t="s">
        <v>764</v>
      </c>
    </row>
    <row r="139" ht="15.75" customHeight="1">
      <c r="A139" s="43" t="s">
        <v>1144</v>
      </c>
      <c r="B139" s="43" t="s">
        <v>605</v>
      </c>
      <c r="C139" s="43" t="s">
        <v>497</v>
      </c>
      <c r="D139" s="43" t="s">
        <v>912</v>
      </c>
      <c r="E139" s="43" t="s">
        <v>784</v>
      </c>
      <c r="F139" s="43" t="s">
        <v>751</v>
      </c>
      <c r="G139" s="44">
        <v>2024.0</v>
      </c>
      <c r="H139" s="44">
        <v>1.3473</v>
      </c>
      <c r="I139" s="44">
        <v>1.5519</v>
      </c>
      <c r="J139" s="44">
        <v>11.0</v>
      </c>
      <c r="K139" s="44">
        <v>9.0</v>
      </c>
      <c r="L139" s="44">
        <v>1.0</v>
      </c>
      <c r="M139" s="45">
        <v>108.87</v>
      </c>
      <c r="N139" s="46" t="s">
        <v>764</v>
      </c>
    </row>
    <row r="140" ht="15.75" customHeight="1">
      <c r="A140" s="43" t="s">
        <v>1149</v>
      </c>
      <c r="B140" s="43" t="s">
        <v>605</v>
      </c>
      <c r="C140" s="43" t="s">
        <v>408</v>
      </c>
      <c r="D140" s="43" t="s">
        <v>847</v>
      </c>
      <c r="E140" s="43" t="s">
        <v>842</v>
      </c>
      <c r="F140" s="43" t="s">
        <v>751</v>
      </c>
      <c r="G140" s="44">
        <v>2024.0</v>
      </c>
      <c r="H140" s="44">
        <v>0.3219</v>
      </c>
      <c r="I140" s="44">
        <v>0.4197</v>
      </c>
      <c r="J140" s="44">
        <v>5.0</v>
      </c>
      <c r="K140" s="44">
        <v>4.0</v>
      </c>
      <c r="L140" s="44">
        <v>1.0</v>
      </c>
      <c r="M140" s="45">
        <v>39.52</v>
      </c>
      <c r="N140" s="46" t="s">
        <v>764</v>
      </c>
    </row>
    <row r="141" ht="15.75" customHeight="1">
      <c r="A141" s="43" t="s">
        <v>1151</v>
      </c>
      <c r="B141" s="43" t="s">
        <v>577</v>
      </c>
      <c r="C141" s="43" t="s">
        <v>501</v>
      </c>
      <c r="D141" s="43" t="s">
        <v>691</v>
      </c>
      <c r="E141" s="43" t="s">
        <v>784</v>
      </c>
      <c r="F141" s="43" t="s">
        <v>751</v>
      </c>
      <c r="G141" s="44">
        <v>2024.0</v>
      </c>
      <c r="H141" s="44">
        <v>0.3809</v>
      </c>
      <c r="I141" s="44">
        <v>0.4501</v>
      </c>
      <c r="J141" s="44">
        <v>9.0</v>
      </c>
      <c r="K141" s="44">
        <v>5.0</v>
      </c>
      <c r="L141" s="44">
        <v>1.0</v>
      </c>
      <c r="M141" s="45">
        <v>33.47</v>
      </c>
      <c r="N141" s="46" t="s">
        <v>764</v>
      </c>
    </row>
    <row r="142" ht="15.75" customHeight="1">
      <c r="A142" s="43" t="s">
        <v>1152</v>
      </c>
      <c r="B142" s="43" t="s">
        <v>577</v>
      </c>
      <c r="C142" s="43" t="s">
        <v>286</v>
      </c>
      <c r="D142" s="43" t="s">
        <v>644</v>
      </c>
      <c r="E142" s="43" t="s">
        <v>836</v>
      </c>
      <c r="F142" s="43" t="s">
        <v>798</v>
      </c>
      <c r="G142" s="44">
        <v>2023.0</v>
      </c>
      <c r="H142" s="44">
        <v>0.1174</v>
      </c>
      <c r="I142" s="44">
        <v>0.1409</v>
      </c>
      <c r="J142" s="44">
        <v>2.0</v>
      </c>
      <c r="K142" s="44">
        <v>2.0</v>
      </c>
      <c r="L142" s="44">
        <v>1.0</v>
      </c>
      <c r="M142" s="45">
        <v>1.7376</v>
      </c>
      <c r="N142" s="46" t="s">
        <v>764</v>
      </c>
    </row>
    <row r="143" ht="15.75" customHeight="1">
      <c r="A143" s="43" t="s">
        <v>1154</v>
      </c>
      <c r="B143" s="43" t="s">
        <v>581</v>
      </c>
      <c r="C143" s="43" t="s">
        <v>505</v>
      </c>
      <c r="D143" s="43" t="s">
        <v>799</v>
      </c>
      <c r="E143" s="43" t="s">
        <v>842</v>
      </c>
      <c r="F143" s="43" t="s">
        <v>751</v>
      </c>
      <c r="G143" s="44">
        <v>2024.0</v>
      </c>
      <c r="H143" s="44">
        <v>0.6656</v>
      </c>
      <c r="I143" s="44">
        <v>0.7325</v>
      </c>
      <c r="J143" s="44">
        <v>6.0</v>
      </c>
      <c r="K143" s="44">
        <v>4.0</v>
      </c>
      <c r="L143" s="44">
        <v>1.0</v>
      </c>
      <c r="M143" s="45">
        <v>53.61</v>
      </c>
      <c r="N143" s="46" t="s">
        <v>764</v>
      </c>
    </row>
    <row r="144" ht="15.75" customHeight="1">
      <c r="A144" s="43" t="s">
        <v>1156</v>
      </c>
      <c r="B144" s="43" t="s">
        <v>581</v>
      </c>
      <c r="C144" s="43" t="s">
        <v>430</v>
      </c>
      <c r="D144" s="43" t="s">
        <v>741</v>
      </c>
      <c r="E144" s="43" t="s">
        <v>784</v>
      </c>
      <c r="F144" s="43" t="s">
        <v>751</v>
      </c>
      <c r="G144" s="44">
        <v>2024.0</v>
      </c>
      <c r="H144" s="44">
        <v>0.9237</v>
      </c>
      <c r="I144" s="44">
        <v>1.0681</v>
      </c>
      <c r="J144" s="44">
        <v>8.0</v>
      </c>
      <c r="K144" s="44">
        <v>5.0</v>
      </c>
      <c r="L144" s="44">
        <v>1.0</v>
      </c>
      <c r="M144" s="45">
        <v>66.95</v>
      </c>
      <c r="N144" s="46" t="s">
        <v>764</v>
      </c>
    </row>
    <row r="145" ht="15.75" customHeight="1">
      <c r="A145" s="43" t="s">
        <v>1158</v>
      </c>
      <c r="B145" s="43" t="s">
        <v>596</v>
      </c>
      <c r="C145" s="43" t="s">
        <v>211</v>
      </c>
      <c r="D145" s="43" t="s">
        <v>868</v>
      </c>
      <c r="E145" s="43" t="s">
        <v>817</v>
      </c>
      <c r="F145" s="43" t="s">
        <v>798</v>
      </c>
      <c r="G145" s="44">
        <v>2023.0</v>
      </c>
      <c r="H145" s="44">
        <v>0.1786</v>
      </c>
      <c r="I145" s="44">
        <v>0.2343</v>
      </c>
      <c r="J145" s="44">
        <v>2.0</v>
      </c>
      <c r="K145" s="44">
        <v>1.0</v>
      </c>
      <c r="L145" s="44">
        <v>1.0</v>
      </c>
      <c r="M145" s="45">
        <v>1.1372</v>
      </c>
      <c r="N145" s="46" t="s">
        <v>764</v>
      </c>
    </row>
    <row r="146" ht="15.75" customHeight="1">
      <c r="A146" s="43" t="s">
        <v>1160</v>
      </c>
      <c r="B146" s="43" t="s">
        <v>581</v>
      </c>
      <c r="C146" s="43" t="s">
        <v>477</v>
      </c>
      <c r="D146" s="43" t="s">
        <v>759</v>
      </c>
      <c r="E146" s="43" t="s">
        <v>749</v>
      </c>
      <c r="F146" s="43" t="s">
        <v>751</v>
      </c>
      <c r="G146" s="44">
        <v>2024.0</v>
      </c>
      <c r="H146" s="44">
        <v>0.0054</v>
      </c>
      <c r="I146" s="44">
        <v>0.0059</v>
      </c>
      <c r="J146" s="44">
        <v>2.0</v>
      </c>
      <c r="K146" s="44">
        <v>1.0</v>
      </c>
      <c r="L146" s="44">
        <v>1.0</v>
      </c>
      <c r="M146" s="45">
        <v>0.44</v>
      </c>
      <c r="N146" s="46" t="s">
        <v>764</v>
      </c>
    </row>
    <row r="147" ht="15.75" customHeight="1">
      <c r="A147" s="43" t="s">
        <v>1162</v>
      </c>
      <c r="B147" s="43" t="s">
        <v>581</v>
      </c>
      <c r="C147" s="43" t="s">
        <v>430</v>
      </c>
      <c r="D147" s="43" t="s">
        <v>741</v>
      </c>
      <c r="E147" s="43" t="s">
        <v>826</v>
      </c>
      <c r="F147" s="43" t="s">
        <v>751</v>
      </c>
      <c r="G147" s="44">
        <v>2024.0</v>
      </c>
      <c r="H147" s="44">
        <v>0.3872</v>
      </c>
      <c r="I147" s="44">
        <v>0.4187</v>
      </c>
      <c r="J147" s="44">
        <v>4.0</v>
      </c>
      <c r="K147" s="44">
        <v>2.0</v>
      </c>
      <c r="L147" s="44">
        <v>1.0</v>
      </c>
      <c r="M147" s="45">
        <v>22.84</v>
      </c>
      <c r="N147" s="46" t="s">
        <v>764</v>
      </c>
    </row>
    <row r="148" ht="15.75" customHeight="1">
      <c r="A148" s="43" t="s">
        <v>1164</v>
      </c>
      <c r="B148" s="43" t="s">
        <v>605</v>
      </c>
      <c r="C148" s="43" t="s">
        <v>221</v>
      </c>
      <c r="D148" s="43" t="s">
        <v>841</v>
      </c>
      <c r="E148" s="43" t="s">
        <v>826</v>
      </c>
      <c r="F148" s="43" t="s">
        <v>751</v>
      </c>
      <c r="G148" s="44">
        <v>2024.0</v>
      </c>
      <c r="H148" s="44">
        <v>0.3031</v>
      </c>
      <c r="I148" s="44">
        <v>0.3767</v>
      </c>
      <c r="J148" s="44">
        <v>3.0</v>
      </c>
      <c r="K148" s="44">
        <v>2.0</v>
      </c>
      <c r="L148" s="44">
        <v>1.0</v>
      </c>
      <c r="M148" s="45">
        <v>28.81</v>
      </c>
      <c r="N148" s="46" t="s">
        <v>764</v>
      </c>
    </row>
    <row r="149" ht="15.75" customHeight="1">
      <c r="A149" s="43" t="s">
        <v>1165</v>
      </c>
      <c r="B149" s="43" t="s">
        <v>603</v>
      </c>
      <c r="C149" s="43" t="s">
        <v>495</v>
      </c>
      <c r="D149" s="43" t="s">
        <v>900</v>
      </c>
      <c r="E149" s="43" t="s">
        <v>749</v>
      </c>
      <c r="F149" s="43" t="s">
        <v>751</v>
      </c>
      <c r="G149" s="44">
        <v>2024.0</v>
      </c>
      <c r="H149" s="44">
        <v>0.0178</v>
      </c>
      <c r="I149" s="44">
        <v>0.0215</v>
      </c>
      <c r="J149" s="44">
        <v>2.0</v>
      </c>
      <c r="K149" s="44">
        <v>1.0</v>
      </c>
      <c r="L149" s="44">
        <v>1.0</v>
      </c>
      <c r="M149" s="45">
        <v>1.36</v>
      </c>
      <c r="N149" s="46" t="s">
        <v>764</v>
      </c>
    </row>
    <row r="150" ht="15.75" customHeight="1">
      <c r="A150" s="43" t="s">
        <v>1167</v>
      </c>
      <c r="B150" s="43" t="s">
        <v>581</v>
      </c>
      <c r="C150" s="43" t="s">
        <v>479</v>
      </c>
      <c r="D150" s="43" t="s">
        <v>811</v>
      </c>
      <c r="E150" s="43" t="s">
        <v>826</v>
      </c>
      <c r="F150" s="43" t="s">
        <v>751</v>
      </c>
      <c r="G150" s="44">
        <v>2024.0</v>
      </c>
      <c r="H150" s="44">
        <v>2.6037</v>
      </c>
      <c r="I150" s="44">
        <v>3.1431</v>
      </c>
      <c r="J150" s="44">
        <v>28.0</v>
      </c>
      <c r="K150" s="44">
        <v>17.0</v>
      </c>
      <c r="L150" s="44">
        <v>2.0</v>
      </c>
      <c r="M150" s="45">
        <v>239.37</v>
      </c>
      <c r="N150" s="46" t="s">
        <v>764</v>
      </c>
    </row>
    <row r="151" ht="15.75" customHeight="1">
      <c r="A151" s="43" t="s">
        <v>1169</v>
      </c>
      <c r="B151" s="43" t="s">
        <v>577</v>
      </c>
      <c r="C151" s="43" t="s">
        <v>487</v>
      </c>
      <c r="D151" s="43" t="s">
        <v>677</v>
      </c>
      <c r="E151" s="43" t="s">
        <v>836</v>
      </c>
      <c r="F151" s="43" t="s">
        <v>798</v>
      </c>
      <c r="G151" s="44">
        <v>2023.0</v>
      </c>
      <c r="H151" s="44">
        <v>0.2745</v>
      </c>
      <c r="I151" s="44">
        <v>0.315</v>
      </c>
      <c r="J151" s="44">
        <v>2.0</v>
      </c>
      <c r="K151" s="44">
        <v>1.0</v>
      </c>
      <c r="L151" s="44">
        <v>1.0</v>
      </c>
      <c r="M151" s="45">
        <v>2.4814</v>
      </c>
      <c r="N151" s="46" t="s">
        <v>764</v>
      </c>
    </row>
    <row r="152" ht="15.75" customHeight="1">
      <c r="A152" s="43" t="s">
        <v>1171</v>
      </c>
      <c r="B152" s="43" t="s">
        <v>581</v>
      </c>
      <c r="C152" s="43" t="s">
        <v>196</v>
      </c>
      <c r="D152" s="43" t="s">
        <v>750</v>
      </c>
      <c r="E152" s="43" t="s">
        <v>817</v>
      </c>
      <c r="F152" s="43" t="s">
        <v>798</v>
      </c>
      <c r="G152" s="44">
        <v>2023.0</v>
      </c>
      <c r="H152" s="44">
        <v>0.1685</v>
      </c>
      <c r="I152" s="44">
        <v>0.2164</v>
      </c>
      <c r="J152" s="44">
        <v>2.0</v>
      </c>
      <c r="K152" s="44">
        <v>1.0</v>
      </c>
      <c r="L152" s="44">
        <v>1.0</v>
      </c>
      <c r="M152" s="45">
        <v>1.1756</v>
      </c>
      <c r="N152" s="46" t="s">
        <v>764</v>
      </c>
    </row>
    <row r="153" ht="15.75" customHeight="1">
      <c r="A153" s="43" t="s">
        <v>1173</v>
      </c>
      <c r="B153" s="43" t="s">
        <v>577</v>
      </c>
      <c r="C153" s="43" t="s">
        <v>499</v>
      </c>
      <c r="D153" s="43" t="s">
        <v>651</v>
      </c>
      <c r="E153" s="43" t="s">
        <v>797</v>
      </c>
      <c r="F153" s="43" t="s">
        <v>798</v>
      </c>
      <c r="G153" s="44">
        <v>2023.0</v>
      </c>
      <c r="H153" s="44">
        <v>0.0278</v>
      </c>
      <c r="I153" s="44">
        <v>0.031</v>
      </c>
      <c r="J153" s="44">
        <v>2.0</v>
      </c>
      <c r="K153" s="44">
        <v>1.0</v>
      </c>
      <c r="L153" s="44">
        <v>1.0</v>
      </c>
      <c r="M153" s="45">
        <v>0.2363</v>
      </c>
      <c r="N153" s="46" t="s">
        <v>764</v>
      </c>
    </row>
    <row r="154" ht="15.75" customHeight="1">
      <c r="A154" s="43" t="s">
        <v>1174</v>
      </c>
      <c r="B154" s="43" t="s">
        <v>596</v>
      </c>
      <c r="C154" s="43" t="s">
        <v>443</v>
      </c>
      <c r="D154" s="43" t="s">
        <v>808</v>
      </c>
      <c r="E154" s="43" t="s">
        <v>784</v>
      </c>
      <c r="F154" s="43" t="s">
        <v>751</v>
      </c>
      <c r="G154" s="44">
        <v>2024.0</v>
      </c>
      <c r="H154" s="44">
        <v>0.5562</v>
      </c>
      <c r="I154" s="44">
        <v>0.737</v>
      </c>
      <c r="J154" s="44">
        <v>5.0</v>
      </c>
      <c r="K154" s="44">
        <v>3.0</v>
      </c>
      <c r="L154" s="44">
        <v>1.0</v>
      </c>
      <c r="M154" s="45">
        <v>59.27</v>
      </c>
      <c r="N154" s="46" t="s">
        <v>764</v>
      </c>
    </row>
    <row r="155" ht="15.75" customHeight="1">
      <c r="A155" s="43" t="s">
        <v>1175</v>
      </c>
      <c r="B155" s="43" t="s">
        <v>577</v>
      </c>
      <c r="C155" s="43" t="s">
        <v>169</v>
      </c>
      <c r="D155" s="43" t="s">
        <v>655</v>
      </c>
      <c r="E155" s="43" t="s">
        <v>842</v>
      </c>
      <c r="F155" s="43" t="s">
        <v>751</v>
      </c>
      <c r="G155" s="44">
        <v>2024.0</v>
      </c>
      <c r="H155" s="44">
        <v>1.1549</v>
      </c>
      <c r="I155" s="44">
        <v>1.2515</v>
      </c>
      <c r="J155" s="44">
        <v>12.0</v>
      </c>
      <c r="K155" s="44">
        <v>7.0</v>
      </c>
      <c r="L155" s="44">
        <v>1.0</v>
      </c>
      <c r="M155" s="45">
        <v>65.36</v>
      </c>
      <c r="N155" s="46" t="s">
        <v>764</v>
      </c>
    </row>
    <row r="156" ht="15.75" customHeight="1">
      <c r="A156" s="43" t="s">
        <v>1176</v>
      </c>
      <c r="B156" s="43" t="s">
        <v>605</v>
      </c>
      <c r="C156" s="43" t="s">
        <v>221</v>
      </c>
      <c r="D156" s="43" t="s">
        <v>841</v>
      </c>
      <c r="E156" s="43" t="s">
        <v>797</v>
      </c>
      <c r="F156" s="43" t="s">
        <v>798</v>
      </c>
      <c r="G156" s="44">
        <v>2023.0</v>
      </c>
      <c r="H156" s="44">
        <v>0.068</v>
      </c>
      <c r="I156" s="44">
        <v>0.0902</v>
      </c>
      <c r="J156" s="44">
        <v>2.0</v>
      </c>
      <c r="K156" s="44">
        <v>1.0</v>
      </c>
      <c r="L156" s="44">
        <v>1.0</v>
      </c>
      <c r="M156" s="45">
        <v>0.4469</v>
      </c>
      <c r="N156" s="46" t="s">
        <v>764</v>
      </c>
    </row>
    <row r="157" ht="15.75" customHeight="1">
      <c r="A157" s="43" t="s">
        <v>1177</v>
      </c>
      <c r="B157" s="43" t="s">
        <v>577</v>
      </c>
      <c r="C157" s="43" t="s">
        <v>372</v>
      </c>
      <c r="D157" s="43" t="s">
        <v>673</v>
      </c>
      <c r="E157" s="43" t="s">
        <v>817</v>
      </c>
      <c r="F157" s="43" t="s">
        <v>798</v>
      </c>
      <c r="G157" s="44">
        <v>2023.0</v>
      </c>
      <c r="H157" s="44">
        <v>0.0578</v>
      </c>
      <c r="I157" s="44">
        <v>0.0753</v>
      </c>
      <c r="J157" s="44">
        <v>2.0</v>
      </c>
      <c r="K157" s="44">
        <v>1.0</v>
      </c>
      <c r="L157" s="44">
        <v>1.0</v>
      </c>
      <c r="M157" s="45">
        <v>0.3287</v>
      </c>
      <c r="N157" s="46" t="s">
        <v>764</v>
      </c>
    </row>
    <row r="158" ht="15.75" customHeight="1">
      <c r="A158" s="43" t="s">
        <v>1179</v>
      </c>
      <c r="B158" s="43" t="s">
        <v>596</v>
      </c>
      <c r="C158" s="43" t="s">
        <v>443</v>
      </c>
      <c r="D158" s="43" t="s">
        <v>808</v>
      </c>
      <c r="E158" s="43" t="s">
        <v>836</v>
      </c>
      <c r="F158" s="43" t="s">
        <v>798</v>
      </c>
      <c r="G158" s="44">
        <v>2023.0</v>
      </c>
      <c r="H158" s="44">
        <v>0.0624</v>
      </c>
      <c r="I158" s="44">
        <v>0.0784</v>
      </c>
      <c r="J158" s="44">
        <v>5.0</v>
      </c>
      <c r="K158" s="44">
        <v>3.0</v>
      </c>
      <c r="L158" s="44">
        <v>1.0</v>
      </c>
      <c r="M158" s="45">
        <v>0.8432</v>
      </c>
      <c r="N158" s="46" t="s">
        <v>764</v>
      </c>
    </row>
    <row r="159" ht="15.75" customHeight="1">
      <c r="A159" s="43" t="s">
        <v>1181</v>
      </c>
      <c r="B159" s="43" t="s">
        <v>603</v>
      </c>
      <c r="C159" s="43" t="s">
        <v>401</v>
      </c>
      <c r="D159" s="43" t="s">
        <v>895</v>
      </c>
      <c r="E159" s="43" t="s">
        <v>797</v>
      </c>
      <c r="F159" s="43" t="s">
        <v>798</v>
      </c>
      <c r="G159" s="44">
        <v>2023.0</v>
      </c>
      <c r="H159" s="44">
        <v>0.0562</v>
      </c>
      <c r="I159" s="44">
        <v>0.0727</v>
      </c>
      <c r="J159" s="44">
        <v>3.0</v>
      </c>
      <c r="K159" s="44">
        <v>1.0</v>
      </c>
      <c r="L159" s="44">
        <v>1.0</v>
      </c>
      <c r="M159" s="45">
        <v>0.2616</v>
      </c>
      <c r="N159" s="46" t="s">
        <v>764</v>
      </c>
    </row>
    <row r="160" ht="15.75" customHeight="1">
      <c r="A160" s="43" t="s">
        <v>1183</v>
      </c>
      <c r="B160" s="43" t="s">
        <v>596</v>
      </c>
      <c r="C160" s="43" t="s">
        <v>392</v>
      </c>
      <c r="D160" s="43" t="s">
        <v>838</v>
      </c>
      <c r="E160" s="43" t="s">
        <v>842</v>
      </c>
      <c r="F160" s="43" t="s">
        <v>751</v>
      </c>
      <c r="G160" s="44">
        <v>2024.0</v>
      </c>
      <c r="H160" s="44">
        <v>0.2308</v>
      </c>
      <c r="I160" s="44">
        <v>0.2709</v>
      </c>
      <c r="J160" s="44">
        <v>3.0</v>
      </c>
      <c r="K160" s="44">
        <v>2.0</v>
      </c>
      <c r="L160" s="44">
        <v>1.0</v>
      </c>
      <c r="M160" s="45">
        <v>13.71</v>
      </c>
      <c r="N160" s="46" t="s">
        <v>764</v>
      </c>
    </row>
    <row r="161" ht="15.75" customHeight="1">
      <c r="A161" s="43" t="s">
        <v>1184</v>
      </c>
      <c r="B161" s="43" t="s">
        <v>577</v>
      </c>
      <c r="C161" s="43" t="s">
        <v>511</v>
      </c>
      <c r="D161" s="43" t="s">
        <v>626</v>
      </c>
      <c r="E161" s="43" t="s">
        <v>826</v>
      </c>
      <c r="F161" s="43" t="s">
        <v>751</v>
      </c>
      <c r="G161" s="44">
        <v>2024.0</v>
      </c>
      <c r="H161" s="44">
        <v>0.2657</v>
      </c>
      <c r="I161" s="44">
        <v>0.3547</v>
      </c>
      <c r="J161" s="44">
        <v>3.0</v>
      </c>
      <c r="K161" s="44">
        <v>1.0</v>
      </c>
      <c r="L161" s="44">
        <v>1.0</v>
      </c>
      <c r="M161" s="45">
        <v>20.04</v>
      </c>
      <c r="N161" s="46" t="s">
        <v>764</v>
      </c>
    </row>
    <row r="162" ht="15.75" customHeight="1">
      <c r="A162" s="43" t="s">
        <v>1186</v>
      </c>
      <c r="B162" s="43" t="s">
        <v>577</v>
      </c>
      <c r="C162" s="43" t="s">
        <v>457</v>
      </c>
      <c r="D162" s="43" t="s">
        <v>621</v>
      </c>
      <c r="E162" s="43" t="s">
        <v>749</v>
      </c>
      <c r="F162" s="43" t="s">
        <v>751</v>
      </c>
      <c r="G162" s="44">
        <v>2024.0</v>
      </c>
      <c r="H162" s="44">
        <v>0.0141</v>
      </c>
      <c r="I162" s="44">
        <v>0.0166</v>
      </c>
      <c r="J162" s="44">
        <v>2.0</v>
      </c>
      <c r="K162" s="44">
        <v>1.0</v>
      </c>
      <c r="L162" s="44">
        <v>1.0</v>
      </c>
      <c r="M162" s="45">
        <v>1.3</v>
      </c>
      <c r="N162" s="46" t="s">
        <v>764</v>
      </c>
    </row>
    <row r="163" ht="15.75" customHeight="1">
      <c r="A163" s="43" t="s">
        <v>1188</v>
      </c>
      <c r="B163" s="43" t="s">
        <v>581</v>
      </c>
      <c r="C163" s="43" t="s">
        <v>468</v>
      </c>
      <c r="D163" s="43" t="s">
        <v>703</v>
      </c>
      <c r="E163" s="43" t="s">
        <v>836</v>
      </c>
      <c r="F163" s="43" t="s">
        <v>798</v>
      </c>
      <c r="G163" s="44">
        <v>2023.0</v>
      </c>
      <c r="H163" s="44">
        <v>0.1059</v>
      </c>
      <c r="I163" s="44">
        <v>0.1182</v>
      </c>
      <c r="J163" s="44">
        <v>2.0</v>
      </c>
      <c r="K163" s="44">
        <v>1.0</v>
      </c>
      <c r="L163" s="44">
        <v>1.0</v>
      </c>
      <c r="M163" s="45">
        <v>1.0891</v>
      </c>
      <c r="N163" s="46" t="s">
        <v>764</v>
      </c>
    </row>
    <row r="164" ht="15.75" customHeight="1">
      <c r="A164" s="43" t="s">
        <v>1190</v>
      </c>
      <c r="B164" s="43" t="s">
        <v>596</v>
      </c>
      <c r="C164" s="43" t="s">
        <v>481</v>
      </c>
      <c r="D164" s="43" t="s">
        <v>774</v>
      </c>
      <c r="E164" s="43" t="s">
        <v>826</v>
      </c>
      <c r="F164" s="43" t="s">
        <v>751</v>
      </c>
      <c r="G164" s="44">
        <v>2024.0</v>
      </c>
      <c r="H164" s="44">
        <v>0.9589</v>
      </c>
      <c r="I164" s="44">
        <v>1.0402</v>
      </c>
      <c r="J164" s="44">
        <v>7.0</v>
      </c>
      <c r="K164" s="44">
        <v>6.0</v>
      </c>
      <c r="L164" s="44">
        <v>1.0</v>
      </c>
      <c r="M164" s="45">
        <v>95.08</v>
      </c>
      <c r="N164" s="46" t="s">
        <v>764</v>
      </c>
    </row>
    <row r="165" ht="15.75" customHeight="1">
      <c r="A165" s="43" t="s">
        <v>1192</v>
      </c>
      <c r="B165" s="43" t="s">
        <v>605</v>
      </c>
      <c r="C165" s="43" t="s">
        <v>408</v>
      </c>
      <c r="D165" s="43" t="s">
        <v>847</v>
      </c>
      <c r="E165" s="43" t="s">
        <v>817</v>
      </c>
      <c r="F165" s="43" t="s">
        <v>798</v>
      </c>
      <c r="G165" s="44">
        <v>2023.0</v>
      </c>
      <c r="H165" s="44">
        <v>0.0273</v>
      </c>
      <c r="I165" s="44">
        <v>0.0348</v>
      </c>
      <c r="J165" s="44">
        <v>2.0</v>
      </c>
      <c r="K165" s="44">
        <v>2.0</v>
      </c>
      <c r="L165" s="44">
        <v>1.0</v>
      </c>
      <c r="M165" s="45">
        <v>0.2171</v>
      </c>
      <c r="N165" s="46" t="s">
        <v>764</v>
      </c>
    </row>
    <row r="166" ht="15.75" customHeight="1">
      <c r="A166" s="43" t="s">
        <v>1194</v>
      </c>
      <c r="B166" s="43" t="s">
        <v>577</v>
      </c>
      <c r="C166" s="43" t="s">
        <v>457</v>
      </c>
      <c r="D166" s="43" t="s">
        <v>621</v>
      </c>
      <c r="E166" s="43" t="s">
        <v>842</v>
      </c>
      <c r="F166" s="43" t="s">
        <v>751</v>
      </c>
      <c r="G166" s="44">
        <v>2024.0</v>
      </c>
      <c r="H166" s="44">
        <v>0.5203</v>
      </c>
      <c r="I166" s="44">
        <v>0.5952</v>
      </c>
      <c r="J166" s="44">
        <v>2.0</v>
      </c>
      <c r="K166" s="44">
        <v>1.0</v>
      </c>
      <c r="L166" s="44">
        <v>1.0</v>
      </c>
      <c r="M166" s="45">
        <v>45.31</v>
      </c>
      <c r="N166" s="46" t="s">
        <v>764</v>
      </c>
    </row>
    <row r="167" ht="15.75" customHeight="1">
      <c r="A167" s="43" t="s">
        <v>1196</v>
      </c>
      <c r="B167" s="43" t="s">
        <v>603</v>
      </c>
      <c r="C167" s="43" t="s">
        <v>449</v>
      </c>
      <c r="D167" s="43" t="s">
        <v>830</v>
      </c>
      <c r="E167" s="43" t="s">
        <v>749</v>
      </c>
      <c r="F167" s="43" t="s">
        <v>751</v>
      </c>
      <c r="G167" s="44">
        <v>2024.0</v>
      </c>
      <c r="H167" s="44">
        <v>0.002</v>
      </c>
      <c r="I167" s="44">
        <v>0.0026</v>
      </c>
      <c r="J167" s="44">
        <v>3.0</v>
      </c>
      <c r="K167" s="44">
        <v>2.0</v>
      </c>
      <c r="L167" s="44">
        <v>1.0</v>
      </c>
      <c r="M167" s="45">
        <v>0.17</v>
      </c>
      <c r="N167" s="46" t="s">
        <v>764</v>
      </c>
    </row>
    <row r="168" ht="15.75" customHeight="1">
      <c r="A168" s="43" t="s">
        <v>1197</v>
      </c>
      <c r="B168" s="43" t="s">
        <v>603</v>
      </c>
      <c r="C168" s="43" t="s">
        <v>509</v>
      </c>
      <c r="D168" s="43" t="s">
        <v>885</v>
      </c>
      <c r="E168" s="43" t="s">
        <v>817</v>
      </c>
      <c r="F168" s="43" t="s">
        <v>798</v>
      </c>
      <c r="G168" s="44">
        <v>2023.0</v>
      </c>
      <c r="H168" s="44">
        <v>0.0536</v>
      </c>
      <c r="I168" s="44">
        <v>0.0672</v>
      </c>
      <c r="J168" s="44">
        <v>2.0</v>
      </c>
      <c r="K168" s="44">
        <v>1.0</v>
      </c>
      <c r="L168" s="44">
        <v>1.0</v>
      </c>
      <c r="M168" s="45">
        <v>0.2663</v>
      </c>
      <c r="N168" s="46" t="s">
        <v>764</v>
      </c>
    </row>
    <row r="169" ht="15.75" customHeight="1">
      <c r="A169" s="43" t="s">
        <v>1199</v>
      </c>
      <c r="B169" s="43" t="s">
        <v>577</v>
      </c>
      <c r="C169" s="43" t="s">
        <v>363</v>
      </c>
      <c r="D169" s="43" t="s">
        <v>634</v>
      </c>
      <c r="E169" s="43" t="s">
        <v>842</v>
      </c>
      <c r="F169" s="43" t="s">
        <v>751</v>
      </c>
      <c r="G169" s="44">
        <v>2024.0</v>
      </c>
      <c r="H169" s="44">
        <v>1.0802</v>
      </c>
      <c r="I169" s="44">
        <v>1.1787</v>
      </c>
      <c r="J169" s="44">
        <v>10.0</v>
      </c>
      <c r="K169" s="44">
        <v>7.0</v>
      </c>
      <c r="L169" s="44">
        <v>1.0</v>
      </c>
      <c r="M169" s="45">
        <v>75.34</v>
      </c>
      <c r="N169" s="46" t="s">
        <v>764</v>
      </c>
    </row>
    <row r="170" ht="15.75" customHeight="1">
      <c r="A170" s="43" t="s">
        <v>1201</v>
      </c>
      <c r="B170" s="43" t="s">
        <v>581</v>
      </c>
      <c r="C170" s="43" t="s">
        <v>479</v>
      </c>
      <c r="D170" s="43" t="s">
        <v>811</v>
      </c>
      <c r="E170" s="43" t="s">
        <v>817</v>
      </c>
      <c r="F170" s="43" t="s">
        <v>798</v>
      </c>
      <c r="G170" s="44">
        <v>2023.0</v>
      </c>
      <c r="H170" s="44">
        <v>0.0542</v>
      </c>
      <c r="I170" s="44">
        <v>0.0713</v>
      </c>
      <c r="J170" s="44">
        <v>3.0</v>
      </c>
      <c r="K170" s="44">
        <v>2.0</v>
      </c>
      <c r="L170" s="44">
        <v>1.0</v>
      </c>
      <c r="M170" s="45">
        <v>0.3518</v>
      </c>
      <c r="N170" s="46" t="s">
        <v>764</v>
      </c>
    </row>
    <row r="171" ht="15.75" customHeight="1">
      <c r="A171" s="43" t="s">
        <v>1203</v>
      </c>
      <c r="B171" s="43" t="s">
        <v>581</v>
      </c>
      <c r="C171" s="43" t="s">
        <v>491</v>
      </c>
      <c r="D171" s="43" t="s">
        <v>777</v>
      </c>
      <c r="E171" s="43" t="s">
        <v>797</v>
      </c>
      <c r="F171" s="43" t="s">
        <v>798</v>
      </c>
      <c r="G171" s="44">
        <v>2023.0</v>
      </c>
      <c r="H171" s="44">
        <v>0.0229</v>
      </c>
      <c r="I171" s="44">
        <v>0.0261</v>
      </c>
      <c r="J171" s="44">
        <v>2.0</v>
      </c>
      <c r="K171" s="44">
        <v>1.0</v>
      </c>
      <c r="L171" s="44">
        <v>1.0</v>
      </c>
      <c r="M171" s="45">
        <v>0.1305</v>
      </c>
      <c r="N171" s="46" t="s">
        <v>764</v>
      </c>
    </row>
    <row r="172" ht="15.75" customHeight="1">
      <c r="A172" s="43" t="s">
        <v>1205</v>
      </c>
      <c r="B172" s="43" t="s">
        <v>581</v>
      </c>
      <c r="C172" s="43" t="s">
        <v>260</v>
      </c>
      <c r="D172" s="43" t="s">
        <v>769</v>
      </c>
      <c r="E172" s="43" t="s">
        <v>842</v>
      </c>
      <c r="F172" s="43" t="s">
        <v>751</v>
      </c>
      <c r="G172" s="44">
        <v>2024.0</v>
      </c>
      <c r="H172" s="44">
        <v>0.4697</v>
      </c>
      <c r="I172" s="44">
        <v>0.5949</v>
      </c>
      <c r="J172" s="44">
        <v>4.0</v>
      </c>
      <c r="K172" s="44">
        <v>3.0</v>
      </c>
      <c r="L172" s="44">
        <v>1.0</v>
      </c>
      <c r="M172" s="45">
        <v>25.6</v>
      </c>
      <c r="N172" s="46" t="s">
        <v>764</v>
      </c>
    </row>
    <row r="173" ht="15.75" customHeight="1">
      <c r="A173" s="43" t="s">
        <v>1206</v>
      </c>
      <c r="B173" s="43" t="s">
        <v>581</v>
      </c>
      <c r="C173" s="43" t="s">
        <v>519</v>
      </c>
      <c r="D173" s="43" t="s">
        <v>748</v>
      </c>
      <c r="E173" s="43" t="s">
        <v>842</v>
      </c>
      <c r="F173" s="43" t="s">
        <v>751</v>
      </c>
      <c r="G173" s="44">
        <v>2024.0</v>
      </c>
      <c r="H173" s="44">
        <v>0.8555</v>
      </c>
      <c r="I173" s="44">
        <v>0.9745</v>
      </c>
      <c r="J173" s="44">
        <v>9.0</v>
      </c>
      <c r="K173" s="44">
        <v>6.0</v>
      </c>
      <c r="L173" s="44">
        <v>1.0</v>
      </c>
      <c r="M173" s="45">
        <v>42.03</v>
      </c>
      <c r="N173" s="46" t="s">
        <v>764</v>
      </c>
    </row>
    <row r="174" ht="15.75" customHeight="1">
      <c r="A174" s="43" t="s">
        <v>1208</v>
      </c>
      <c r="B174" s="43" t="s">
        <v>577</v>
      </c>
      <c r="C174" s="43" t="s">
        <v>326</v>
      </c>
      <c r="D174" s="43" t="s">
        <v>658</v>
      </c>
      <c r="E174" s="43" t="s">
        <v>749</v>
      </c>
      <c r="F174" s="43" t="s">
        <v>751</v>
      </c>
      <c r="G174" s="44">
        <v>2024.0</v>
      </c>
      <c r="H174" s="44">
        <v>0.0163</v>
      </c>
      <c r="I174" s="44">
        <v>0.0213</v>
      </c>
      <c r="J174" s="44">
        <v>2.0</v>
      </c>
      <c r="K174" s="44">
        <v>1.0</v>
      </c>
      <c r="L174" s="44">
        <v>1.0</v>
      </c>
      <c r="M174" s="45">
        <v>1.15</v>
      </c>
      <c r="N174" s="46" t="s">
        <v>764</v>
      </c>
    </row>
    <row r="175" ht="15.75" customHeight="1">
      <c r="A175" s="43" t="s">
        <v>1210</v>
      </c>
      <c r="B175" s="43" t="s">
        <v>596</v>
      </c>
      <c r="C175" s="43" t="s">
        <v>346</v>
      </c>
      <c r="D175" s="43" t="s">
        <v>873</v>
      </c>
      <c r="E175" s="43" t="s">
        <v>749</v>
      </c>
      <c r="F175" s="43" t="s">
        <v>751</v>
      </c>
      <c r="G175" s="44">
        <v>2024.0</v>
      </c>
      <c r="H175" s="44">
        <v>0.0039</v>
      </c>
      <c r="I175" s="44">
        <v>0.0045</v>
      </c>
      <c r="J175" s="44">
        <v>3.0</v>
      </c>
      <c r="K175" s="44">
        <v>3.0</v>
      </c>
      <c r="L175" s="44">
        <v>1.0</v>
      </c>
      <c r="M175" s="45">
        <v>0.32</v>
      </c>
      <c r="N175" s="46" t="s">
        <v>764</v>
      </c>
    </row>
    <row r="176" ht="15.75" customHeight="1">
      <c r="A176" s="43" t="s">
        <v>1212</v>
      </c>
      <c r="B176" s="43" t="s">
        <v>581</v>
      </c>
      <c r="C176" s="43" t="s">
        <v>385</v>
      </c>
      <c r="D176" s="43" t="s">
        <v>773</v>
      </c>
      <c r="E176" s="43" t="s">
        <v>842</v>
      </c>
      <c r="F176" s="43" t="s">
        <v>751</v>
      </c>
      <c r="G176" s="44">
        <v>2024.0</v>
      </c>
      <c r="H176" s="44">
        <v>0.4002</v>
      </c>
      <c r="I176" s="44">
        <v>0.5266</v>
      </c>
      <c r="J176" s="44">
        <v>6.0</v>
      </c>
      <c r="K176" s="44">
        <v>3.0</v>
      </c>
      <c r="L176" s="44">
        <v>1.0</v>
      </c>
      <c r="M176" s="45">
        <v>28.84</v>
      </c>
      <c r="N176" s="46" t="s">
        <v>764</v>
      </c>
    </row>
    <row r="177" ht="15.75" customHeight="1">
      <c r="A177" s="43" t="s">
        <v>1213</v>
      </c>
      <c r="B177" s="43" t="s">
        <v>596</v>
      </c>
      <c r="C177" s="43" t="s">
        <v>392</v>
      </c>
      <c r="D177" s="43" t="s">
        <v>838</v>
      </c>
      <c r="E177" s="43" t="s">
        <v>749</v>
      </c>
      <c r="F177" s="43" t="s">
        <v>751</v>
      </c>
      <c r="G177" s="44">
        <v>2024.0</v>
      </c>
      <c r="H177" s="44">
        <v>0.0062</v>
      </c>
      <c r="I177" s="44">
        <v>0.0076</v>
      </c>
      <c r="J177" s="44">
        <v>2.0</v>
      </c>
      <c r="K177" s="44">
        <v>1.0</v>
      </c>
      <c r="L177" s="44">
        <v>1.0</v>
      </c>
      <c r="M177" s="45">
        <v>0.36</v>
      </c>
      <c r="N177" s="46" t="s">
        <v>764</v>
      </c>
    </row>
    <row r="178" ht="15.75" customHeight="1">
      <c r="A178" s="43" t="s">
        <v>1216</v>
      </c>
      <c r="B178" s="43" t="s">
        <v>581</v>
      </c>
      <c r="C178" s="43" t="s">
        <v>299</v>
      </c>
      <c r="D178" s="43" t="s">
        <v>736</v>
      </c>
      <c r="E178" s="43" t="s">
        <v>749</v>
      </c>
      <c r="F178" s="43" t="s">
        <v>751</v>
      </c>
      <c r="G178" s="44">
        <v>2024.0</v>
      </c>
      <c r="H178" s="44">
        <v>0.0144</v>
      </c>
      <c r="I178" s="44">
        <v>0.0179</v>
      </c>
      <c r="J178" s="44">
        <v>2.0</v>
      </c>
      <c r="K178" s="44">
        <v>2.0</v>
      </c>
      <c r="L178" s="44">
        <v>1.0</v>
      </c>
      <c r="M178" s="45">
        <v>1.21</v>
      </c>
      <c r="N178" s="46" t="s">
        <v>764</v>
      </c>
    </row>
    <row r="179" ht="15.75" customHeight="1">
      <c r="A179" s="43" t="s">
        <v>1218</v>
      </c>
      <c r="B179" s="43" t="s">
        <v>581</v>
      </c>
      <c r="C179" s="43" t="s">
        <v>515</v>
      </c>
      <c r="D179" s="43" t="s">
        <v>709</v>
      </c>
      <c r="E179" s="43" t="s">
        <v>749</v>
      </c>
      <c r="F179" s="43" t="s">
        <v>751</v>
      </c>
      <c r="G179" s="44">
        <v>2024.0</v>
      </c>
      <c r="H179" s="44">
        <v>0.0041</v>
      </c>
      <c r="I179" s="44">
        <v>0.0055</v>
      </c>
      <c r="J179" s="44">
        <v>2.0</v>
      </c>
      <c r="K179" s="44">
        <v>1.0</v>
      </c>
      <c r="L179" s="44">
        <v>1.0</v>
      </c>
      <c r="M179" s="45">
        <v>0.38</v>
      </c>
      <c r="N179" s="46" t="s">
        <v>764</v>
      </c>
    </row>
    <row r="180" ht="15.75" customHeight="1">
      <c r="A180" s="43" t="s">
        <v>1219</v>
      </c>
      <c r="B180" s="43" t="s">
        <v>577</v>
      </c>
      <c r="C180" s="43" t="s">
        <v>463</v>
      </c>
      <c r="D180" s="43" t="s">
        <v>662</v>
      </c>
      <c r="E180" s="43" t="s">
        <v>817</v>
      </c>
      <c r="F180" s="43" t="s">
        <v>798</v>
      </c>
      <c r="G180" s="44">
        <v>2023.0</v>
      </c>
      <c r="H180" s="44">
        <v>0.074</v>
      </c>
      <c r="I180" s="44">
        <v>0.0982</v>
      </c>
      <c r="J180" s="44">
        <v>2.0</v>
      </c>
      <c r="K180" s="44">
        <v>1.0</v>
      </c>
      <c r="L180" s="44">
        <v>1.0</v>
      </c>
      <c r="M180" s="45">
        <v>0.3893</v>
      </c>
      <c r="N180" s="46" t="s">
        <v>764</v>
      </c>
    </row>
    <row r="181" ht="15.75" customHeight="1">
      <c r="A181" s="43" t="s">
        <v>1221</v>
      </c>
      <c r="B181" s="43" t="s">
        <v>596</v>
      </c>
      <c r="C181" s="43" t="s">
        <v>136</v>
      </c>
      <c r="D181" s="43" t="s">
        <v>852</v>
      </c>
      <c r="E181" s="43" t="s">
        <v>797</v>
      </c>
      <c r="F181" s="43" t="s">
        <v>798</v>
      </c>
      <c r="G181" s="44">
        <v>2023.0</v>
      </c>
      <c r="H181" s="44">
        <v>0.0914</v>
      </c>
      <c r="I181" s="44">
        <v>0.1012</v>
      </c>
      <c r="J181" s="44">
        <v>2.0</v>
      </c>
      <c r="K181" s="44">
        <v>2.0</v>
      </c>
      <c r="L181" s="44">
        <v>1.0</v>
      </c>
      <c r="M181" s="45">
        <v>0.4896</v>
      </c>
      <c r="N181" s="46" t="s">
        <v>764</v>
      </c>
    </row>
    <row r="182" ht="15.75" customHeight="1">
      <c r="A182" s="43" t="s">
        <v>1223</v>
      </c>
      <c r="B182" s="43" t="s">
        <v>581</v>
      </c>
      <c r="C182" s="43" t="s">
        <v>468</v>
      </c>
      <c r="D182" s="43" t="s">
        <v>703</v>
      </c>
      <c r="E182" s="43" t="s">
        <v>826</v>
      </c>
      <c r="F182" s="43" t="s">
        <v>751</v>
      </c>
      <c r="G182" s="44">
        <v>2024.0</v>
      </c>
      <c r="H182" s="44">
        <v>2.7718</v>
      </c>
      <c r="I182" s="44">
        <v>3.6025</v>
      </c>
      <c r="J182" s="44">
        <v>27.0</v>
      </c>
      <c r="K182" s="44">
        <v>22.0</v>
      </c>
      <c r="L182" s="44">
        <v>3.0</v>
      </c>
      <c r="M182" s="45">
        <v>287.52</v>
      </c>
      <c r="N182" s="46" t="s">
        <v>764</v>
      </c>
    </row>
    <row r="183" ht="15.75" customHeight="1">
      <c r="A183" s="43" t="s">
        <v>1225</v>
      </c>
      <c r="B183" s="43" t="s">
        <v>577</v>
      </c>
      <c r="C183" s="43" t="s">
        <v>499</v>
      </c>
      <c r="D183" s="43" t="s">
        <v>651</v>
      </c>
      <c r="E183" s="43" t="s">
        <v>836</v>
      </c>
      <c r="F183" s="43" t="s">
        <v>798</v>
      </c>
      <c r="G183" s="44">
        <v>2023.0</v>
      </c>
      <c r="H183" s="44">
        <v>0.1007</v>
      </c>
      <c r="I183" s="44">
        <v>0.1189</v>
      </c>
      <c r="J183" s="44">
        <v>2.0</v>
      </c>
      <c r="K183" s="44">
        <v>1.0</v>
      </c>
      <c r="L183" s="44">
        <v>1.0</v>
      </c>
      <c r="M183" s="45">
        <v>0.776</v>
      </c>
      <c r="N183" s="46" t="s">
        <v>764</v>
      </c>
    </row>
    <row r="184" ht="15.75" customHeight="1">
      <c r="A184" s="43" t="s">
        <v>1226</v>
      </c>
      <c r="B184" s="43" t="s">
        <v>581</v>
      </c>
      <c r="C184" s="43" t="s">
        <v>196</v>
      </c>
      <c r="D184" s="43" t="s">
        <v>750</v>
      </c>
      <c r="E184" s="43" t="s">
        <v>842</v>
      </c>
      <c r="F184" s="43" t="s">
        <v>751</v>
      </c>
      <c r="G184" s="44">
        <v>2024.0</v>
      </c>
      <c r="H184" s="44">
        <v>0.608</v>
      </c>
      <c r="I184" s="44">
        <v>0.7045</v>
      </c>
      <c r="J184" s="44">
        <v>8.0</v>
      </c>
      <c r="K184" s="44">
        <v>5.0</v>
      </c>
      <c r="L184" s="44">
        <v>1.0</v>
      </c>
      <c r="M184" s="45">
        <v>66.73</v>
      </c>
      <c r="N184" s="46" t="s">
        <v>764</v>
      </c>
    </row>
    <row r="185" ht="15.75" customHeight="1">
      <c r="A185" s="43" t="s">
        <v>1228</v>
      </c>
      <c r="B185" s="43" t="s">
        <v>581</v>
      </c>
      <c r="C185" s="43" t="s">
        <v>378</v>
      </c>
      <c r="D185" s="43" t="s">
        <v>718</v>
      </c>
      <c r="E185" s="43" t="s">
        <v>749</v>
      </c>
      <c r="F185" s="43" t="s">
        <v>751</v>
      </c>
      <c r="G185" s="44">
        <v>2024.0</v>
      </c>
      <c r="H185" s="44">
        <v>0.0059</v>
      </c>
      <c r="I185" s="44">
        <v>0.0065</v>
      </c>
      <c r="J185" s="44">
        <v>3.0</v>
      </c>
      <c r="K185" s="44">
        <v>1.0</v>
      </c>
      <c r="L185" s="44">
        <v>1.0</v>
      </c>
      <c r="M185" s="45">
        <v>0.48</v>
      </c>
      <c r="N185" s="46" t="s">
        <v>764</v>
      </c>
    </row>
    <row r="186" ht="15.75" customHeight="1">
      <c r="A186" s="43" t="s">
        <v>1230</v>
      </c>
      <c r="B186" s="43" t="s">
        <v>581</v>
      </c>
      <c r="C186" s="43" t="s">
        <v>517</v>
      </c>
      <c r="D186" s="43" t="s">
        <v>763</v>
      </c>
      <c r="E186" s="43" t="s">
        <v>784</v>
      </c>
      <c r="F186" s="43" t="s">
        <v>751</v>
      </c>
      <c r="G186" s="44">
        <v>2024.0</v>
      </c>
      <c r="H186" s="44">
        <v>0.4583</v>
      </c>
      <c r="I186" s="44">
        <v>0.5734</v>
      </c>
      <c r="J186" s="44">
        <v>6.0</v>
      </c>
      <c r="K186" s="44">
        <v>5.0</v>
      </c>
      <c r="L186" s="44">
        <v>1.0</v>
      </c>
      <c r="M186" s="45">
        <v>35.35</v>
      </c>
      <c r="N186" s="46" t="s">
        <v>764</v>
      </c>
    </row>
    <row r="187" ht="15.75" customHeight="1">
      <c r="A187" s="43" t="s">
        <v>1231</v>
      </c>
      <c r="B187" s="43" t="s">
        <v>603</v>
      </c>
      <c r="C187" s="43" t="s">
        <v>509</v>
      </c>
      <c r="D187" s="43" t="s">
        <v>885</v>
      </c>
      <c r="E187" s="43" t="s">
        <v>836</v>
      </c>
      <c r="F187" s="43" t="s">
        <v>798</v>
      </c>
      <c r="G187" s="44">
        <v>2023.0</v>
      </c>
      <c r="H187" s="44">
        <v>0.2645</v>
      </c>
      <c r="I187" s="44">
        <v>0.3522</v>
      </c>
      <c r="J187" s="44">
        <v>3.0</v>
      </c>
      <c r="K187" s="44">
        <v>2.0</v>
      </c>
      <c r="L187" s="44">
        <v>1.0</v>
      </c>
      <c r="M187" s="45">
        <v>3.0904</v>
      </c>
      <c r="N187" s="46" t="s">
        <v>764</v>
      </c>
    </row>
    <row r="188" ht="15.75" customHeight="1">
      <c r="A188" s="43" t="s">
        <v>1233</v>
      </c>
      <c r="B188" s="43" t="s">
        <v>605</v>
      </c>
      <c r="C188" s="43" t="s">
        <v>523</v>
      </c>
      <c r="D188" s="43" t="s">
        <v>872</v>
      </c>
      <c r="E188" s="43" t="s">
        <v>817</v>
      </c>
      <c r="F188" s="43" t="s">
        <v>798</v>
      </c>
      <c r="G188" s="44">
        <v>2023.0</v>
      </c>
      <c r="H188" s="44">
        <v>0.141</v>
      </c>
      <c r="I188" s="44">
        <v>0.1762</v>
      </c>
      <c r="J188" s="44">
        <v>2.0</v>
      </c>
      <c r="K188" s="44">
        <v>1.0</v>
      </c>
      <c r="L188" s="44">
        <v>1.0</v>
      </c>
      <c r="M188" s="45">
        <v>0.5127</v>
      </c>
      <c r="N188" s="46" t="s">
        <v>764</v>
      </c>
    </row>
    <row r="189" ht="15.75" customHeight="1">
      <c r="A189" s="43" t="s">
        <v>1235</v>
      </c>
      <c r="B189" s="43" t="s">
        <v>581</v>
      </c>
      <c r="C189" s="43" t="s">
        <v>260</v>
      </c>
      <c r="D189" s="43" t="s">
        <v>769</v>
      </c>
      <c r="E189" s="43" t="s">
        <v>784</v>
      </c>
      <c r="F189" s="43" t="s">
        <v>751</v>
      </c>
      <c r="G189" s="44">
        <v>2024.0</v>
      </c>
      <c r="H189" s="44">
        <v>0.492</v>
      </c>
      <c r="I189" s="44">
        <v>0.5382</v>
      </c>
      <c r="J189" s="44">
        <v>3.0</v>
      </c>
      <c r="K189" s="44">
        <v>2.0</v>
      </c>
      <c r="L189" s="44">
        <v>1.0</v>
      </c>
      <c r="M189" s="45">
        <v>37.59</v>
      </c>
      <c r="N189" s="46" t="s">
        <v>764</v>
      </c>
    </row>
    <row r="190" ht="15.75" customHeight="1">
      <c r="A190" s="43" t="s">
        <v>1237</v>
      </c>
      <c r="B190" s="43" t="s">
        <v>605</v>
      </c>
      <c r="C190" s="43" t="s">
        <v>324</v>
      </c>
      <c r="D190" s="43" t="s">
        <v>970</v>
      </c>
      <c r="E190" s="43" t="s">
        <v>842</v>
      </c>
      <c r="F190" s="43" t="s">
        <v>751</v>
      </c>
      <c r="G190" s="44">
        <v>2024.0</v>
      </c>
      <c r="H190" s="44">
        <v>0.6537</v>
      </c>
      <c r="I190" s="44">
        <v>0.7071</v>
      </c>
      <c r="J190" s="44">
        <v>9.0</v>
      </c>
      <c r="K190" s="44">
        <v>6.0</v>
      </c>
      <c r="L190" s="44">
        <v>1.0</v>
      </c>
      <c r="M190" s="45">
        <v>55.02</v>
      </c>
      <c r="N190" s="46" t="s">
        <v>764</v>
      </c>
    </row>
    <row r="191" ht="15.75" customHeight="1">
      <c r="A191" s="43" t="s">
        <v>1239</v>
      </c>
      <c r="B191" s="43" t="s">
        <v>581</v>
      </c>
      <c r="C191" s="43" t="s">
        <v>505</v>
      </c>
      <c r="D191" s="43" t="s">
        <v>799</v>
      </c>
      <c r="E191" s="43" t="s">
        <v>826</v>
      </c>
      <c r="F191" s="43" t="s">
        <v>751</v>
      </c>
      <c r="G191" s="44">
        <v>2024.0</v>
      </c>
      <c r="H191" s="44">
        <v>0.4301</v>
      </c>
      <c r="I191" s="44">
        <v>0.5404</v>
      </c>
      <c r="J191" s="44">
        <v>2.0</v>
      </c>
      <c r="K191" s="44">
        <v>1.0</v>
      </c>
      <c r="L191" s="44">
        <v>1.0</v>
      </c>
      <c r="M191" s="45">
        <v>37.52</v>
      </c>
      <c r="N191" s="46" t="s">
        <v>764</v>
      </c>
    </row>
    <row r="192" ht="15.75" customHeight="1">
      <c r="A192" s="43" t="s">
        <v>1241</v>
      </c>
      <c r="B192" s="43" t="s">
        <v>581</v>
      </c>
      <c r="C192" s="43" t="s">
        <v>385</v>
      </c>
      <c r="D192" s="43" t="s">
        <v>773</v>
      </c>
      <c r="E192" s="43" t="s">
        <v>749</v>
      </c>
      <c r="F192" s="43" t="s">
        <v>751</v>
      </c>
      <c r="G192" s="44">
        <v>2024.0</v>
      </c>
      <c r="H192" s="44">
        <v>0.0108</v>
      </c>
      <c r="I192" s="44">
        <v>0.0129</v>
      </c>
      <c r="J192" s="44">
        <v>2.0</v>
      </c>
      <c r="K192" s="44">
        <v>1.0</v>
      </c>
      <c r="L192" s="44">
        <v>1.0</v>
      </c>
      <c r="M192" s="45">
        <v>0.92</v>
      </c>
      <c r="N192" s="46" t="s">
        <v>764</v>
      </c>
    </row>
    <row r="193" ht="15.75" customHeight="1">
      <c r="A193" s="43" t="s">
        <v>1243</v>
      </c>
      <c r="B193" s="43" t="s">
        <v>605</v>
      </c>
      <c r="C193" s="43" t="s">
        <v>483</v>
      </c>
      <c r="D193" s="43" t="s">
        <v>803</v>
      </c>
      <c r="E193" s="43" t="s">
        <v>797</v>
      </c>
      <c r="F193" s="43" t="s">
        <v>798</v>
      </c>
      <c r="G193" s="44">
        <v>2023.0</v>
      </c>
      <c r="H193" s="44">
        <v>0.0936</v>
      </c>
      <c r="I193" s="44">
        <v>0.1145</v>
      </c>
      <c r="J193" s="44">
        <v>2.0</v>
      </c>
      <c r="K193" s="44">
        <v>2.0</v>
      </c>
      <c r="L193" s="44">
        <v>1.0</v>
      </c>
      <c r="M193" s="45">
        <v>0.5124</v>
      </c>
      <c r="N193" s="46" t="s">
        <v>764</v>
      </c>
    </row>
    <row r="194" ht="15.75" customHeight="1">
      <c r="A194" s="43" t="s">
        <v>1245</v>
      </c>
      <c r="B194" s="43" t="s">
        <v>605</v>
      </c>
      <c r="C194" s="43" t="s">
        <v>279</v>
      </c>
      <c r="D194" s="43" t="s">
        <v>956</v>
      </c>
      <c r="E194" s="43" t="s">
        <v>826</v>
      </c>
      <c r="F194" s="43" t="s">
        <v>751</v>
      </c>
      <c r="G194" s="44">
        <v>2024.0</v>
      </c>
      <c r="H194" s="44">
        <v>0.0865</v>
      </c>
      <c r="I194" s="44">
        <v>0.1139</v>
      </c>
      <c r="J194" s="44">
        <v>2.0</v>
      </c>
      <c r="K194" s="44">
        <v>2.0</v>
      </c>
      <c r="L194" s="44">
        <v>1.0</v>
      </c>
      <c r="M194" s="45">
        <v>11.2</v>
      </c>
      <c r="N194" s="46" t="s">
        <v>764</v>
      </c>
    </row>
    <row r="195" ht="15.75" customHeight="1">
      <c r="A195" s="43" t="s">
        <v>1247</v>
      </c>
      <c r="B195" s="43" t="s">
        <v>605</v>
      </c>
      <c r="C195" s="43" t="s">
        <v>354</v>
      </c>
      <c r="D195" s="43" t="s">
        <v>905</v>
      </c>
      <c r="E195" s="43" t="s">
        <v>836</v>
      </c>
      <c r="F195" s="43" t="s">
        <v>798</v>
      </c>
      <c r="G195" s="44">
        <v>2023.0</v>
      </c>
      <c r="H195" s="44">
        <v>0.2705</v>
      </c>
      <c r="I195" s="44">
        <v>0.327</v>
      </c>
      <c r="J195" s="44">
        <v>2.0</v>
      </c>
      <c r="K195" s="44">
        <v>1.0</v>
      </c>
      <c r="L195" s="44">
        <v>1.0</v>
      </c>
      <c r="M195" s="45">
        <v>2.817</v>
      </c>
      <c r="N195" s="46" t="s">
        <v>764</v>
      </c>
    </row>
    <row r="196" ht="15.75" customHeight="1">
      <c r="A196" s="43" t="s">
        <v>1248</v>
      </c>
      <c r="B196" s="43" t="s">
        <v>581</v>
      </c>
      <c r="C196" s="43" t="s">
        <v>468</v>
      </c>
      <c r="D196" s="43" t="s">
        <v>703</v>
      </c>
      <c r="E196" s="43" t="s">
        <v>842</v>
      </c>
      <c r="F196" s="43" t="s">
        <v>751</v>
      </c>
      <c r="G196" s="44">
        <v>2024.0</v>
      </c>
      <c r="H196" s="44">
        <v>1.6842</v>
      </c>
      <c r="I196" s="44">
        <v>2.2274</v>
      </c>
      <c r="J196" s="44">
        <v>19.0</v>
      </c>
      <c r="K196" s="44">
        <v>15.0</v>
      </c>
      <c r="L196" s="44">
        <v>2.0</v>
      </c>
      <c r="M196" s="45">
        <v>112.44</v>
      </c>
      <c r="N196" s="46" t="s">
        <v>764</v>
      </c>
    </row>
    <row r="197" ht="15.75" customHeight="1">
      <c r="A197" s="43" t="s">
        <v>1250</v>
      </c>
      <c r="B197" s="43" t="s">
        <v>581</v>
      </c>
      <c r="C197" s="43" t="s">
        <v>477</v>
      </c>
      <c r="D197" s="43" t="s">
        <v>759</v>
      </c>
      <c r="E197" s="43" t="s">
        <v>784</v>
      </c>
      <c r="F197" s="43" t="s">
        <v>751</v>
      </c>
      <c r="G197" s="44">
        <v>2024.0</v>
      </c>
      <c r="H197" s="44">
        <v>0.5974</v>
      </c>
      <c r="I197" s="44">
        <v>0.7045</v>
      </c>
      <c r="J197" s="44">
        <v>6.0</v>
      </c>
      <c r="K197" s="44">
        <v>4.0</v>
      </c>
      <c r="L197" s="44">
        <v>1.0</v>
      </c>
      <c r="M197" s="45">
        <v>50.3</v>
      </c>
      <c r="N197" s="46" t="s">
        <v>764</v>
      </c>
    </row>
    <row r="198" ht="15.75" customHeight="1">
      <c r="A198" s="43" t="s">
        <v>1252</v>
      </c>
      <c r="B198" s="43" t="s">
        <v>603</v>
      </c>
      <c r="C198" s="43" t="s">
        <v>509</v>
      </c>
      <c r="D198" s="43" t="s">
        <v>885</v>
      </c>
      <c r="E198" s="43" t="s">
        <v>784</v>
      </c>
      <c r="F198" s="43" t="s">
        <v>751</v>
      </c>
      <c r="G198" s="44">
        <v>2024.0</v>
      </c>
      <c r="H198" s="44">
        <v>0.8939</v>
      </c>
      <c r="I198" s="44">
        <v>1.1041</v>
      </c>
      <c r="J198" s="44">
        <v>10.0</v>
      </c>
      <c r="K198" s="44">
        <v>7.0</v>
      </c>
      <c r="L198" s="44">
        <v>1.0</v>
      </c>
      <c r="M198" s="45">
        <v>76.03</v>
      </c>
      <c r="N198" s="46" t="s">
        <v>764</v>
      </c>
    </row>
    <row r="199" ht="15.75" customHeight="1">
      <c r="A199" s="43" t="s">
        <v>1254</v>
      </c>
      <c r="B199" s="43" t="s">
        <v>581</v>
      </c>
      <c r="C199" s="43" t="s">
        <v>260</v>
      </c>
      <c r="D199" s="43" t="s">
        <v>769</v>
      </c>
      <c r="E199" s="43" t="s">
        <v>797</v>
      </c>
      <c r="F199" s="43" t="s">
        <v>798</v>
      </c>
      <c r="G199" s="44">
        <v>2023.0</v>
      </c>
      <c r="H199" s="44">
        <v>0.0457</v>
      </c>
      <c r="I199" s="44">
        <v>0.0507</v>
      </c>
      <c r="J199" s="44">
        <v>2.0</v>
      </c>
      <c r="K199" s="44">
        <v>1.0</v>
      </c>
      <c r="L199" s="44">
        <v>1.0</v>
      </c>
      <c r="M199" s="45">
        <v>0.2796</v>
      </c>
      <c r="N199" s="46" t="s">
        <v>764</v>
      </c>
    </row>
    <row r="200" ht="15.75" customHeight="1">
      <c r="A200" s="43" t="s">
        <v>1256</v>
      </c>
      <c r="B200" s="43" t="s">
        <v>577</v>
      </c>
      <c r="C200" s="43" t="s">
        <v>78</v>
      </c>
      <c r="D200" s="43" t="s">
        <v>680</v>
      </c>
      <c r="E200" s="43" t="s">
        <v>826</v>
      </c>
      <c r="F200" s="43" t="s">
        <v>751</v>
      </c>
      <c r="G200" s="44">
        <v>2024.0</v>
      </c>
      <c r="H200" s="44">
        <v>0.7346</v>
      </c>
      <c r="I200" s="44">
        <v>0.9126</v>
      </c>
      <c r="J200" s="44">
        <v>7.0</v>
      </c>
      <c r="K200" s="44">
        <v>4.0</v>
      </c>
      <c r="L200" s="44">
        <v>1.0</v>
      </c>
      <c r="M200" s="45">
        <v>71.55</v>
      </c>
      <c r="N200" s="46" t="s">
        <v>764</v>
      </c>
    </row>
    <row r="201" ht="15.75" customHeight="1">
      <c r="A201" s="43" t="s">
        <v>1258</v>
      </c>
      <c r="B201" s="43" t="s">
        <v>605</v>
      </c>
      <c r="C201" s="43" t="s">
        <v>324</v>
      </c>
      <c r="D201" s="43" t="s">
        <v>970</v>
      </c>
      <c r="E201" s="43" t="s">
        <v>826</v>
      </c>
      <c r="F201" s="43" t="s">
        <v>751</v>
      </c>
      <c r="G201" s="44">
        <v>2024.0</v>
      </c>
      <c r="H201" s="44">
        <v>0.5608</v>
      </c>
      <c r="I201" s="44">
        <v>0.6163</v>
      </c>
      <c r="J201" s="44">
        <v>8.0</v>
      </c>
      <c r="K201" s="44">
        <v>5.0</v>
      </c>
      <c r="L201" s="44">
        <v>1.0</v>
      </c>
      <c r="M201" s="45">
        <v>40.32</v>
      </c>
      <c r="N201" s="46" t="s">
        <v>764</v>
      </c>
    </row>
    <row r="202" ht="15.75" customHeight="1">
      <c r="A202" s="43" t="s">
        <v>1259</v>
      </c>
      <c r="B202" s="43" t="s">
        <v>596</v>
      </c>
      <c r="C202" s="43" t="s">
        <v>346</v>
      </c>
      <c r="D202" s="43" t="s">
        <v>873</v>
      </c>
      <c r="E202" s="43" t="s">
        <v>836</v>
      </c>
      <c r="F202" s="43" t="s">
        <v>798</v>
      </c>
      <c r="G202" s="44">
        <v>2023.0</v>
      </c>
      <c r="H202" s="44">
        <v>0.1772</v>
      </c>
      <c r="I202" s="44">
        <v>0.2123</v>
      </c>
      <c r="J202" s="44">
        <v>2.0</v>
      </c>
      <c r="K202" s="44">
        <v>2.0</v>
      </c>
      <c r="L202" s="44">
        <v>1.0</v>
      </c>
      <c r="M202" s="45">
        <v>1.608</v>
      </c>
      <c r="N202" s="46" t="s">
        <v>764</v>
      </c>
    </row>
    <row r="203" ht="15.75" customHeight="1">
      <c r="A203" s="43" t="s">
        <v>1261</v>
      </c>
      <c r="B203" s="43" t="s">
        <v>577</v>
      </c>
      <c r="C203" s="43" t="s">
        <v>487</v>
      </c>
      <c r="D203" s="43" t="s">
        <v>677</v>
      </c>
      <c r="E203" s="43" t="s">
        <v>749</v>
      </c>
      <c r="F203" s="43" t="s">
        <v>751</v>
      </c>
      <c r="G203" s="44">
        <v>2024.0</v>
      </c>
      <c r="H203" s="44">
        <v>0.0051</v>
      </c>
      <c r="I203" s="44">
        <v>0.0068</v>
      </c>
      <c r="J203" s="44">
        <v>2.0</v>
      </c>
      <c r="K203" s="44">
        <v>2.0</v>
      </c>
      <c r="L203" s="44">
        <v>1.0</v>
      </c>
      <c r="M203" s="45">
        <v>0.45</v>
      </c>
      <c r="N203" s="46" t="s">
        <v>764</v>
      </c>
    </row>
    <row r="204" ht="15.75" customHeight="1">
      <c r="A204" s="43" t="s">
        <v>1263</v>
      </c>
      <c r="B204" s="43" t="s">
        <v>605</v>
      </c>
      <c r="C204" s="43" t="s">
        <v>408</v>
      </c>
      <c r="D204" s="43" t="s">
        <v>847</v>
      </c>
      <c r="E204" s="43" t="s">
        <v>749</v>
      </c>
      <c r="F204" s="43" t="s">
        <v>751</v>
      </c>
      <c r="G204" s="44">
        <v>2024.0</v>
      </c>
      <c r="H204" s="44">
        <v>0.0157</v>
      </c>
      <c r="I204" s="44">
        <v>0.0176</v>
      </c>
      <c r="J204" s="44">
        <v>2.0</v>
      </c>
      <c r="K204" s="44">
        <v>1.0</v>
      </c>
      <c r="L204" s="44">
        <v>1.0</v>
      </c>
      <c r="M204" s="45">
        <v>1.3</v>
      </c>
      <c r="N204" s="46" t="s">
        <v>764</v>
      </c>
    </row>
    <row r="205" ht="15.75" customHeight="1">
      <c r="A205" s="43" t="s">
        <v>1264</v>
      </c>
      <c r="B205" s="43" t="s">
        <v>596</v>
      </c>
      <c r="C205" s="43" t="s">
        <v>136</v>
      </c>
      <c r="D205" s="43" t="s">
        <v>852</v>
      </c>
      <c r="E205" s="43" t="s">
        <v>836</v>
      </c>
      <c r="F205" s="43" t="s">
        <v>798</v>
      </c>
      <c r="G205" s="44">
        <v>2023.0</v>
      </c>
      <c r="H205" s="44">
        <v>0.2409</v>
      </c>
      <c r="I205" s="44">
        <v>0.2876</v>
      </c>
      <c r="J205" s="44">
        <v>2.0</v>
      </c>
      <c r="K205" s="44">
        <v>1.0</v>
      </c>
      <c r="L205" s="44">
        <v>1.0</v>
      </c>
      <c r="M205" s="45">
        <v>2.2955</v>
      </c>
      <c r="N205" s="46" t="s">
        <v>764</v>
      </c>
    </row>
    <row r="206" ht="15.75" customHeight="1">
      <c r="A206" s="43" t="s">
        <v>1266</v>
      </c>
      <c r="B206" s="43" t="s">
        <v>581</v>
      </c>
      <c r="C206" s="43" t="s">
        <v>385</v>
      </c>
      <c r="D206" s="43" t="s">
        <v>773</v>
      </c>
      <c r="E206" s="43" t="s">
        <v>797</v>
      </c>
      <c r="F206" s="43" t="s">
        <v>798</v>
      </c>
      <c r="G206" s="44">
        <v>2023.0</v>
      </c>
      <c r="H206" s="44">
        <v>0.0326</v>
      </c>
      <c r="I206" s="44">
        <v>0.0376</v>
      </c>
      <c r="J206" s="44">
        <v>2.0</v>
      </c>
      <c r="K206" s="44">
        <v>2.0</v>
      </c>
      <c r="L206" s="44">
        <v>1.0</v>
      </c>
      <c r="M206" s="45">
        <v>0.2052</v>
      </c>
      <c r="N206" s="46" t="s">
        <v>764</v>
      </c>
    </row>
    <row r="207" ht="15.75" customHeight="1">
      <c r="A207" s="43" t="s">
        <v>1268</v>
      </c>
      <c r="B207" s="43" t="s">
        <v>596</v>
      </c>
      <c r="C207" s="43" t="s">
        <v>493</v>
      </c>
      <c r="D207" s="43" t="s">
        <v>823</v>
      </c>
      <c r="E207" s="43" t="s">
        <v>797</v>
      </c>
      <c r="F207" s="43" t="s">
        <v>798</v>
      </c>
      <c r="G207" s="44">
        <v>2023.0</v>
      </c>
      <c r="H207" s="44">
        <v>0.068</v>
      </c>
      <c r="I207" s="44">
        <v>0.0804</v>
      </c>
      <c r="J207" s="44">
        <v>2.0</v>
      </c>
      <c r="K207" s="44">
        <v>2.0</v>
      </c>
      <c r="L207" s="44">
        <v>1.0</v>
      </c>
      <c r="M207" s="45">
        <v>0.4835</v>
      </c>
      <c r="N207" s="46" t="s">
        <v>764</v>
      </c>
    </row>
    <row r="208" ht="15.75" customHeight="1">
      <c r="A208" s="43" t="s">
        <v>1270</v>
      </c>
      <c r="B208" s="43" t="s">
        <v>605</v>
      </c>
      <c r="C208" s="43" t="s">
        <v>523</v>
      </c>
      <c r="D208" s="43" t="s">
        <v>872</v>
      </c>
      <c r="E208" s="43" t="s">
        <v>836</v>
      </c>
      <c r="F208" s="43" t="s">
        <v>798</v>
      </c>
      <c r="G208" s="44">
        <v>2023.0</v>
      </c>
      <c r="H208" s="44">
        <v>0.5752</v>
      </c>
      <c r="I208" s="44">
        <v>0.7738</v>
      </c>
      <c r="J208" s="44">
        <v>6.0</v>
      </c>
      <c r="K208" s="44">
        <v>4.0</v>
      </c>
      <c r="L208" s="44">
        <v>1.0</v>
      </c>
      <c r="M208" s="45">
        <v>8.4086</v>
      </c>
      <c r="N208" s="46" t="s">
        <v>764</v>
      </c>
    </row>
    <row r="209" ht="15.75" customHeight="1">
      <c r="A209" s="43" t="s">
        <v>1271</v>
      </c>
      <c r="B209" s="43" t="s">
        <v>581</v>
      </c>
      <c r="C209" s="43" t="s">
        <v>468</v>
      </c>
      <c r="D209" s="43" t="s">
        <v>703</v>
      </c>
      <c r="E209" s="43" t="s">
        <v>784</v>
      </c>
      <c r="F209" s="43" t="s">
        <v>751</v>
      </c>
      <c r="G209" s="44">
        <v>2024.0</v>
      </c>
      <c r="H209" s="44">
        <v>0.3398</v>
      </c>
      <c r="I209" s="44">
        <v>0.3979</v>
      </c>
      <c r="J209" s="44">
        <v>6.0</v>
      </c>
      <c r="K209" s="44">
        <v>4.0</v>
      </c>
      <c r="L209" s="44">
        <v>1.0</v>
      </c>
      <c r="M209" s="45">
        <v>29.27</v>
      </c>
      <c r="N209" s="46" t="s">
        <v>764</v>
      </c>
    </row>
    <row r="210" ht="15.75" customHeight="1">
      <c r="A210" s="43" t="s">
        <v>1273</v>
      </c>
      <c r="B210" s="43" t="s">
        <v>577</v>
      </c>
      <c r="C210" s="43" t="s">
        <v>372</v>
      </c>
      <c r="D210" s="43" t="s">
        <v>673</v>
      </c>
      <c r="E210" s="43" t="s">
        <v>836</v>
      </c>
      <c r="F210" s="43" t="s">
        <v>798</v>
      </c>
      <c r="G210" s="44">
        <v>2023.0</v>
      </c>
      <c r="H210" s="44">
        <v>0.1816</v>
      </c>
      <c r="I210" s="44">
        <v>0.2083</v>
      </c>
      <c r="J210" s="44">
        <v>2.0</v>
      </c>
      <c r="K210" s="44">
        <v>1.0</v>
      </c>
      <c r="L210" s="44">
        <v>1.0</v>
      </c>
      <c r="M210" s="45">
        <v>2.8648</v>
      </c>
      <c r="N210" s="46" t="s">
        <v>764</v>
      </c>
    </row>
    <row r="211" ht="15.75" customHeight="1">
      <c r="A211" s="43" t="s">
        <v>1275</v>
      </c>
      <c r="B211" s="43" t="s">
        <v>581</v>
      </c>
      <c r="C211" s="43" t="s">
        <v>519</v>
      </c>
      <c r="D211" s="43" t="s">
        <v>748</v>
      </c>
      <c r="E211" s="43" t="s">
        <v>797</v>
      </c>
      <c r="F211" s="43" t="s">
        <v>798</v>
      </c>
      <c r="G211" s="44">
        <v>2023.0</v>
      </c>
      <c r="H211" s="44">
        <v>0.0328</v>
      </c>
      <c r="I211" s="44">
        <v>0.0361</v>
      </c>
      <c r="J211" s="44">
        <v>4.0</v>
      </c>
      <c r="K211" s="44">
        <v>3.0</v>
      </c>
      <c r="L211" s="44">
        <v>1.0</v>
      </c>
      <c r="M211" s="45">
        <v>0.209</v>
      </c>
      <c r="N211" s="46" t="s">
        <v>764</v>
      </c>
    </row>
    <row r="212" ht="15.75" customHeight="1">
      <c r="A212" s="43" t="s">
        <v>1277</v>
      </c>
      <c r="B212" s="43" t="s">
        <v>581</v>
      </c>
      <c r="C212" s="43" t="s">
        <v>305</v>
      </c>
      <c r="D212" s="43" t="s">
        <v>788</v>
      </c>
      <c r="E212" s="43" t="s">
        <v>749</v>
      </c>
      <c r="F212" s="43" t="s">
        <v>751</v>
      </c>
      <c r="G212" s="44">
        <v>2024.0</v>
      </c>
      <c r="H212" s="44">
        <v>0.0045</v>
      </c>
      <c r="I212" s="44">
        <v>0.0051</v>
      </c>
      <c r="J212" s="44">
        <v>2.0</v>
      </c>
      <c r="K212" s="44">
        <v>2.0</v>
      </c>
      <c r="L212" s="44">
        <v>1.0</v>
      </c>
      <c r="M212" s="45">
        <v>0.31</v>
      </c>
      <c r="N212" s="46" t="s">
        <v>764</v>
      </c>
    </row>
    <row r="213" ht="15.75" customHeight="1">
      <c r="A213" s="43" t="s">
        <v>1279</v>
      </c>
      <c r="B213" s="43" t="s">
        <v>603</v>
      </c>
      <c r="C213" s="43" t="s">
        <v>317</v>
      </c>
      <c r="D213" s="43" t="s">
        <v>917</v>
      </c>
      <c r="E213" s="43" t="s">
        <v>842</v>
      </c>
      <c r="F213" s="43" t="s">
        <v>751</v>
      </c>
      <c r="G213" s="44">
        <v>2024.0</v>
      </c>
      <c r="H213" s="44">
        <v>0.2281</v>
      </c>
      <c r="I213" s="44">
        <v>0.2726</v>
      </c>
      <c r="J213" s="44">
        <v>2.0</v>
      </c>
      <c r="K213" s="44">
        <v>2.0</v>
      </c>
      <c r="L213" s="44">
        <v>1.0</v>
      </c>
      <c r="M213" s="45">
        <v>16.11</v>
      </c>
      <c r="N213" s="46" t="s">
        <v>764</v>
      </c>
    </row>
    <row r="214" ht="15.75" customHeight="1">
      <c r="A214" s="43" t="s">
        <v>1281</v>
      </c>
      <c r="B214" s="43" t="s">
        <v>577</v>
      </c>
      <c r="C214" s="43" t="s">
        <v>294</v>
      </c>
      <c r="D214" s="43" t="s">
        <v>684</v>
      </c>
      <c r="E214" s="43" t="s">
        <v>826</v>
      </c>
      <c r="F214" s="43" t="s">
        <v>751</v>
      </c>
      <c r="G214" s="44">
        <v>2024.0</v>
      </c>
      <c r="H214" s="44">
        <v>0.3293</v>
      </c>
      <c r="I214" s="44">
        <v>0.3854</v>
      </c>
      <c r="J214" s="44">
        <v>2.0</v>
      </c>
      <c r="K214" s="44">
        <v>2.0</v>
      </c>
      <c r="L214" s="44">
        <v>1.0</v>
      </c>
      <c r="M214" s="45">
        <v>29.56</v>
      </c>
      <c r="N214" s="46" t="s">
        <v>764</v>
      </c>
    </row>
    <row r="215" ht="15.75" customHeight="1">
      <c r="A215" s="43" t="s">
        <v>1282</v>
      </c>
      <c r="B215" s="43" t="s">
        <v>581</v>
      </c>
      <c r="C215" s="43" t="s">
        <v>517</v>
      </c>
      <c r="D215" s="43" t="s">
        <v>763</v>
      </c>
      <c r="E215" s="43" t="s">
        <v>836</v>
      </c>
      <c r="F215" s="43" t="s">
        <v>798</v>
      </c>
      <c r="G215" s="44">
        <v>2023.0</v>
      </c>
      <c r="H215" s="44">
        <v>0.1828</v>
      </c>
      <c r="I215" s="44">
        <v>0.2066</v>
      </c>
      <c r="J215" s="44">
        <v>8.0</v>
      </c>
      <c r="K215" s="44">
        <v>4.0</v>
      </c>
      <c r="L215" s="44">
        <v>1.0</v>
      </c>
      <c r="M215" s="45">
        <v>3.1522</v>
      </c>
      <c r="N215" s="46" t="s">
        <v>764</v>
      </c>
    </row>
    <row r="216" ht="15.75" customHeight="1">
      <c r="A216" s="43" t="s">
        <v>1284</v>
      </c>
      <c r="B216" s="43" t="s">
        <v>581</v>
      </c>
      <c r="C216" s="43" t="s">
        <v>515</v>
      </c>
      <c r="D216" s="43" t="s">
        <v>709</v>
      </c>
      <c r="E216" s="43" t="s">
        <v>836</v>
      </c>
      <c r="F216" s="43" t="s">
        <v>798</v>
      </c>
      <c r="G216" s="44">
        <v>2023.0</v>
      </c>
      <c r="H216" s="44">
        <v>0.0992</v>
      </c>
      <c r="I216" s="44">
        <v>0.1192</v>
      </c>
      <c r="J216" s="44">
        <v>2.0</v>
      </c>
      <c r="K216" s="44">
        <v>1.0</v>
      </c>
      <c r="L216" s="44">
        <v>1.0</v>
      </c>
      <c r="M216" s="45">
        <v>1.2345</v>
      </c>
      <c r="N216" s="46" t="s">
        <v>764</v>
      </c>
    </row>
    <row r="217" ht="15.75" customHeight="1">
      <c r="A217" s="43" t="s">
        <v>1286</v>
      </c>
      <c r="B217" s="43" t="s">
        <v>577</v>
      </c>
      <c r="C217" s="43" t="s">
        <v>328</v>
      </c>
      <c r="D217" s="43" t="s">
        <v>699</v>
      </c>
      <c r="E217" s="43" t="s">
        <v>817</v>
      </c>
      <c r="F217" s="43" t="s">
        <v>798</v>
      </c>
      <c r="G217" s="44">
        <v>2023.0</v>
      </c>
      <c r="H217" s="44">
        <v>0.1113</v>
      </c>
      <c r="I217" s="44">
        <v>0.1323</v>
      </c>
      <c r="J217" s="44">
        <v>2.0</v>
      </c>
      <c r="K217" s="44">
        <v>1.0</v>
      </c>
      <c r="L217" s="44">
        <v>1.0</v>
      </c>
      <c r="M217" s="45">
        <v>0.4962</v>
      </c>
      <c r="N217" s="46" t="s">
        <v>764</v>
      </c>
    </row>
    <row r="218" ht="15.75" customHeight="1">
      <c r="A218" s="43" t="s">
        <v>1288</v>
      </c>
      <c r="B218" s="43" t="s">
        <v>581</v>
      </c>
      <c r="C218" s="43" t="s">
        <v>519</v>
      </c>
      <c r="D218" s="43" t="s">
        <v>748</v>
      </c>
      <c r="E218" s="43" t="s">
        <v>826</v>
      </c>
      <c r="F218" s="43" t="s">
        <v>751</v>
      </c>
      <c r="G218" s="44">
        <v>2024.0</v>
      </c>
      <c r="H218" s="44">
        <v>0.5671</v>
      </c>
      <c r="I218" s="44">
        <v>0.6631</v>
      </c>
      <c r="J218" s="44">
        <v>7.0</v>
      </c>
      <c r="K218" s="44">
        <v>3.0</v>
      </c>
      <c r="L218" s="44">
        <v>1.0</v>
      </c>
      <c r="M218" s="45">
        <v>49.2</v>
      </c>
      <c r="N218" s="46" t="s">
        <v>764</v>
      </c>
    </row>
    <row r="219" ht="15.75" customHeight="1">
      <c r="A219" s="43" t="s">
        <v>1290</v>
      </c>
      <c r="B219" s="43" t="s">
        <v>581</v>
      </c>
      <c r="C219" s="43" t="s">
        <v>336</v>
      </c>
      <c r="D219" s="43" t="s">
        <v>755</v>
      </c>
      <c r="E219" s="43" t="s">
        <v>797</v>
      </c>
      <c r="F219" s="43" t="s">
        <v>798</v>
      </c>
      <c r="G219" s="44">
        <v>2023.0</v>
      </c>
      <c r="H219" s="44">
        <v>0.0845</v>
      </c>
      <c r="I219" s="44">
        <v>0.1136</v>
      </c>
      <c r="J219" s="44">
        <v>2.0</v>
      </c>
      <c r="K219" s="44">
        <v>1.0</v>
      </c>
      <c r="L219" s="44">
        <v>1.0</v>
      </c>
      <c r="M219" s="45">
        <v>0.4552</v>
      </c>
      <c r="N219" s="46" t="s">
        <v>764</v>
      </c>
    </row>
    <row r="220" ht="15.75" customHeight="1">
      <c r="A220" s="43" t="s">
        <v>1291</v>
      </c>
      <c r="B220" s="43" t="s">
        <v>577</v>
      </c>
      <c r="C220" s="43" t="s">
        <v>51</v>
      </c>
      <c r="D220" s="43" t="s">
        <v>641</v>
      </c>
      <c r="E220" s="43" t="s">
        <v>836</v>
      </c>
      <c r="F220" s="43" t="s">
        <v>798</v>
      </c>
      <c r="G220" s="44">
        <v>2023.0</v>
      </c>
      <c r="H220" s="44">
        <v>0.504</v>
      </c>
      <c r="I220" s="44">
        <v>0.5505</v>
      </c>
      <c r="J220" s="44">
        <v>7.0</v>
      </c>
      <c r="K220" s="44">
        <v>3.0</v>
      </c>
      <c r="L220" s="44">
        <v>1.0</v>
      </c>
      <c r="M220" s="45">
        <v>5.1562</v>
      </c>
      <c r="N220" s="46" t="s">
        <v>764</v>
      </c>
    </row>
    <row r="221" ht="15.75" customHeight="1">
      <c r="A221" s="43" t="s">
        <v>1293</v>
      </c>
      <c r="B221" s="43" t="s">
        <v>581</v>
      </c>
      <c r="C221" s="43" t="s">
        <v>336</v>
      </c>
      <c r="D221" s="43" t="s">
        <v>755</v>
      </c>
      <c r="E221" s="43" t="s">
        <v>749</v>
      </c>
      <c r="F221" s="43" t="s">
        <v>751</v>
      </c>
      <c r="G221" s="44">
        <v>2024.0</v>
      </c>
      <c r="H221" s="44">
        <v>0.0061</v>
      </c>
      <c r="I221" s="44">
        <v>0.0072</v>
      </c>
      <c r="J221" s="44">
        <v>2.0</v>
      </c>
      <c r="K221" s="44">
        <v>1.0</v>
      </c>
      <c r="L221" s="44">
        <v>1.0</v>
      </c>
      <c r="M221" s="45">
        <v>0.42</v>
      </c>
      <c r="N221" s="46" t="s">
        <v>764</v>
      </c>
    </row>
    <row r="222" ht="15.75" customHeight="1">
      <c r="A222" s="43" t="s">
        <v>1295</v>
      </c>
      <c r="B222" s="43" t="s">
        <v>596</v>
      </c>
      <c r="C222" s="43" t="s">
        <v>443</v>
      </c>
      <c r="D222" s="43" t="s">
        <v>808</v>
      </c>
      <c r="E222" s="43" t="s">
        <v>817</v>
      </c>
      <c r="F222" s="43" t="s">
        <v>798</v>
      </c>
      <c r="G222" s="44">
        <v>2023.0</v>
      </c>
      <c r="H222" s="44">
        <v>0.0873</v>
      </c>
      <c r="I222" s="44">
        <v>0.0961</v>
      </c>
      <c r="J222" s="44">
        <v>2.0</v>
      </c>
      <c r="K222" s="44">
        <v>1.0</v>
      </c>
      <c r="L222" s="44">
        <v>1.0</v>
      </c>
      <c r="M222" s="45">
        <v>0.4654</v>
      </c>
      <c r="N222" s="46" t="s">
        <v>764</v>
      </c>
    </row>
    <row r="223" ht="15.75" customHeight="1">
      <c r="A223" s="43" t="s">
        <v>1297</v>
      </c>
      <c r="B223" s="43" t="s">
        <v>603</v>
      </c>
      <c r="C223" s="43" t="s">
        <v>317</v>
      </c>
      <c r="D223" s="43" t="s">
        <v>917</v>
      </c>
      <c r="E223" s="43" t="s">
        <v>797</v>
      </c>
      <c r="F223" s="43" t="s">
        <v>798</v>
      </c>
      <c r="G223" s="44">
        <v>2023.0</v>
      </c>
      <c r="H223" s="44">
        <v>0.0881</v>
      </c>
      <c r="I223" s="44">
        <v>0.102</v>
      </c>
      <c r="J223" s="44">
        <v>2.0</v>
      </c>
      <c r="K223" s="44">
        <v>1.0</v>
      </c>
      <c r="L223" s="44">
        <v>1.0</v>
      </c>
      <c r="M223" s="45">
        <v>0.4557</v>
      </c>
      <c r="N223" s="46" t="s">
        <v>764</v>
      </c>
    </row>
    <row r="224" ht="15.75" customHeight="1">
      <c r="A224" s="43" t="s">
        <v>1299</v>
      </c>
      <c r="B224" s="43" t="s">
        <v>581</v>
      </c>
      <c r="C224" s="43" t="s">
        <v>479</v>
      </c>
      <c r="D224" s="43" t="s">
        <v>811</v>
      </c>
      <c r="E224" s="43" t="s">
        <v>836</v>
      </c>
      <c r="F224" s="43" t="s">
        <v>798</v>
      </c>
      <c r="G224" s="44">
        <v>2023.0</v>
      </c>
      <c r="H224" s="44">
        <v>0.0982</v>
      </c>
      <c r="I224" s="44">
        <v>0.1122</v>
      </c>
      <c r="J224" s="44">
        <v>2.0</v>
      </c>
      <c r="K224" s="44">
        <v>1.0</v>
      </c>
      <c r="L224" s="44">
        <v>1.0</v>
      </c>
      <c r="M224" s="45">
        <v>0.9087</v>
      </c>
      <c r="N224" s="46" t="s">
        <v>764</v>
      </c>
    </row>
    <row r="225" ht="15.75" customHeight="1">
      <c r="A225" s="43" t="s">
        <v>1301</v>
      </c>
      <c r="B225" s="43" t="s">
        <v>596</v>
      </c>
      <c r="C225" s="43" t="s">
        <v>265</v>
      </c>
      <c r="D225" s="43" t="s">
        <v>829</v>
      </c>
      <c r="E225" s="43" t="s">
        <v>817</v>
      </c>
      <c r="F225" s="43" t="s">
        <v>798</v>
      </c>
      <c r="G225" s="44">
        <v>2023.0</v>
      </c>
      <c r="H225" s="44">
        <v>0.1115</v>
      </c>
      <c r="I225" s="44">
        <v>0.1479</v>
      </c>
      <c r="J225" s="44">
        <v>4.0</v>
      </c>
      <c r="K225" s="44">
        <v>3.0</v>
      </c>
      <c r="L225" s="44">
        <v>1.0</v>
      </c>
      <c r="M225" s="45">
        <v>0.6381</v>
      </c>
      <c r="N225" s="46" t="s">
        <v>764</v>
      </c>
    </row>
    <row r="226" ht="15.75" customHeight="1">
      <c r="A226" s="43" t="s">
        <v>1302</v>
      </c>
      <c r="B226" s="43" t="s">
        <v>581</v>
      </c>
      <c r="C226" s="43" t="s">
        <v>505</v>
      </c>
      <c r="D226" s="43" t="s">
        <v>799</v>
      </c>
      <c r="E226" s="43" t="s">
        <v>797</v>
      </c>
      <c r="F226" s="43" t="s">
        <v>798</v>
      </c>
      <c r="G226" s="44">
        <v>2023.0</v>
      </c>
      <c r="H226" s="44">
        <v>0.0659</v>
      </c>
      <c r="I226" s="44">
        <v>0.0755</v>
      </c>
      <c r="J226" s="44">
        <v>2.0</v>
      </c>
      <c r="K226" s="44">
        <v>1.0</v>
      </c>
      <c r="L226" s="44">
        <v>1.0</v>
      </c>
      <c r="M226" s="45">
        <v>0.2818</v>
      </c>
      <c r="N226" s="46" t="s">
        <v>764</v>
      </c>
    </row>
    <row r="227" ht="15.75" customHeight="1">
      <c r="A227" s="43" t="s">
        <v>1304</v>
      </c>
      <c r="B227" s="43" t="s">
        <v>581</v>
      </c>
      <c r="C227" s="43" t="s">
        <v>519</v>
      </c>
      <c r="D227" s="43" t="s">
        <v>748</v>
      </c>
      <c r="E227" s="43" t="s">
        <v>817</v>
      </c>
      <c r="F227" s="43" t="s">
        <v>798</v>
      </c>
      <c r="G227" s="44">
        <v>2023.0</v>
      </c>
      <c r="H227" s="44">
        <v>0.0373</v>
      </c>
      <c r="I227" s="44">
        <v>0.0459</v>
      </c>
      <c r="J227" s="44">
        <v>2.0</v>
      </c>
      <c r="K227" s="44">
        <v>1.0</v>
      </c>
      <c r="L227" s="44">
        <v>1.0</v>
      </c>
      <c r="M227" s="45">
        <v>0.2629</v>
      </c>
      <c r="N227" s="46" t="s">
        <v>764</v>
      </c>
    </row>
    <row r="228" ht="15.75" customHeight="1">
      <c r="A228" s="43" t="s">
        <v>1306</v>
      </c>
      <c r="B228" s="43" t="s">
        <v>577</v>
      </c>
      <c r="C228" s="43" t="s">
        <v>463</v>
      </c>
      <c r="D228" s="43" t="s">
        <v>662</v>
      </c>
      <c r="E228" s="43" t="s">
        <v>797</v>
      </c>
      <c r="F228" s="43" t="s">
        <v>798</v>
      </c>
      <c r="G228" s="44">
        <v>2023.0</v>
      </c>
      <c r="H228" s="44">
        <v>0.0457</v>
      </c>
      <c r="I228" s="44">
        <v>0.0602</v>
      </c>
      <c r="J228" s="44">
        <v>2.0</v>
      </c>
      <c r="K228" s="44">
        <v>1.0</v>
      </c>
      <c r="L228" s="44">
        <v>1.0</v>
      </c>
      <c r="M228" s="45">
        <v>0.2408</v>
      </c>
      <c r="N228" s="46" t="s">
        <v>764</v>
      </c>
    </row>
    <row r="229" ht="15.75" customHeight="1">
      <c r="A229" s="43" t="s">
        <v>1308</v>
      </c>
      <c r="B229" s="43" t="s">
        <v>577</v>
      </c>
      <c r="C229" s="43" t="s">
        <v>487</v>
      </c>
      <c r="D229" s="43" t="s">
        <v>677</v>
      </c>
      <c r="E229" s="43" t="s">
        <v>826</v>
      </c>
      <c r="F229" s="43" t="s">
        <v>751</v>
      </c>
      <c r="G229" s="44">
        <v>2024.0</v>
      </c>
      <c r="H229" s="44">
        <v>0.8393</v>
      </c>
      <c r="I229" s="44">
        <v>0.9081</v>
      </c>
      <c r="J229" s="44">
        <v>9.0</v>
      </c>
      <c r="K229" s="44">
        <v>4.0</v>
      </c>
      <c r="L229" s="44">
        <v>1.0</v>
      </c>
      <c r="M229" s="45">
        <v>63.83</v>
      </c>
      <c r="N229" s="46" t="s">
        <v>764</v>
      </c>
    </row>
    <row r="230" ht="15.75" customHeight="1">
      <c r="A230" s="43" t="s">
        <v>1310</v>
      </c>
      <c r="B230" s="43" t="s">
        <v>581</v>
      </c>
      <c r="C230" s="43" t="s">
        <v>430</v>
      </c>
      <c r="D230" s="43" t="s">
        <v>741</v>
      </c>
      <c r="E230" s="43" t="s">
        <v>836</v>
      </c>
      <c r="F230" s="43" t="s">
        <v>798</v>
      </c>
      <c r="G230" s="44">
        <v>2023.0</v>
      </c>
      <c r="H230" s="44">
        <v>0.5921</v>
      </c>
      <c r="I230" s="44">
        <v>0.7408</v>
      </c>
      <c r="J230" s="44">
        <v>5.0</v>
      </c>
      <c r="K230" s="44">
        <v>2.0</v>
      </c>
      <c r="L230" s="44">
        <v>1.0</v>
      </c>
      <c r="M230" s="45">
        <v>7.2218</v>
      </c>
      <c r="N230" s="46" t="s">
        <v>764</v>
      </c>
    </row>
    <row r="231" ht="15.75" customHeight="1">
      <c r="A231" s="43" t="s">
        <v>1311</v>
      </c>
      <c r="B231" s="43" t="s">
        <v>581</v>
      </c>
      <c r="C231" s="43" t="s">
        <v>104</v>
      </c>
      <c r="D231" s="43" t="s">
        <v>729</v>
      </c>
      <c r="E231" s="43" t="s">
        <v>817</v>
      </c>
      <c r="F231" s="43" t="s">
        <v>798</v>
      </c>
      <c r="G231" s="44">
        <v>2023.0</v>
      </c>
      <c r="H231" s="44">
        <v>0.1725</v>
      </c>
      <c r="I231" s="44">
        <v>0.2243</v>
      </c>
      <c r="J231" s="44">
        <v>5.0</v>
      </c>
      <c r="K231" s="44">
        <v>4.0</v>
      </c>
      <c r="L231" s="44">
        <v>1.0</v>
      </c>
      <c r="M231" s="45">
        <v>0.9603</v>
      </c>
      <c r="N231" s="46" t="s">
        <v>764</v>
      </c>
    </row>
    <row r="232" ht="15.75" customHeight="1">
      <c r="A232" s="43" t="s">
        <v>1313</v>
      </c>
      <c r="B232" s="43" t="s">
        <v>577</v>
      </c>
      <c r="C232" s="43" t="s">
        <v>485</v>
      </c>
      <c r="D232" s="43" t="s">
        <v>637</v>
      </c>
      <c r="E232" s="43" t="s">
        <v>749</v>
      </c>
      <c r="F232" s="43" t="s">
        <v>751</v>
      </c>
      <c r="G232" s="44">
        <v>2024.0</v>
      </c>
      <c r="H232" s="44">
        <v>0.008</v>
      </c>
      <c r="I232" s="44">
        <v>0.0087</v>
      </c>
      <c r="J232" s="44">
        <v>3.0</v>
      </c>
      <c r="K232" s="44">
        <v>2.0</v>
      </c>
      <c r="L232" s="44">
        <v>1.0</v>
      </c>
      <c r="M232" s="45">
        <v>0.76</v>
      </c>
      <c r="N232" s="46" t="s">
        <v>764</v>
      </c>
    </row>
    <row r="233" ht="15.75" customHeight="1">
      <c r="A233" s="43" t="s">
        <v>1315</v>
      </c>
      <c r="B233" s="43" t="s">
        <v>577</v>
      </c>
      <c r="C233" s="43" t="s">
        <v>513</v>
      </c>
      <c r="D233" s="43" t="s">
        <v>666</v>
      </c>
      <c r="E233" s="43" t="s">
        <v>836</v>
      </c>
      <c r="F233" s="43" t="s">
        <v>798</v>
      </c>
      <c r="G233" s="44">
        <v>2023.0</v>
      </c>
      <c r="H233" s="44">
        <v>0.0601</v>
      </c>
      <c r="I233" s="44">
        <v>0.0654</v>
      </c>
      <c r="J233" s="44">
        <v>2.0</v>
      </c>
      <c r="K233" s="44">
        <v>1.0</v>
      </c>
      <c r="L233" s="44">
        <v>1.0</v>
      </c>
      <c r="M233" s="45">
        <v>0.7017</v>
      </c>
      <c r="N233" s="46" t="s">
        <v>764</v>
      </c>
    </row>
    <row r="234" ht="15.75" customHeight="1">
      <c r="A234" s="43" t="s">
        <v>1317</v>
      </c>
      <c r="B234" s="43" t="s">
        <v>577</v>
      </c>
      <c r="C234" s="43" t="s">
        <v>414</v>
      </c>
      <c r="D234" s="43" t="s">
        <v>647</v>
      </c>
      <c r="E234" s="43" t="s">
        <v>836</v>
      </c>
      <c r="F234" s="43" t="s">
        <v>798</v>
      </c>
      <c r="G234" s="44">
        <v>2023.0</v>
      </c>
      <c r="H234" s="44">
        <v>0.157</v>
      </c>
      <c r="I234" s="44">
        <v>0.1979</v>
      </c>
      <c r="J234" s="44">
        <v>3.0</v>
      </c>
      <c r="K234" s="44">
        <v>2.0</v>
      </c>
      <c r="L234" s="44">
        <v>1.0</v>
      </c>
      <c r="M234" s="45">
        <v>1.5288</v>
      </c>
      <c r="N234" s="46" t="s">
        <v>764</v>
      </c>
    </row>
    <row r="235" ht="15.75" customHeight="1">
      <c r="A235" s="43" t="s">
        <v>1319</v>
      </c>
      <c r="B235" s="43" t="s">
        <v>603</v>
      </c>
      <c r="C235" s="43" t="s">
        <v>146</v>
      </c>
      <c r="D235" s="43" t="s">
        <v>906</v>
      </c>
      <c r="E235" s="43" t="s">
        <v>836</v>
      </c>
      <c r="F235" s="43" t="s">
        <v>798</v>
      </c>
      <c r="G235" s="44">
        <v>2023.0</v>
      </c>
      <c r="H235" s="44">
        <v>0.4414</v>
      </c>
      <c r="I235" s="44">
        <v>0.5042</v>
      </c>
      <c r="J235" s="68">
        <v>3.0</v>
      </c>
      <c r="K235" s="44">
        <v>2.0</v>
      </c>
      <c r="L235" s="44">
        <v>1.0</v>
      </c>
      <c r="M235" s="45">
        <v>7.5552</v>
      </c>
      <c r="N235" s="46" t="s">
        <v>764</v>
      </c>
    </row>
    <row r="236" ht="15.75" customHeight="1">
      <c r="A236" s="43" t="s">
        <v>1322</v>
      </c>
      <c r="B236" s="43" t="s">
        <v>581</v>
      </c>
      <c r="C236" s="43" t="s">
        <v>202</v>
      </c>
      <c r="D236" s="43" t="s">
        <v>803</v>
      </c>
      <c r="E236" s="43" t="s">
        <v>842</v>
      </c>
      <c r="F236" s="43" t="s">
        <v>751</v>
      </c>
      <c r="G236" s="44">
        <v>2024.0</v>
      </c>
      <c r="H236" s="44">
        <v>1.1287</v>
      </c>
      <c r="I236" s="44">
        <v>1.3842</v>
      </c>
      <c r="J236" s="44">
        <v>13.0</v>
      </c>
      <c r="K236" s="44">
        <v>7.0</v>
      </c>
      <c r="L236" s="44">
        <v>1.0</v>
      </c>
      <c r="M236" s="45">
        <v>107.39</v>
      </c>
      <c r="N236" s="46" t="s">
        <v>764</v>
      </c>
    </row>
    <row r="237" ht="15.75" customHeight="1">
      <c r="A237" s="43" t="s">
        <v>1324</v>
      </c>
      <c r="B237" s="43" t="s">
        <v>581</v>
      </c>
      <c r="C237" s="43" t="s">
        <v>517</v>
      </c>
      <c r="D237" s="43" t="s">
        <v>763</v>
      </c>
      <c r="E237" s="43" t="s">
        <v>826</v>
      </c>
      <c r="F237" s="43" t="s">
        <v>751</v>
      </c>
      <c r="G237" s="44">
        <v>2024.0</v>
      </c>
      <c r="H237" s="44">
        <v>0.5347</v>
      </c>
      <c r="I237" s="44">
        <v>0.67</v>
      </c>
      <c r="J237" s="44">
        <v>10.0</v>
      </c>
      <c r="K237" s="44">
        <v>9.0</v>
      </c>
      <c r="L237" s="44">
        <v>1.0</v>
      </c>
      <c r="M237" s="45">
        <v>52.27</v>
      </c>
      <c r="N237" s="46" t="s">
        <v>764</v>
      </c>
    </row>
    <row r="238" ht="15.75" customHeight="1">
      <c r="A238" s="43" t="s">
        <v>1326</v>
      </c>
      <c r="B238" s="43" t="s">
        <v>603</v>
      </c>
      <c r="C238" s="43" t="s">
        <v>401</v>
      </c>
      <c r="D238" s="43" t="s">
        <v>895</v>
      </c>
      <c r="E238" s="43" t="s">
        <v>784</v>
      </c>
      <c r="F238" s="43" t="s">
        <v>751</v>
      </c>
      <c r="G238" s="44">
        <v>2024.0</v>
      </c>
      <c r="H238" s="44">
        <v>0.3511</v>
      </c>
      <c r="I238" s="44">
        <v>0.4209</v>
      </c>
      <c r="J238" s="44">
        <v>3.0</v>
      </c>
      <c r="K238" s="44">
        <v>3.0</v>
      </c>
      <c r="L238" s="44">
        <v>1.0</v>
      </c>
      <c r="M238" s="45">
        <v>28.68</v>
      </c>
      <c r="N238" s="46" t="s">
        <v>764</v>
      </c>
    </row>
    <row r="239" ht="15.75" customHeight="1">
      <c r="A239" s="43" t="s">
        <v>1327</v>
      </c>
      <c r="B239" s="43" t="s">
        <v>596</v>
      </c>
      <c r="C239" s="43" t="s">
        <v>507</v>
      </c>
      <c r="D239" s="43" t="s">
        <v>864</v>
      </c>
      <c r="E239" s="43" t="s">
        <v>826</v>
      </c>
      <c r="F239" s="43" t="s">
        <v>751</v>
      </c>
      <c r="G239" s="44">
        <v>2024.0</v>
      </c>
      <c r="H239" s="44">
        <v>0.108</v>
      </c>
      <c r="I239" s="44">
        <v>0.1209</v>
      </c>
      <c r="J239" s="44">
        <v>2.0</v>
      </c>
      <c r="K239" s="44">
        <v>1.0</v>
      </c>
      <c r="L239" s="44">
        <v>1.0</v>
      </c>
      <c r="M239" s="45">
        <v>8.29</v>
      </c>
      <c r="N239" s="46" t="s">
        <v>764</v>
      </c>
    </row>
    <row r="240" ht="15.75" customHeight="1">
      <c r="A240" s="43" t="s">
        <v>1329</v>
      </c>
      <c r="B240" s="43" t="s">
        <v>581</v>
      </c>
      <c r="C240" s="43" t="s">
        <v>202</v>
      </c>
      <c r="D240" s="43" t="s">
        <v>803</v>
      </c>
      <c r="E240" s="43" t="s">
        <v>797</v>
      </c>
      <c r="F240" s="43" t="s">
        <v>798</v>
      </c>
      <c r="G240" s="44">
        <v>2023.0</v>
      </c>
      <c r="H240" s="44">
        <v>0.0235</v>
      </c>
      <c r="I240" s="44">
        <v>0.0312</v>
      </c>
      <c r="J240" s="44">
        <v>2.0</v>
      </c>
      <c r="K240" s="44">
        <v>1.0</v>
      </c>
      <c r="L240" s="44">
        <v>1.0</v>
      </c>
      <c r="M240" s="45">
        <v>0.0936</v>
      </c>
      <c r="N240" s="46" t="s">
        <v>764</v>
      </c>
    </row>
    <row r="241" ht="15.75" customHeight="1">
      <c r="A241" s="43" t="s">
        <v>1331</v>
      </c>
      <c r="B241" s="43" t="s">
        <v>596</v>
      </c>
      <c r="C241" s="43" t="s">
        <v>443</v>
      </c>
      <c r="D241" s="43" t="s">
        <v>808</v>
      </c>
      <c r="E241" s="43" t="s">
        <v>842</v>
      </c>
      <c r="F241" s="43" t="s">
        <v>751</v>
      </c>
      <c r="G241" s="44">
        <v>2024.0</v>
      </c>
      <c r="H241" s="44">
        <v>2.0648</v>
      </c>
      <c r="I241" s="44">
        <v>2.5755</v>
      </c>
      <c r="J241" s="44">
        <v>22.0</v>
      </c>
      <c r="K241" s="44">
        <v>18.0</v>
      </c>
      <c r="L241" s="44">
        <v>2.0</v>
      </c>
      <c r="M241" s="45">
        <v>175.29</v>
      </c>
      <c r="N241" s="46" t="s">
        <v>764</v>
      </c>
    </row>
    <row r="242" ht="15.75" customHeight="1">
      <c r="A242" s="43" t="s">
        <v>1333</v>
      </c>
      <c r="B242" s="43" t="s">
        <v>581</v>
      </c>
      <c r="C242" s="43" t="s">
        <v>104</v>
      </c>
      <c r="D242" s="43" t="s">
        <v>729</v>
      </c>
      <c r="E242" s="43" t="s">
        <v>826</v>
      </c>
      <c r="F242" s="43" t="s">
        <v>751</v>
      </c>
      <c r="G242" s="44">
        <v>2024.0</v>
      </c>
      <c r="H242" s="44">
        <v>0.5181</v>
      </c>
      <c r="I242" s="44">
        <v>0.6128</v>
      </c>
      <c r="J242" s="44">
        <v>2.0</v>
      </c>
      <c r="K242" s="44">
        <v>1.0</v>
      </c>
      <c r="L242" s="44">
        <v>1.0</v>
      </c>
      <c r="M242" s="45">
        <v>44.57</v>
      </c>
      <c r="N242" s="46" t="s">
        <v>764</v>
      </c>
    </row>
    <row r="243" ht="15.75" customHeight="1">
      <c r="A243" s="43" t="s">
        <v>1335</v>
      </c>
      <c r="B243" s="43" t="s">
        <v>577</v>
      </c>
      <c r="C243" s="43" t="s">
        <v>485</v>
      </c>
      <c r="D243" s="43" t="s">
        <v>637</v>
      </c>
      <c r="E243" s="43" t="s">
        <v>826</v>
      </c>
      <c r="F243" s="43" t="s">
        <v>751</v>
      </c>
      <c r="G243" s="44">
        <v>2024.0</v>
      </c>
      <c r="H243" s="44">
        <v>1.239</v>
      </c>
      <c r="I243" s="44">
        <v>1.4084</v>
      </c>
      <c r="J243" s="44">
        <v>12.0</v>
      </c>
      <c r="K243" s="44">
        <v>6.0</v>
      </c>
      <c r="L243" s="44">
        <v>2.0</v>
      </c>
      <c r="M243" s="45">
        <v>126.78</v>
      </c>
      <c r="N243" s="46" t="s">
        <v>764</v>
      </c>
    </row>
    <row r="244" ht="15.75" customHeight="1">
      <c r="A244" s="43" t="s">
        <v>1337</v>
      </c>
      <c r="B244" s="43" t="s">
        <v>577</v>
      </c>
      <c r="C244" s="43" t="s">
        <v>501</v>
      </c>
      <c r="D244" s="43" t="s">
        <v>691</v>
      </c>
      <c r="E244" s="43" t="s">
        <v>836</v>
      </c>
      <c r="F244" s="43" t="s">
        <v>798</v>
      </c>
      <c r="G244" s="44">
        <v>2023.0</v>
      </c>
      <c r="H244" s="44">
        <v>0.1405</v>
      </c>
      <c r="I244" s="44">
        <v>0.1883</v>
      </c>
      <c r="J244" s="44">
        <v>2.0</v>
      </c>
      <c r="K244" s="44">
        <v>2.0</v>
      </c>
      <c r="L244" s="44">
        <v>1.0</v>
      </c>
      <c r="M244" s="45">
        <v>1.8961</v>
      </c>
      <c r="N244" s="46" t="s">
        <v>764</v>
      </c>
    </row>
    <row r="245" ht="15.75" customHeight="1">
      <c r="A245" s="43" t="s">
        <v>1339</v>
      </c>
      <c r="B245" s="43" t="s">
        <v>605</v>
      </c>
      <c r="C245" s="43" t="s">
        <v>523</v>
      </c>
      <c r="D245" s="43" t="s">
        <v>872</v>
      </c>
      <c r="E245" s="43" t="s">
        <v>784</v>
      </c>
      <c r="F245" s="43" t="s">
        <v>751</v>
      </c>
      <c r="G245" s="44">
        <v>2024.0</v>
      </c>
      <c r="H245" s="44">
        <v>0.7195</v>
      </c>
      <c r="I245" s="44">
        <v>0.9178</v>
      </c>
      <c r="J245" s="44">
        <v>9.0</v>
      </c>
      <c r="K245" s="44">
        <v>8.0</v>
      </c>
      <c r="L245" s="44">
        <v>1.0</v>
      </c>
      <c r="M245" s="45">
        <v>84.08</v>
      </c>
      <c r="N245" s="46" t="s">
        <v>764</v>
      </c>
    </row>
    <row r="246" ht="15.75" customHeight="1">
      <c r="A246" s="43" t="s">
        <v>1340</v>
      </c>
      <c r="B246" s="43" t="s">
        <v>603</v>
      </c>
      <c r="C246" s="43" t="s">
        <v>401</v>
      </c>
      <c r="D246" s="43" t="s">
        <v>895</v>
      </c>
      <c r="E246" s="43" t="s">
        <v>749</v>
      </c>
      <c r="F246" s="43" t="s">
        <v>751</v>
      </c>
      <c r="G246" s="44">
        <v>2024.0</v>
      </c>
      <c r="H246" s="44">
        <v>0.0175</v>
      </c>
      <c r="I246" s="44">
        <v>0.019</v>
      </c>
      <c r="J246" s="44">
        <v>2.0</v>
      </c>
      <c r="K246" s="44">
        <v>1.0</v>
      </c>
      <c r="L246" s="44">
        <v>1.0</v>
      </c>
      <c r="M246" s="45">
        <v>1.11</v>
      </c>
      <c r="N246" s="46" t="s">
        <v>764</v>
      </c>
    </row>
    <row r="247" ht="15.75" customHeight="1">
      <c r="A247" s="43" t="s">
        <v>1342</v>
      </c>
      <c r="B247" s="43" t="s">
        <v>605</v>
      </c>
      <c r="C247" s="43" t="s">
        <v>160</v>
      </c>
      <c r="D247" s="43" t="s">
        <v>937</v>
      </c>
      <c r="E247" s="43" t="s">
        <v>749</v>
      </c>
      <c r="F247" s="43" t="s">
        <v>751</v>
      </c>
      <c r="G247" s="44">
        <v>2024.0</v>
      </c>
      <c r="H247" s="44">
        <v>0.0224</v>
      </c>
      <c r="I247" s="44">
        <v>0.0276</v>
      </c>
      <c r="J247" s="44">
        <v>2.0</v>
      </c>
      <c r="K247" s="44">
        <v>2.0</v>
      </c>
      <c r="L247" s="44">
        <v>1.0</v>
      </c>
      <c r="M247" s="45">
        <v>1.89</v>
      </c>
      <c r="N247" s="46" t="s">
        <v>764</v>
      </c>
    </row>
    <row r="248" ht="15.75" customHeight="1">
      <c r="A248" s="43" t="s">
        <v>1344</v>
      </c>
      <c r="B248" s="43" t="s">
        <v>581</v>
      </c>
      <c r="C248" s="43" t="s">
        <v>260</v>
      </c>
      <c r="D248" s="43" t="s">
        <v>769</v>
      </c>
      <c r="E248" s="43" t="s">
        <v>749</v>
      </c>
      <c r="F248" s="43" t="s">
        <v>751</v>
      </c>
      <c r="G248" s="44">
        <v>2024.0</v>
      </c>
      <c r="H248" s="44">
        <v>0.0097</v>
      </c>
      <c r="I248" s="44">
        <v>0.013</v>
      </c>
      <c r="J248" s="44">
        <v>2.0</v>
      </c>
      <c r="K248" s="44">
        <v>2.0</v>
      </c>
      <c r="L248" s="44">
        <v>1.0</v>
      </c>
      <c r="M248" s="45">
        <v>0.85</v>
      </c>
      <c r="N248" s="46" t="s">
        <v>764</v>
      </c>
    </row>
    <row r="249" ht="15.75" customHeight="1">
      <c r="A249" s="43" t="s">
        <v>1346</v>
      </c>
      <c r="B249" s="43" t="s">
        <v>577</v>
      </c>
      <c r="C249" s="43" t="s">
        <v>414</v>
      </c>
      <c r="D249" s="43" t="s">
        <v>647</v>
      </c>
      <c r="E249" s="43" t="s">
        <v>826</v>
      </c>
      <c r="F249" s="43" t="s">
        <v>751</v>
      </c>
      <c r="G249" s="44">
        <v>2024.0</v>
      </c>
      <c r="H249" s="44">
        <v>1.4992</v>
      </c>
      <c r="I249" s="44">
        <v>1.9071</v>
      </c>
      <c r="J249" s="44">
        <v>15.0</v>
      </c>
      <c r="K249" s="44">
        <v>11.0</v>
      </c>
      <c r="L249" s="44">
        <v>2.0</v>
      </c>
      <c r="M249" s="45">
        <v>180.02</v>
      </c>
      <c r="N249" s="46" t="s">
        <v>764</v>
      </c>
    </row>
    <row r="250" ht="15.75" customHeight="1">
      <c r="A250" s="43" t="s">
        <v>1348</v>
      </c>
      <c r="B250" s="43" t="s">
        <v>577</v>
      </c>
      <c r="C250" s="43" t="s">
        <v>237</v>
      </c>
      <c r="D250" s="43" t="s">
        <v>669</v>
      </c>
      <c r="E250" s="43" t="s">
        <v>797</v>
      </c>
      <c r="F250" s="43" t="s">
        <v>798</v>
      </c>
      <c r="G250" s="44">
        <v>2023.0</v>
      </c>
      <c r="H250" s="44">
        <v>0.0516</v>
      </c>
      <c r="I250" s="44">
        <v>0.0589</v>
      </c>
      <c r="J250" s="44">
        <v>2.0</v>
      </c>
      <c r="K250" s="44">
        <v>1.0</v>
      </c>
      <c r="L250" s="44">
        <v>1.0</v>
      </c>
      <c r="M250" s="45">
        <v>0.202</v>
      </c>
      <c r="N250" s="46" t="s">
        <v>764</v>
      </c>
    </row>
    <row r="251" ht="15.75" customHeight="1">
      <c r="A251" s="43" t="s">
        <v>1349</v>
      </c>
      <c r="B251" s="43" t="s">
        <v>581</v>
      </c>
      <c r="C251" s="43" t="s">
        <v>123</v>
      </c>
      <c r="D251" s="43" t="s">
        <v>782</v>
      </c>
      <c r="E251" s="43" t="s">
        <v>817</v>
      </c>
      <c r="F251" s="43" t="s">
        <v>798</v>
      </c>
      <c r="G251" s="44">
        <v>2023.0</v>
      </c>
      <c r="H251" s="44">
        <v>0.0749</v>
      </c>
      <c r="I251" s="44">
        <v>0.0951</v>
      </c>
      <c r="J251" s="44">
        <v>2.0</v>
      </c>
      <c r="K251" s="44">
        <v>2.0</v>
      </c>
      <c r="L251" s="44">
        <v>1.0</v>
      </c>
      <c r="M251" s="45">
        <v>0.4179</v>
      </c>
      <c r="N251" s="46" t="s">
        <v>764</v>
      </c>
    </row>
    <row r="252" ht="15.75" customHeight="1">
      <c r="A252" s="43" t="s">
        <v>1351</v>
      </c>
      <c r="B252" s="43" t="s">
        <v>577</v>
      </c>
      <c r="C252" s="43" t="s">
        <v>422</v>
      </c>
      <c r="D252" s="43" t="s">
        <v>688</v>
      </c>
      <c r="E252" s="43" t="s">
        <v>784</v>
      </c>
      <c r="F252" s="43" t="s">
        <v>751</v>
      </c>
      <c r="G252" s="44">
        <v>2024.0</v>
      </c>
      <c r="H252" s="44">
        <v>1.5424</v>
      </c>
      <c r="I252" s="44">
        <v>2.0733</v>
      </c>
      <c r="J252" s="44">
        <v>14.0</v>
      </c>
      <c r="K252" s="44">
        <v>7.0</v>
      </c>
      <c r="L252" s="44">
        <v>2.0</v>
      </c>
      <c r="M252" s="45">
        <v>114.13</v>
      </c>
      <c r="N252" s="46" t="s">
        <v>764</v>
      </c>
    </row>
    <row r="253" ht="15.75" customHeight="1">
      <c r="A253" s="43" t="s">
        <v>1353</v>
      </c>
      <c r="B253" s="43" t="s">
        <v>581</v>
      </c>
      <c r="C253" s="43" t="s">
        <v>202</v>
      </c>
      <c r="D253" s="43" t="s">
        <v>803</v>
      </c>
      <c r="E253" s="43" t="s">
        <v>749</v>
      </c>
      <c r="F253" s="43" t="s">
        <v>751</v>
      </c>
      <c r="G253" s="44">
        <v>2024.0</v>
      </c>
      <c r="H253" s="44">
        <v>0.0099</v>
      </c>
      <c r="I253" s="44">
        <v>0.0132</v>
      </c>
      <c r="J253" s="44">
        <v>2.0</v>
      </c>
      <c r="K253" s="44">
        <v>1.0</v>
      </c>
      <c r="L253" s="44">
        <v>1.0</v>
      </c>
      <c r="M253" s="45">
        <v>1.13</v>
      </c>
      <c r="N253" s="46" t="s">
        <v>764</v>
      </c>
    </row>
    <row r="254" ht="15.75" customHeight="1">
      <c r="A254" s="43" t="s">
        <v>1355</v>
      </c>
      <c r="B254" s="43" t="s">
        <v>581</v>
      </c>
      <c r="C254" s="43" t="s">
        <v>260</v>
      </c>
      <c r="D254" s="43" t="s">
        <v>769</v>
      </c>
      <c r="E254" s="43" t="s">
        <v>817</v>
      </c>
      <c r="F254" s="43" t="s">
        <v>798</v>
      </c>
      <c r="G254" s="44">
        <v>2023.0</v>
      </c>
      <c r="H254" s="44">
        <v>0.0571</v>
      </c>
      <c r="I254" s="44">
        <v>0.0674</v>
      </c>
      <c r="J254" s="44">
        <v>3.0</v>
      </c>
      <c r="K254" s="44">
        <v>2.0</v>
      </c>
      <c r="L254" s="44">
        <v>1.0</v>
      </c>
      <c r="M254" s="45">
        <v>0.3315</v>
      </c>
      <c r="N254" s="46" t="s">
        <v>764</v>
      </c>
    </row>
    <row r="255" ht="15.75" customHeight="1">
      <c r="A255" s="43" t="s">
        <v>1357</v>
      </c>
      <c r="B255" s="43" t="s">
        <v>577</v>
      </c>
      <c r="C255" s="43" t="s">
        <v>363</v>
      </c>
      <c r="D255" s="43" t="s">
        <v>634</v>
      </c>
      <c r="E255" s="43" t="s">
        <v>784</v>
      </c>
      <c r="F255" s="43" t="s">
        <v>751</v>
      </c>
      <c r="G255" s="44">
        <v>2024.0</v>
      </c>
      <c r="H255" s="44">
        <v>1.6957</v>
      </c>
      <c r="I255" s="44">
        <v>2.0661</v>
      </c>
      <c r="J255" s="44">
        <v>13.0</v>
      </c>
      <c r="K255" s="44">
        <v>8.0</v>
      </c>
      <c r="L255" s="44">
        <v>1.0</v>
      </c>
      <c r="M255" s="45">
        <v>189.74</v>
      </c>
      <c r="N255" s="46" t="s">
        <v>764</v>
      </c>
    </row>
    <row r="256" ht="15.75" customHeight="1">
      <c r="A256" s="43" t="s">
        <v>1359</v>
      </c>
      <c r="B256" s="43" t="s">
        <v>577</v>
      </c>
      <c r="C256" s="43" t="s">
        <v>286</v>
      </c>
      <c r="D256" s="43" t="s">
        <v>644</v>
      </c>
      <c r="E256" s="43" t="s">
        <v>797</v>
      </c>
      <c r="F256" s="43" t="s">
        <v>798</v>
      </c>
      <c r="G256" s="44">
        <v>2023.0</v>
      </c>
      <c r="H256" s="44">
        <v>0.0264</v>
      </c>
      <c r="I256" s="44">
        <v>0.0289</v>
      </c>
      <c r="J256" s="44">
        <v>2.0</v>
      </c>
      <c r="K256" s="44">
        <v>1.0</v>
      </c>
      <c r="L256" s="44">
        <v>1.0</v>
      </c>
      <c r="M256" s="45">
        <v>0.1275</v>
      </c>
      <c r="N256" s="46" t="s">
        <v>764</v>
      </c>
    </row>
    <row r="257" ht="15.75" customHeight="1">
      <c r="A257" s="43" t="s">
        <v>1360</v>
      </c>
      <c r="B257" s="43" t="s">
        <v>596</v>
      </c>
      <c r="C257" s="43" t="s">
        <v>136</v>
      </c>
      <c r="D257" s="43" t="s">
        <v>852</v>
      </c>
      <c r="E257" s="43" t="s">
        <v>842</v>
      </c>
      <c r="F257" s="43" t="s">
        <v>751</v>
      </c>
      <c r="G257" s="44">
        <v>2024.0</v>
      </c>
      <c r="H257" s="44">
        <v>0.413</v>
      </c>
      <c r="I257" s="44">
        <v>0.4667</v>
      </c>
      <c r="J257" s="44">
        <v>6.0</v>
      </c>
      <c r="K257" s="44">
        <v>3.0</v>
      </c>
      <c r="L257" s="44">
        <v>1.0</v>
      </c>
      <c r="M257" s="45">
        <v>48.5</v>
      </c>
      <c r="N257" s="46" t="s">
        <v>764</v>
      </c>
    </row>
    <row r="258" ht="15.75" customHeight="1">
      <c r="A258" s="43" t="s">
        <v>1361</v>
      </c>
      <c r="B258" s="43" t="s">
        <v>581</v>
      </c>
      <c r="C258" s="43" t="s">
        <v>123</v>
      </c>
      <c r="D258" s="43" t="s">
        <v>782</v>
      </c>
      <c r="E258" s="43" t="s">
        <v>826</v>
      </c>
      <c r="F258" s="43" t="s">
        <v>751</v>
      </c>
      <c r="G258" s="44">
        <v>2024.0</v>
      </c>
      <c r="H258" s="44">
        <v>0.7918</v>
      </c>
      <c r="I258" s="44">
        <v>0.9059</v>
      </c>
      <c r="J258" s="44">
        <v>9.0</v>
      </c>
      <c r="K258" s="44">
        <v>6.0</v>
      </c>
      <c r="L258" s="44">
        <v>1.0</v>
      </c>
      <c r="M258" s="45">
        <v>53.81</v>
      </c>
      <c r="N258" s="46" t="s">
        <v>764</v>
      </c>
    </row>
    <row r="259" ht="15.75" customHeight="1">
      <c r="A259" s="43" t="s">
        <v>1363</v>
      </c>
      <c r="B259" s="43" t="s">
        <v>596</v>
      </c>
      <c r="C259" s="43" t="s">
        <v>312</v>
      </c>
      <c r="D259" s="43" t="s">
        <v>857</v>
      </c>
      <c r="E259" s="43" t="s">
        <v>826</v>
      </c>
      <c r="F259" s="43" t="s">
        <v>751</v>
      </c>
      <c r="G259" s="44">
        <v>2024.0</v>
      </c>
      <c r="H259" s="44">
        <v>0.6478</v>
      </c>
      <c r="I259" s="44">
        <v>0.7538</v>
      </c>
      <c r="J259" s="44">
        <v>8.0</v>
      </c>
      <c r="K259" s="44">
        <v>4.0</v>
      </c>
      <c r="L259" s="44">
        <v>1.0</v>
      </c>
      <c r="M259" s="45">
        <v>45.01</v>
      </c>
      <c r="N259" s="46" t="s">
        <v>764</v>
      </c>
    </row>
    <row r="260" ht="15.75" customHeight="1">
      <c r="A260" s="43" t="s">
        <v>1365</v>
      </c>
      <c r="B260" s="43" t="s">
        <v>596</v>
      </c>
      <c r="C260" s="43" t="s">
        <v>507</v>
      </c>
      <c r="D260" s="43" t="s">
        <v>864</v>
      </c>
      <c r="E260" s="43" t="s">
        <v>784</v>
      </c>
      <c r="F260" s="43" t="s">
        <v>751</v>
      </c>
      <c r="G260" s="44">
        <v>2024.0</v>
      </c>
      <c r="H260" s="44">
        <v>0.7211</v>
      </c>
      <c r="I260" s="44">
        <v>0.8076</v>
      </c>
      <c r="J260" s="44">
        <v>9.0</v>
      </c>
      <c r="K260" s="44">
        <v>7.0</v>
      </c>
      <c r="L260" s="44">
        <v>1.0</v>
      </c>
      <c r="M260" s="45">
        <v>87.59</v>
      </c>
      <c r="N260" s="46" t="s">
        <v>764</v>
      </c>
    </row>
    <row r="261" ht="15.75" customHeight="1">
      <c r="A261" s="43" t="s">
        <v>1367</v>
      </c>
      <c r="B261" s="43" t="s">
        <v>605</v>
      </c>
      <c r="C261" s="43" t="s">
        <v>523</v>
      </c>
      <c r="D261" s="43" t="s">
        <v>872</v>
      </c>
      <c r="E261" s="43" t="s">
        <v>826</v>
      </c>
      <c r="F261" s="43" t="s">
        <v>751</v>
      </c>
      <c r="G261" s="44">
        <v>2024.0</v>
      </c>
      <c r="H261" s="44">
        <v>0.3941</v>
      </c>
      <c r="I261" s="44">
        <v>0.4554</v>
      </c>
      <c r="J261" s="44">
        <v>5.0</v>
      </c>
      <c r="K261" s="44">
        <v>3.0</v>
      </c>
      <c r="L261" s="44">
        <v>1.0</v>
      </c>
      <c r="M261" s="45">
        <v>33.2</v>
      </c>
      <c r="N261" s="46" t="s">
        <v>764</v>
      </c>
    </row>
    <row r="262" ht="15.75" customHeight="1">
      <c r="A262" s="43" t="s">
        <v>1368</v>
      </c>
      <c r="B262" s="43" t="s">
        <v>577</v>
      </c>
      <c r="C262" s="43" t="s">
        <v>229</v>
      </c>
      <c r="D262" s="43" t="s">
        <v>630</v>
      </c>
      <c r="E262" s="43" t="s">
        <v>784</v>
      </c>
      <c r="F262" s="43" t="s">
        <v>751</v>
      </c>
      <c r="G262" s="44">
        <v>2024.0</v>
      </c>
      <c r="H262" s="44">
        <v>0.4587</v>
      </c>
      <c r="I262" s="44">
        <v>0.532</v>
      </c>
      <c r="J262" s="44">
        <v>6.0</v>
      </c>
      <c r="K262" s="44">
        <v>5.0</v>
      </c>
      <c r="L262" s="44">
        <v>1.0</v>
      </c>
      <c r="M262" s="45">
        <v>37.17</v>
      </c>
      <c r="N262" s="46" t="s">
        <v>764</v>
      </c>
    </row>
    <row r="263" ht="15.75" customHeight="1">
      <c r="A263" s="43" t="s">
        <v>1370</v>
      </c>
      <c r="B263" s="43" t="s">
        <v>603</v>
      </c>
      <c r="C263" s="43" t="s">
        <v>272</v>
      </c>
      <c r="D263" s="43" t="s">
        <v>891</v>
      </c>
      <c r="E263" s="43" t="s">
        <v>842</v>
      </c>
      <c r="F263" s="43" t="s">
        <v>751</v>
      </c>
      <c r="G263" s="44">
        <v>2024.0</v>
      </c>
      <c r="H263" s="44">
        <v>0.7111</v>
      </c>
      <c r="I263" s="44">
        <v>0.8538</v>
      </c>
      <c r="J263" s="44">
        <v>7.0</v>
      </c>
      <c r="K263" s="44">
        <v>5.0</v>
      </c>
      <c r="L263" s="44">
        <v>1.0</v>
      </c>
      <c r="M263" s="45">
        <v>65.35</v>
      </c>
      <c r="N263" s="46" t="s">
        <v>764</v>
      </c>
    </row>
    <row r="264" ht="15.75" customHeight="1">
      <c r="A264" s="43" t="s">
        <v>1372</v>
      </c>
      <c r="B264" s="43" t="s">
        <v>596</v>
      </c>
      <c r="C264" s="43" t="s">
        <v>211</v>
      </c>
      <c r="D264" s="43" t="s">
        <v>868</v>
      </c>
      <c r="E264" s="43" t="s">
        <v>842</v>
      </c>
      <c r="F264" s="43" t="s">
        <v>751</v>
      </c>
      <c r="G264" s="44">
        <v>2024.0</v>
      </c>
      <c r="H264" s="44">
        <v>0.8741</v>
      </c>
      <c r="I264" s="44">
        <v>1.131</v>
      </c>
      <c r="J264" s="44">
        <v>11.0</v>
      </c>
      <c r="K264" s="44">
        <v>7.0</v>
      </c>
      <c r="L264" s="44">
        <v>1.0</v>
      </c>
      <c r="M264" s="45">
        <v>74.16</v>
      </c>
      <c r="N264" s="46" t="s">
        <v>764</v>
      </c>
    </row>
    <row r="265" ht="15.75" customHeight="1">
      <c r="A265" s="43" t="s">
        <v>1374</v>
      </c>
      <c r="B265" s="43" t="s">
        <v>577</v>
      </c>
      <c r="C265" s="43" t="s">
        <v>457</v>
      </c>
      <c r="D265" s="43" t="s">
        <v>621</v>
      </c>
      <c r="E265" s="43" t="s">
        <v>817</v>
      </c>
      <c r="F265" s="43" t="s">
        <v>798</v>
      </c>
      <c r="G265" s="44">
        <v>2023.0</v>
      </c>
      <c r="H265" s="44">
        <v>0.1697</v>
      </c>
      <c r="I265" s="44">
        <v>0.209</v>
      </c>
      <c r="J265" s="44">
        <v>2.0</v>
      </c>
      <c r="K265" s="44">
        <v>1.0</v>
      </c>
      <c r="L265" s="44">
        <v>1.0</v>
      </c>
      <c r="M265" s="45">
        <v>1.1603</v>
      </c>
      <c r="N265" s="46" t="s">
        <v>764</v>
      </c>
    </row>
    <row r="266" ht="15.75" customHeight="1">
      <c r="A266" s="43" t="s">
        <v>1376</v>
      </c>
      <c r="B266" s="43" t="s">
        <v>605</v>
      </c>
      <c r="C266" s="43" t="s">
        <v>497</v>
      </c>
      <c r="D266" s="43" t="s">
        <v>912</v>
      </c>
      <c r="E266" s="43" t="s">
        <v>817</v>
      </c>
      <c r="F266" s="43" t="s">
        <v>798</v>
      </c>
      <c r="G266" s="44">
        <v>2023.0</v>
      </c>
      <c r="H266" s="44">
        <v>0.0968</v>
      </c>
      <c r="I266" s="44">
        <v>0.1218</v>
      </c>
      <c r="J266" s="44">
        <v>2.0</v>
      </c>
      <c r="K266" s="44">
        <v>1.0</v>
      </c>
      <c r="L266" s="44">
        <v>1.0</v>
      </c>
      <c r="M266" s="45">
        <v>0.421</v>
      </c>
      <c r="N266" s="46" t="s">
        <v>764</v>
      </c>
    </row>
    <row r="267" ht="15.75" customHeight="1">
      <c r="A267" s="43" t="s">
        <v>1378</v>
      </c>
      <c r="B267" s="43" t="s">
        <v>577</v>
      </c>
      <c r="C267" s="43" t="s">
        <v>414</v>
      </c>
      <c r="D267" s="43" t="s">
        <v>647</v>
      </c>
      <c r="E267" s="43" t="s">
        <v>797</v>
      </c>
      <c r="F267" s="43" t="s">
        <v>798</v>
      </c>
      <c r="G267" s="44">
        <v>2023.0</v>
      </c>
      <c r="H267" s="44">
        <v>0.0703</v>
      </c>
      <c r="I267" s="44">
        <v>0.0814</v>
      </c>
      <c r="J267" s="44">
        <v>2.0</v>
      </c>
      <c r="K267" s="44">
        <v>2.0</v>
      </c>
      <c r="L267" s="44">
        <v>1.0</v>
      </c>
      <c r="M267" s="45">
        <v>0.4084</v>
      </c>
      <c r="N267" s="46" t="s">
        <v>764</v>
      </c>
    </row>
    <row r="268" ht="15.75" customHeight="1">
      <c r="A268" s="43" t="s">
        <v>1379</v>
      </c>
      <c r="B268" s="43" t="s">
        <v>605</v>
      </c>
      <c r="C268" s="43" t="s">
        <v>483</v>
      </c>
      <c r="D268" s="43" t="s">
        <v>803</v>
      </c>
      <c r="E268" s="43" t="s">
        <v>826</v>
      </c>
      <c r="F268" s="43" t="s">
        <v>751</v>
      </c>
      <c r="G268" s="44">
        <v>2024.0</v>
      </c>
      <c r="H268" s="44">
        <v>0.4849</v>
      </c>
      <c r="I268" s="44">
        <v>0.6073</v>
      </c>
      <c r="J268" s="44">
        <v>5.0</v>
      </c>
      <c r="K268" s="44">
        <v>4.0</v>
      </c>
      <c r="L268" s="44">
        <v>1.0</v>
      </c>
      <c r="M268" s="45">
        <v>34.9</v>
      </c>
      <c r="N268" s="46" t="s">
        <v>764</v>
      </c>
    </row>
    <row r="269" ht="15.75" customHeight="1">
      <c r="A269" s="43" t="s">
        <v>1381</v>
      </c>
      <c r="B269" s="43" t="s">
        <v>596</v>
      </c>
      <c r="C269" s="43" t="s">
        <v>392</v>
      </c>
      <c r="D269" s="43" t="s">
        <v>838</v>
      </c>
      <c r="E269" s="43" t="s">
        <v>797</v>
      </c>
      <c r="F269" s="43" t="s">
        <v>798</v>
      </c>
      <c r="G269" s="44">
        <v>2023.0</v>
      </c>
      <c r="H269" s="44">
        <v>0.0942</v>
      </c>
      <c r="I269" s="44">
        <v>0.1127</v>
      </c>
      <c r="J269" s="44">
        <v>2.0</v>
      </c>
      <c r="K269" s="44">
        <v>1.0</v>
      </c>
      <c r="L269" s="44">
        <v>1.0</v>
      </c>
      <c r="M269" s="45">
        <v>0.4942</v>
      </c>
      <c r="N269" s="46" t="s">
        <v>764</v>
      </c>
    </row>
    <row r="270" ht="15.75" customHeight="1">
      <c r="A270" s="43" t="s">
        <v>1383</v>
      </c>
      <c r="B270" s="43" t="s">
        <v>603</v>
      </c>
      <c r="C270" s="43" t="s">
        <v>146</v>
      </c>
      <c r="D270" s="43" t="s">
        <v>906</v>
      </c>
      <c r="E270" s="43" t="s">
        <v>784</v>
      </c>
      <c r="F270" s="43" t="s">
        <v>751</v>
      </c>
      <c r="G270" s="44">
        <v>2024.0</v>
      </c>
      <c r="H270" s="44">
        <v>1.1164</v>
      </c>
      <c r="I270" s="44">
        <v>1.295</v>
      </c>
      <c r="J270" s="44">
        <v>14.0</v>
      </c>
      <c r="K270" s="44">
        <v>12.0</v>
      </c>
      <c r="L270" s="44">
        <v>2.0</v>
      </c>
      <c r="M270" s="45">
        <v>99.45</v>
      </c>
      <c r="N270" s="46" t="s">
        <v>764</v>
      </c>
    </row>
    <row r="271" ht="15.75" customHeight="1">
      <c r="A271" s="43" t="s">
        <v>1384</v>
      </c>
      <c r="B271" s="43" t="s">
        <v>577</v>
      </c>
      <c r="C271" s="43" t="s">
        <v>78</v>
      </c>
      <c r="D271" s="43" t="s">
        <v>680</v>
      </c>
      <c r="E271" s="43" t="s">
        <v>797</v>
      </c>
      <c r="F271" s="43" t="s">
        <v>798</v>
      </c>
      <c r="G271" s="44">
        <v>2023.0</v>
      </c>
      <c r="H271" s="44">
        <v>0.0236</v>
      </c>
      <c r="I271" s="44">
        <v>0.0304</v>
      </c>
      <c r="J271" s="44">
        <v>2.0</v>
      </c>
      <c r="K271" s="44">
        <v>1.0</v>
      </c>
      <c r="L271" s="44">
        <v>1.0</v>
      </c>
      <c r="M271" s="45">
        <v>0.102</v>
      </c>
      <c r="N271" s="46" t="s">
        <v>764</v>
      </c>
    </row>
    <row r="272" ht="15.75" customHeight="1">
      <c r="A272" s="43" t="s">
        <v>1386</v>
      </c>
      <c r="B272" s="43" t="s">
        <v>577</v>
      </c>
      <c r="C272" s="43" t="s">
        <v>237</v>
      </c>
      <c r="D272" s="43" t="s">
        <v>669</v>
      </c>
      <c r="E272" s="43" t="s">
        <v>784</v>
      </c>
      <c r="F272" s="43" t="s">
        <v>751</v>
      </c>
      <c r="G272" s="44">
        <v>2024.0</v>
      </c>
      <c r="H272" s="44">
        <v>0.6401</v>
      </c>
      <c r="I272" s="44">
        <v>0.7439</v>
      </c>
      <c r="J272" s="44">
        <v>7.0</v>
      </c>
      <c r="K272" s="44">
        <v>5.0</v>
      </c>
      <c r="L272" s="44">
        <v>1.0</v>
      </c>
      <c r="M272" s="45">
        <v>60.36</v>
      </c>
      <c r="N272" s="46" t="s">
        <v>764</v>
      </c>
    </row>
    <row r="273" ht="15.75" customHeight="1">
      <c r="A273" s="43" t="s">
        <v>1388</v>
      </c>
      <c r="B273" s="43" t="s">
        <v>605</v>
      </c>
      <c r="C273" s="43" t="s">
        <v>523</v>
      </c>
      <c r="D273" s="43" t="s">
        <v>872</v>
      </c>
      <c r="E273" s="43" t="s">
        <v>842</v>
      </c>
      <c r="F273" s="43" t="s">
        <v>751</v>
      </c>
      <c r="G273" s="44">
        <v>2024.0</v>
      </c>
      <c r="H273" s="44">
        <v>0.7886</v>
      </c>
      <c r="I273" s="44">
        <v>0.9441</v>
      </c>
      <c r="J273" s="44">
        <v>8.0</v>
      </c>
      <c r="K273" s="44">
        <v>6.0</v>
      </c>
      <c r="L273" s="44">
        <v>1.0</v>
      </c>
      <c r="M273" s="45">
        <v>56.18</v>
      </c>
      <c r="N273" s="46" t="s">
        <v>764</v>
      </c>
    </row>
    <row r="274" ht="15.75" customHeight="1">
      <c r="A274" s="43" t="s">
        <v>1390</v>
      </c>
      <c r="B274" s="43" t="s">
        <v>603</v>
      </c>
      <c r="C274" s="43" t="s">
        <v>521</v>
      </c>
      <c r="D274" s="43" t="s">
        <v>882</v>
      </c>
      <c r="E274" s="43" t="s">
        <v>797</v>
      </c>
      <c r="F274" s="43" t="s">
        <v>798</v>
      </c>
      <c r="G274" s="44">
        <v>2023.0</v>
      </c>
      <c r="H274" s="44">
        <v>0.0667</v>
      </c>
      <c r="I274" s="44">
        <v>0.0881</v>
      </c>
      <c r="J274" s="44">
        <v>2.0</v>
      </c>
      <c r="K274" s="44">
        <v>1.0</v>
      </c>
      <c r="L274" s="44">
        <v>1.0</v>
      </c>
      <c r="M274" s="45">
        <v>0.3101</v>
      </c>
      <c r="N274" s="46" t="s">
        <v>764</v>
      </c>
    </row>
    <row r="275" ht="15.75" customHeight="1">
      <c r="A275" s="43" t="s">
        <v>1391</v>
      </c>
      <c r="B275" s="43" t="s">
        <v>596</v>
      </c>
      <c r="C275" s="43" t="s">
        <v>481</v>
      </c>
      <c r="D275" s="43" t="s">
        <v>774</v>
      </c>
      <c r="E275" s="43" t="s">
        <v>836</v>
      </c>
      <c r="F275" s="43" t="s">
        <v>798</v>
      </c>
      <c r="G275" s="44">
        <v>2023.0</v>
      </c>
      <c r="H275" s="44">
        <v>0.0571</v>
      </c>
      <c r="I275" s="44">
        <v>0.0719</v>
      </c>
      <c r="J275" s="44">
        <v>2.0</v>
      </c>
      <c r="K275" s="44">
        <v>2.0</v>
      </c>
      <c r="L275" s="44">
        <v>1.0</v>
      </c>
      <c r="M275" s="45">
        <v>0.4566</v>
      </c>
      <c r="N275" s="46" t="s">
        <v>764</v>
      </c>
    </row>
    <row r="276" ht="15.75" customHeight="1">
      <c r="A276" s="43" t="s">
        <v>1393</v>
      </c>
      <c r="B276" s="43" t="s">
        <v>605</v>
      </c>
      <c r="C276" s="43" t="s">
        <v>324</v>
      </c>
      <c r="D276" s="43" t="s">
        <v>970</v>
      </c>
      <c r="E276" s="43" t="s">
        <v>817</v>
      </c>
      <c r="F276" s="43" t="s">
        <v>798</v>
      </c>
      <c r="G276" s="44">
        <v>2023.0</v>
      </c>
      <c r="H276" s="44">
        <v>0.0875</v>
      </c>
      <c r="I276" s="44">
        <v>0.1066</v>
      </c>
      <c r="J276" s="44">
        <v>2.0</v>
      </c>
      <c r="K276" s="44">
        <v>1.0</v>
      </c>
      <c r="L276" s="44">
        <v>1.0</v>
      </c>
      <c r="M276" s="45">
        <v>0.4247</v>
      </c>
      <c r="N276" s="46" t="s">
        <v>764</v>
      </c>
    </row>
    <row r="277" ht="15.75" customHeight="1">
      <c r="A277" s="43" t="s">
        <v>1395</v>
      </c>
      <c r="B277" s="43" t="s">
        <v>577</v>
      </c>
      <c r="C277" s="43" t="s">
        <v>328</v>
      </c>
      <c r="D277" s="43" t="s">
        <v>699</v>
      </c>
      <c r="E277" s="43" t="s">
        <v>826</v>
      </c>
      <c r="F277" s="43" t="s">
        <v>751</v>
      </c>
      <c r="G277" s="44">
        <v>2024.0</v>
      </c>
      <c r="H277" s="44">
        <v>0.3596</v>
      </c>
      <c r="I277" s="44">
        <v>0.4415</v>
      </c>
      <c r="J277" s="44">
        <v>2.0</v>
      </c>
      <c r="K277" s="44">
        <v>1.0</v>
      </c>
      <c r="L277" s="44">
        <v>1.0</v>
      </c>
      <c r="M277" s="45">
        <v>29.44</v>
      </c>
      <c r="N277" s="46" t="s">
        <v>764</v>
      </c>
    </row>
    <row r="278" ht="15.75" customHeight="1">
      <c r="A278" s="43" t="s">
        <v>1397</v>
      </c>
      <c r="B278" s="43" t="s">
        <v>577</v>
      </c>
      <c r="C278" s="43" t="s">
        <v>501</v>
      </c>
      <c r="D278" s="43" t="s">
        <v>691</v>
      </c>
      <c r="E278" s="43" t="s">
        <v>817</v>
      </c>
      <c r="F278" s="43" t="s">
        <v>798</v>
      </c>
      <c r="G278" s="44">
        <v>2023.0</v>
      </c>
      <c r="H278" s="44">
        <v>0.1622</v>
      </c>
      <c r="I278" s="44">
        <v>0.2086</v>
      </c>
      <c r="J278" s="44">
        <v>6.0</v>
      </c>
      <c r="K278" s="44">
        <v>3.0</v>
      </c>
      <c r="L278" s="44">
        <v>1.0</v>
      </c>
      <c r="M278" s="45">
        <v>0.8539</v>
      </c>
      <c r="N278" s="46" t="s">
        <v>764</v>
      </c>
    </row>
    <row r="279" ht="15.75" customHeight="1">
      <c r="A279" s="43" t="s">
        <v>1399</v>
      </c>
      <c r="B279" s="43" t="s">
        <v>596</v>
      </c>
      <c r="C279" s="43" t="s">
        <v>481</v>
      </c>
      <c r="D279" s="43" t="s">
        <v>774</v>
      </c>
      <c r="E279" s="43" t="s">
        <v>784</v>
      </c>
      <c r="F279" s="43" t="s">
        <v>751</v>
      </c>
      <c r="G279" s="44">
        <v>2024.0</v>
      </c>
      <c r="H279" s="44">
        <v>2.7477</v>
      </c>
      <c r="I279" s="44">
        <v>3.1931</v>
      </c>
      <c r="J279" s="44">
        <v>27.0</v>
      </c>
      <c r="K279" s="44">
        <v>13.0</v>
      </c>
      <c r="L279" s="44">
        <v>3.0</v>
      </c>
      <c r="M279" s="45">
        <v>243.94</v>
      </c>
      <c r="N279" s="46" t="s">
        <v>764</v>
      </c>
    </row>
    <row r="280" ht="15.75" customHeight="1">
      <c r="A280" s="43" t="s">
        <v>1400</v>
      </c>
      <c r="B280" s="43" t="s">
        <v>577</v>
      </c>
      <c r="C280" s="43" t="s">
        <v>51</v>
      </c>
      <c r="D280" s="43" t="s">
        <v>641</v>
      </c>
      <c r="E280" s="43" t="s">
        <v>784</v>
      </c>
      <c r="F280" s="43" t="s">
        <v>751</v>
      </c>
      <c r="G280" s="44">
        <v>2024.0</v>
      </c>
      <c r="H280" s="44">
        <v>1.1881</v>
      </c>
      <c r="I280" s="44">
        <v>1.4731</v>
      </c>
      <c r="J280" s="44">
        <v>12.0</v>
      </c>
      <c r="K280" s="44">
        <v>10.0</v>
      </c>
      <c r="L280" s="44">
        <v>1.0</v>
      </c>
      <c r="M280" s="45">
        <v>149.05</v>
      </c>
      <c r="N280" s="46" t="s">
        <v>764</v>
      </c>
    </row>
    <row r="281" ht="15.75" customHeight="1">
      <c r="A281" s="43" t="s">
        <v>1402</v>
      </c>
      <c r="B281" s="43" t="s">
        <v>577</v>
      </c>
      <c r="C281" s="43" t="s">
        <v>169</v>
      </c>
      <c r="D281" s="43" t="s">
        <v>655</v>
      </c>
      <c r="E281" s="43" t="s">
        <v>749</v>
      </c>
      <c r="F281" s="43" t="s">
        <v>751</v>
      </c>
      <c r="G281" s="44">
        <v>2024.0</v>
      </c>
      <c r="H281" s="44">
        <v>0.0056</v>
      </c>
      <c r="I281" s="44">
        <v>0.0062</v>
      </c>
      <c r="J281" s="44">
        <v>2.0</v>
      </c>
      <c r="K281" s="44">
        <v>2.0</v>
      </c>
      <c r="L281" s="44">
        <v>1.0</v>
      </c>
      <c r="M281" s="45">
        <v>0.42</v>
      </c>
      <c r="N281" s="46" t="s">
        <v>764</v>
      </c>
    </row>
    <row r="282" ht="15.75" customHeight="1">
      <c r="A282" s="43" t="s">
        <v>1404</v>
      </c>
      <c r="B282" s="43" t="s">
        <v>581</v>
      </c>
      <c r="C282" s="43" t="s">
        <v>299</v>
      </c>
      <c r="D282" s="43" t="s">
        <v>736</v>
      </c>
      <c r="E282" s="43" t="s">
        <v>836</v>
      </c>
      <c r="F282" s="43" t="s">
        <v>798</v>
      </c>
      <c r="G282" s="44">
        <v>2023.0</v>
      </c>
      <c r="H282" s="44">
        <v>0.1592</v>
      </c>
      <c r="I282" s="44">
        <v>0.1806</v>
      </c>
      <c r="J282" s="44">
        <v>4.0</v>
      </c>
      <c r="K282" s="44">
        <v>2.0</v>
      </c>
      <c r="L282" s="44">
        <v>1.0</v>
      </c>
      <c r="M282" s="45">
        <v>2.3061</v>
      </c>
      <c r="N282" s="46" t="s">
        <v>764</v>
      </c>
    </row>
    <row r="283" ht="15.75" customHeight="1">
      <c r="A283" s="43" t="s">
        <v>1405</v>
      </c>
      <c r="B283" s="43" t="s">
        <v>603</v>
      </c>
      <c r="C283" s="43" t="s">
        <v>146</v>
      </c>
      <c r="D283" s="43" t="s">
        <v>906</v>
      </c>
      <c r="E283" s="43" t="s">
        <v>797</v>
      </c>
      <c r="F283" s="43" t="s">
        <v>798</v>
      </c>
      <c r="G283" s="44">
        <v>2023.0</v>
      </c>
      <c r="H283" s="44">
        <v>0.0243</v>
      </c>
      <c r="I283" s="44">
        <v>0.0281</v>
      </c>
      <c r="J283" s="44">
        <v>2.0</v>
      </c>
      <c r="K283" s="44">
        <v>1.0</v>
      </c>
      <c r="L283" s="44">
        <v>1.0</v>
      </c>
      <c r="M283" s="45">
        <v>0.1309</v>
      </c>
      <c r="N283" s="46" t="s">
        <v>764</v>
      </c>
    </row>
    <row r="284" ht="15.75" customHeight="1">
      <c r="A284" s="43" t="s">
        <v>1407</v>
      </c>
      <c r="B284" s="43" t="s">
        <v>577</v>
      </c>
      <c r="C284" s="43" t="s">
        <v>511</v>
      </c>
      <c r="D284" s="43" t="s">
        <v>626</v>
      </c>
      <c r="E284" s="43" t="s">
        <v>784</v>
      </c>
      <c r="F284" s="43" t="s">
        <v>751</v>
      </c>
      <c r="G284" s="44">
        <v>2024.0</v>
      </c>
      <c r="H284" s="44">
        <v>0.2915</v>
      </c>
      <c r="I284" s="44">
        <v>0.3344</v>
      </c>
      <c r="J284" s="44">
        <v>2.0</v>
      </c>
      <c r="K284" s="44">
        <v>1.0</v>
      </c>
      <c r="L284" s="44">
        <v>1.0</v>
      </c>
      <c r="M284" s="45">
        <v>34.25</v>
      </c>
      <c r="N284" s="46" t="s">
        <v>764</v>
      </c>
    </row>
    <row r="285" ht="15.75" customHeight="1">
      <c r="A285" s="43" t="s">
        <v>1409</v>
      </c>
      <c r="B285" s="43" t="s">
        <v>605</v>
      </c>
      <c r="C285" s="43" t="s">
        <v>160</v>
      </c>
      <c r="D285" s="43" t="s">
        <v>937</v>
      </c>
      <c r="E285" s="43" t="s">
        <v>817</v>
      </c>
      <c r="F285" s="43" t="s">
        <v>798</v>
      </c>
      <c r="G285" s="44">
        <v>2023.0</v>
      </c>
      <c r="H285" s="44">
        <v>0.1048</v>
      </c>
      <c r="I285" s="44">
        <v>0.1256</v>
      </c>
      <c r="J285" s="44">
        <v>2.0</v>
      </c>
      <c r="K285" s="44">
        <v>2.0</v>
      </c>
      <c r="L285" s="44">
        <v>1.0</v>
      </c>
      <c r="M285" s="45">
        <v>0.625</v>
      </c>
      <c r="N285" s="46" t="s">
        <v>764</v>
      </c>
    </row>
    <row r="286" ht="15.75" customHeight="1">
      <c r="A286" s="43" t="s">
        <v>1411</v>
      </c>
      <c r="B286" s="43" t="s">
        <v>581</v>
      </c>
      <c r="C286" s="43" t="s">
        <v>336</v>
      </c>
      <c r="D286" s="43" t="s">
        <v>755</v>
      </c>
      <c r="E286" s="43" t="s">
        <v>842</v>
      </c>
      <c r="F286" s="43" t="s">
        <v>751</v>
      </c>
      <c r="G286" s="44">
        <v>2024.0</v>
      </c>
      <c r="H286" s="44">
        <v>0.1432</v>
      </c>
      <c r="I286" s="44">
        <v>0.1694</v>
      </c>
      <c r="J286" s="44">
        <v>2.0</v>
      </c>
      <c r="K286" s="44">
        <v>2.0</v>
      </c>
      <c r="L286" s="44">
        <v>1.0</v>
      </c>
      <c r="M286" s="45">
        <v>9.41</v>
      </c>
      <c r="N286" s="46" t="s">
        <v>764</v>
      </c>
    </row>
    <row r="287" ht="15.75" customHeight="1">
      <c r="A287" s="43" t="s">
        <v>1412</v>
      </c>
      <c r="B287" s="43" t="s">
        <v>577</v>
      </c>
      <c r="C287" s="43" t="s">
        <v>511</v>
      </c>
      <c r="D287" s="43" t="s">
        <v>626</v>
      </c>
      <c r="E287" s="43" t="s">
        <v>842</v>
      </c>
      <c r="F287" s="43" t="s">
        <v>751</v>
      </c>
      <c r="G287" s="44">
        <v>2024.0</v>
      </c>
      <c r="H287" s="44">
        <v>1.4864</v>
      </c>
      <c r="I287" s="44">
        <v>1.7434</v>
      </c>
      <c r="J287" s="44">
        <v>14.0</v>
      </c>
      <c r="K287" s="44">
        <v>8.0</v>
      </c>
      <c r="L287" s="44">
        <v>1.0</v>
      </c>
      <c r="M287" s="45">
        <v>117.93</v>
      </c>
      <c r="N287" s="46" t="s">
        <v>764</v>
      </c>
    </row>
    <row r="288" ht="15.75" customHeight="1">
      <c r="A288" s="43" t="s">
        <v>1414</v>
      </c>
      <c r="B288" s="43" t="s">
        <v>581</v>
      </c>
      <c r="C288" s="43" t="s">
        <v>477</v>
      </c>
      <c r="D288" s="43" t="s">
        <v>759</v>
      </c>
      <c r="E288" s="43" t="s">
        <v>836</v>
      </c>
      <c r="F288" s="43" t="s">
        <v>798</v>
      </c>
      <c r="G288" s="44">
        <v>2023.0</v>
      </c>
      <c r="H288" s="44">
        <v>1.8275</v>
      </c>
      <c r="I288" s="44">
        <v>2.4086</v>
      </c>
      <c r="J288" s="44">
        <v>18.0</v>
      </c>
      <c r="K288" s="44">
        <v>15.0</v>
      </c>
      <c r="L288" s="44">
        <v>2.0</v>
      </c>
      <c r="M288" s="45">
        <v>14.1115</v>
      </c>
      <c r="N288" s="46" t="s">
        <v>764</v>
      </c>
    </row>
    <row r="289" ht="15.75" customHeight="1">
      <c r="A289" s="43" t="s">
        <v>1416</v>
      </c>
      <c r="B289" s="43" t="s">
        <v>577</v>
      </c>
      <c r="C289" s="43" t="s">
        <v>457</v>
      </c>
      <c r="D289" s="43" t="s">
        <v>621</v>
      </c>
      <c r="E289" s="43" t="s">
        <v>836</v>
      </c>
      <c r="F289" s="43" t="s">
        <v>798</v>
      </c>
      <c r="G289" s="44">
        <v>2023.0</v>
      </c>
      <c r="H289" s="44">
        <v>0.2419</v>
      </c>
      <c r="I289" s="44">
        <v>0.3134</v>
      </c>
      <c r="J289" s="44">
        <v>2.0</v>
      </c>
      <c r="K289" s="44">
        <v>1.0</v>
      </c>
      <c r="L289" s="44">
        <v>1.0</v>
      </c>
      <c r="M289" s="45">
        <v>3.1687</v>
      </c>
      <c r="N289" s="46" t="s">
        <v>764</v>
      </c>
    </row>
    <row r="290" ht="15.75" customHeight="1">
      <c r="A290" s="43" t="s">
        <v>1418</v>
      </c>
      <c r="B290" s="43" t="s">
        <v>577</v>
      </c>
      <c r="C290" s="43" t="s">
        <v>372</v>
      </c>
      <c r="D290" s="43" t="s">
        <v>673</v>
      </c>
      <c r="E290" s="43" t="s">
        <v>784</v>
      </c>
      <c r="F290" s="43" t="s">
        <v>751</v>
      </c>
      <c r="G290" s="44">
        <v>2024.0</v>
      </c>
      <c r="H290" s="44">
        <v>1.5384</v>
      </c>
      <c r="I290" s="44">
        <v>1.7284</v>
      </c>
      <c r="J290" s="44">
        <v>15.0</v>
      </c>
      <c r="K290" s="44">
        <v>12.0</v>
      </c>
      <c r="L290" s="44">
        <v>1.0</v>
      </c>
      <c r="M290" s="45">
        <v>125.69</v>
      </c>
      <c r="N290" s="46" t="s">
        <v>764</v>
      </c>
    </row>
    <row r="291" ht="15.75" customHeight="1">
      <c r="A291" s="43" t="s">
        <v>1420</v>
      </c>
      <c r="B291" s="43" t="s">
        <v>577</v>
      </c>
      <c r="C291" s="43" t="s">
        <v>229</v>
      </c>
      <c r="D291" s="43" t="s">
        <v>630</v>
      </c>
      <c r="E291" s="43" t="s">
        <v>826</v>
      </c>
      <c r="F291" s="43" t="s">
        <v>751</v>
      </c>
      <c r="G291" s="44">
        <v>2024.0</v>
      </c>
      <c r="H291" s="44">
        <v>0.8004</v>
      </c>
      <c r="I291" s="44">
        <v>0.8945</v>
      </c>
      <c r="J291" s="44">
        <v>10.0</v>
      </c>
      <c r="K291" s="44">
        <v>6.0</v>
      </c>
      <c r="L291" s="44">
        <v>1.0</v>
      </c>
      <c r="M291" s="45">
        <v>87.0</v>
      </c>
      <c r="N291" s="46" t="s">
        <v>764</v>
      </c>
    </row>
    <row r="292" ht="15.75" customHeight="1">
      <c r="A292" s="43" t="s">
        <v>1423</v>
      </c>
      <c r="B292" s="43" t="s">
        <v>603</v>
      </c>
      <c r="C292" s="43" t="s">
        <v>317</v>
      </c>
      <c r="D292" s="43" t="s">
        <v>917</v>
      </c>
      <c r="E292" s="43" t="s">
        <v>817</v>
      </c>
      <c r="F292" s="43" t="s">
        <v>798</v>
      </c>
      <c r="G292" s="44">
        <v>2023.0</v>
      </c>
      <c r="H292" s="44">
        <v>0.4238</v>
      </c>
      <c r="I292" s="44">
        <v>0.5619</v>
      </c>
      <c r="J292" s="44">
        <v>6.0</v>
      </c>
      <c r="K292" s="44">
        <v>4.0</v>
      </c>
      <c r="L292" s="44">
        <v>1.0</v>
      </c>
      <c r="M292" s="45">
        <v>1.6638</v>
      </c>
      <c r="N292" s="46" t="s">
        <v>764</v>
      </c>
    </row>
    <row r="293" ht="15.75" customHeight="1">
      <c r="A293" s="43" t="s">
        <v>1425</v>
      </c>
      <c r="B293" s="43" t="s">
        <v>603</v>
      </c>
      <c r="C293" s="43" t="s">
        <v>495</v>
      </c>
      <c r="D293" s="43" t="s">
        <v>900</v>
      </c>
      <c r="E293" s="43" t="s">
        <v>826</v>
      </c>
      <c r="F293" s="43" t="s">
        <v>751</v>
      </c>
      <c r="G293" s="44">
        <v>2024.0</v>
      </c>
      <c r="H293" s="44">
        <v>0.496</v>
      </c>
      <c r="I293" s="44">
        <v>0.5389</v>
      </c>
      <c r="J293" s="44">
        <v>8.0</v>
      </c>
      <c r="K293" s="44">
        <v>5.0</v>
      </c>
      <c r="L293" s="44">
        <v>1.0</v>
      </c>
      <c r="M293" s="45">
        <v>43.08</v>
      </c>
      <c r="N293" s="46" t="s">
        <v>764</v>
      </c>
    </row>
    <row r="294" ht="15.75" customHeight="1">
      <c r="A294" s="43" t="s">
        <v>1426</v>
      </c>
      <c r="B294" s="43" t="s">
        <v>577</v>
      </c>
      <c r="C294" s="43" t="s">
        <v>328</v>
      </c>
      <c r="D294" s="43" t="s">
        <v>699</v>
      </c>
      <c r="E294" s="43" t="s">
        <v>842</v>
      </c>
      <c r="F294" s="43" t="s">
        <v>751</v>
      </c>
      <c r="G294" s="44">
        <v>2024.0</v>
      </c>
      <c r="H294" s="44">
        <v>1.1263</v>
      </c>
      <c r="I294" s="44">
        <v>1.2362</v>
      </c>
      <c r="J294" s="44">
        <v>11.0</v>
      </c>
      <c r="K294" s="44">
        <v>9.0</v>
      </c>
      <c r="L294" s="44">
        <v>1.0</v>
      </c>
      <c r="M294" s="45">
        <v>108.23</v>
      </c>
      <c r="N294" s="46" t="s">
        <v>764</v>
      </c>
    </row>
    <row r="295" ht="15.75" customHeight="1">
      <c r="A295" s="43" t="s">
        <v>1428</v>
      </c>
      <c r="B295" s="43" t="s">
        <v>596</v>
      </c>
      <c r="C295" s="43" t="s">
        <v>443</v>
      </c>
      <c r="D295" s="43" t="s">
        <v>808</v>
      </c>
      <c r="E295" s="43" t="s">
        <v>826</v>
      </c>
      <c r="F295" s="43" t="s">
        <v>751</v>
      </c>
      <c r="G295" s="44">
        <v>2024.0</v>
      </c>
      <c r="H295" s="44">
        <v>0.6369</v>
      </c>
      <c r="I295" s="44">
        <v>0.7328</v>
      </c>
      <c r="J295" s="44">
        <v>7.0</v>
      </c>
      <c r="K295" s="44">
        <v>5.0</v>
      </c>
      <c r="L295" s="44">
        <v>1.0</v>
      </c>
      <c r="M295" s="45">
        <v>55.35</v>
      </c>
      <c r="N295" s="46" t="s">
        <v>764</v>
      </c>
    </row>
    <row r="296" ht="15.75" customHeight="1">
      <c r="A296" s="43" t="s">
        <v>1431</v>
      </c>
      <c r="B296" s="43" t="s">
        <v>581</v>
      </c>
      <c r="C296" s="43" t="s">
        <v>505</v>
      </c>
      <c r="D296" s="43" t="s">
        <v>799</v>
      </c>
      <c r="E296" s="43" t="s">
        <v>784</v>
      </c>
      <c r="F296" s="43" t="s">
        <v>751</v>
      </c>
      <c r="G296" s="44">
        <v>2024.0</v>
      </c>
      <c r="H296" s="44">
        <v>1.3696</v>
      </c>
      <c r="I296" s="44">
        <v>1.5755</v>
      </c>
      <c r="J296" s="44">
        <v>13.0</v>
      </c>
      <c r="K296" s="44">
        <v>8.0</v>
      </c>
      <c r="L296" s="44">
        <v>1.0</v>
      </c>
      <c r="M296" s="45">
        <v>126.98</v>
      </c>
      <c r="N296" s="46" t="s">
        <v>764</v>
      </c>
    </row>
    <row r="297" ht="15.75" customHeight="1">
      <c r="A297" s="43" t="s">
        <v>1433</v>
      </c>
      <c r="B297" s="43" t="s">
        <v>577</v>
      </c>
      <c r="C297" s="43" t="s">
        <v>78</v>
      </c>
      <c r="D297" s="43" t="s">
        <v>680</v>
      </c>
      <c r="E297" s="43" t="s">
        <v>817</v>
      </c>
      <c r="F297" s="43" t="s">
        <v>798</v>
      </c>
      <c r="G297" s="44">
        <v>2023.0</v>
      </c>
      <c r="H297" s="44">
        <v>0.0718</v>
      </c>
      <c r="I297" s="44">
        <v>0.0887</v>
      </c>
      <c r="J297" s="44">
        <v>3.0</v>
      </c>
      <c r="K297" s="44">
        <v>2.0</v>
      </c>
      <c r="L297" s="44">
        <v>1.0</v>
      </c>
      <c r="M297" s="45">
        <v>0.2262</v>
      </c>
      <c r="N297" s="46" t="s">
        <v>764</v>
      </c>
    </row>
    <row r="298" ht="15.75" customHeight="1">
      <c r="A298" s="43" t="s">
        <v>1435</v>
      </c>
      <c r="B298" s="43" t="s">
        <v>581</v>
      </c>
      <c r="C298" s="43" t="s">
        <v>430</v>
      </c>
      <c r="D298" s="43" t="s">
        <v>741</v>
      </c>
      <c r="E298" s="43" t="s">
        <v>797</v>
      </c>
      <c r="F298" s="43" t="s">
        <v>798</v>
      </c>
      <c r="G298" s="44">
        <v>2023.0</v>
      </c>
      <c r="H298" s="44">
        <v>0.0243</v>
      </c>
      <c r="I298" s="44">
        <v>0.0317</v>
      </c>
      <c r="J298" s="44">
        <v>3.0</v>
      </c>
      <c r="K298" s="44">
        <v>2.0</v>
      </c>
      <c r="L298" s="44">
        <v>1.0</v>
      </c>
      <c r="M298" s="45">
        <v>0.1138</v>
      </c>
      <c r="N298" s="46" t="s">
        <v>764</v>
      </c>
    </row>
    <row r="299" ht="15.75" customHeight="1">
      <c r="A299" s="43" t="s">
        <v>1437</v>
      </c>
      <c r="B299" s="43" t="s">
        <v>577</v>
      </c>
      <c r="C299" s="43" t="s">
        <v>501</v>
      </c>
      <c r="D299" s="43" t="s">
        <v>691</v>
      </c>
      <c r="E299" s="43" t="s">
        <v>842</v>
      </c>
      <c r="F299" s="43" t="s">
        <v>751</v>
      </c>
      <c r="G299" s="44">
        <v>2024.0</v>
      </c>
      <c r="H299" s="44">
        <v>0.3003</v>
      </c>
      <c r="I299" s="44">
        <v>0.3486</v>
      </c>
      <c r="J299" s="44">
        <v>3.0</v>
      </c>
      <c r="K299" s="44">
        <v>2.0</v>
      </c>
      <c r="L299" s="44">
        <v>1.0</v>
      </c>
      <c r="M299" s="45">
        <v>22.85</v>
      </c>
      <c r="N299" s="46" t="s">
        <v>764</v>
      </c>
    </row>
    <row r="300" ht="15.75" customHeight="1">
      <c r="A300" s="43" t="s">
        <v>1438</v>
      </c>
      <c r="B300" s="43" t="s">
        <v>581</v>
      </c>
      <c r="C300" s="43" t="s">
        <v>202</v>
      </c>
      <c r="D300" s="43" t="s">
        <v>803</v>
      </c>
      <c r="E300" s="43" t="s">
        <v>826</v>
      </c>
      <c r="F300" s="43" t="s">
        <v>751</v>
      </c>
      <c r="G300" s="44">
        <v>2024.0</v>
      </c>
      <c r="H300" s="44">
        <v>0.9614</v>
      </c>
      <c r="I300" s="44">
        <v>1.269</v>
      </c>
      <c r="J300" s="44">
        <v>6.0</v>
      </c>
      <c r="K300" s="44">
        <v>3.0</v>
      </c>
      <c r="L300" s="44">
        <v>1.0</v>
      </c>
      <c r="M300" s="45">
        <v>77.79</v>
      </c>
      <c r="N300" s="46" t="s">
        <v>764</v>
      </c>
    </row>
    <row r="301" ht="15.75" customHeight="1">
      <c r="A301" s="43" t="s">
        <v>1440</v>
      </c>
      <c r="B301" s="43" t="s">
        <v>577</v>
      </c>
      <c r="C301" s="43" t="s">
        <v>511</v>
      </c>
      <c r="D301" s="43" t="s">
        <v>626</v>
      </c>
      <c r="E301" s="43" t="s">
        <v>797</v>
      </c>
      <c r="F301" s="43" t="s">
        <v>798</v>
      </c>
      <c r="G301" s="44">
        <v>2023.0</v>
      </c>
      <c r="H301" s="44">
        <v>0.019</v>
      </c>
      <c r="I301" s="44">
        <v>0.0214</v>
      </c>
      <c r="J301" s="44">
        <v>2.0</v>
      </c>
      <c r="K301" s="44">
        <v>1.0</v>
      </c>
      <c r="L301" s="44">
        <v>1.0</v>
      </c>
      <c r="M301" s="45">
        <v>0.0962</v>
      </c>
      <c r="N301" s="46" t="s">
        <v>764</v>
      </c>
    </row>
    <row r="302" ht="15.75" customHeight="1">
      <c r="A302" s="43" t="s">
        <v>1442</v>
      </c>
      <c r="B302" s="43" t="s">
        <v>603</v>
      </c>
      <c r="C302" s="43" t="s">
        <v>272</v>
      </c>
      <c r="D302" s="43" t="s">
        <v>891</v>
      </c>
      <c r="E302" s="43" t="s">
        <v>836</v>
      </c>
      <c r="F302" s="43" t="s">
        <v>798</v>
      </c>
      <c r="G302" s="44">
        <v>2023.0</v>
      </c>
      <c r="H302" s="44">
        <v>0.2565</v>
      </c>
      <c r="I302" s="44">
        <v>0.3136</v>
      </c>
      <c r="J302" s="44">
        <v>2.0</v>
      </c>
      <c r="K302" s="44">
        <v>1.0</v>
      </c>
      <c r="L302" s="44">
        <v>1.0</v>
      </c>
      <c r="M302" s="45">
        <v>3.1402</v>
      </c>
      <c r="N302" s="46" t="s">
        <v>764</v>
      </c>
    </row>
    <row r="303" ht="15.75" customHeight="1">
      <c r="A303" s="43" t="s">
        <v>1444</v>
      </c>
      <c r="B303" s="43" t="s">
        <v>577</v>
      </c>
      <c r="C303" s="43" t="s">
        <v>499</v>
      </c>
      <c r="D303" s="43" t="s">
        <v>651</v>
      </c>
      <c r="E303" s="43" t="s">
        <v>749</v>
      </c>
      <c r="F303" s="43" t="s">
        <v>751</v>
      </c>
      <c r="G303" s="44">
        <v>2024.0</v>
      </c>
      <c r="H303" s="44">
        <v>0.0044</v>
      </c>
      <c r="I303" s="44">
        <v>0.0059</v>
      </c>
      <c r="J303" s="44">
        <v>2.0</v>
      </c>
      <c r="K303" s="44">
        <v>1.0</v>
      </c>
      <c r="L303" s="44">
        <v>1.0</v>
      </c>
      <c r="M303" s="45">
        <v>0.41</v>
      </c>
      <c r="N303" s="46" t="s">
        <v>764</v>
      </c>
    </row>
    <row r="304" ht="15.75" customHeight="1">
      <c r="A304" s="43" t="s">
        <v>1446</v>
      </c>
      <c r="B304" s="43" t="s">
        <v>581</v>
      </c>
      <c r="C304" s="43" t="s">
        <v>305</v>
      </c>
      <c r="D304" s="43" t="s">
        <v>788</v>
      </c>
      <c r="E304" s="43" t="s">
        <v>797</v>
      </c>
      <c r="F304" s="43" t="s">
        <v>798</v>
      </c>
      <c r="G304" s="44">
        <v>2023.0</v>
      </c>
      <c r="H304" s="44">
        <v>0.0393</v>
      </c>
      <c r="I304" s="44">
        <v>0.0481</v>
      </c>
      <c r="J304" s="44">
        <v>5.0</v>
      </c>
      <c r="K304" s="44">
        <v>3.0</v>
      </c>
      <c r="L304" s="44">
        <v>1.0</v>
      </c>
      <c r="M304" s="45">
        <v>0.1645</v>
      </c>
      <c r="N304" s="46" t="s">
        <v>764</v>
      </c>
    </row>
    <row r="305" ht="15.75" customHeight="1">
      <c r="A305" s="43" t="s">
        <v>1448</v>
      </c>
      <c r="B305" s="43" t="s">
        <v>577</v>
      </c>
      <c r="C305" s="43" t="s">
        <v>513</v>
      </c>
      <c r="D305" s="43" t="s">
        <v>666</v>
      </c>
      <c r="E305" s="43" t="s">
        <v>842</v>
      </c>
      <c r="F305" s="43" t="s">
        <v>751</v>
      </c>
      <c r="G305" s="44">
        <v>2024.0</v>
      </c>
      <c r="H305" s="44">
        <v>0.5615</v>
      </c>
      <c r="I305" s="44">
        <v>0.6192</v>
      </c>
      <c r="J305" s="44">
        <v>4.0</v>
      </c>
      <c r="K305" s="44">
        <v>2.0</v>
      </c>
      <c r="L305" s="44">
        <v>1.0</v>
      </c>
      <c r="M305" s="45">
        <v>39.8</v>
      </c>
      <c r="N305" s="46" t="s">
        <v>764</v>
      </c>
    </row>
    <row r="306" ht="15.75" customHeight="1">
      <c r="A306" s="43" t="s">
        <v>1449</v>
      </c>
      <c r="B306" s="43" t="s">
        <v>581</v>
      </c>
      <c r="C306" s="43" t="s">
        <v>436</v>
      </c>
      <c r="D306" s="43" t="s">
        <v>793</v>
      </c>
      <c r="E306" s="43" t="s">
        <v>784</v>
      </c>
      <c r="F306" s="43" t="s">
        <v>751</v>
      </c>
      <c r="G306" s="44">
        <v>2024.0</v>
      </c>
      <c r="H306" s="44">
        <v>0.52</v>
      </c>
      <c r="I306" s="44">
        <v>0.588</v>
      </c>
      <c r="J306" s="44">
        <v>9.0</v>
      </c>
      <c r="K306" s="44">
        <v>6.0</v>
      </c>
      <c r="L306" s="44">
        <v>1.0</v>
      </c>
      <c r="M306" s="45">
        <v>37.93</v>
      </c>
      <c r="N306" s="46" t="s">
        <v>764</v>
      </c>
    </row>
    <row r="307" ht="15.75" customHeight="1">
      <c r="A307" s="43" t="s">
        <v>1450</v>
      </c>
      <c r="B307" s="43" t="s">
        <v>577</v>
      </c>
      <c r="C307" s="43" t="s">
        <v>363</v>
      </c>
      <c r="D307" s="43" t="s">
        <v>634</v>
      </c>
      <c r="E307" s="43" t="s">
        <v>749</v>
      </c>
      <c r="F307" s="43" t="s">
        <v>751</v>
      </c>
      <c r="G307" s="44">
        <v>2024.0</v>
      </c>
      <c r="H307" s="44">
        <v>0.0163</v>
      </c>
      <c r="I307" s="44">
        <v>0.0199</v>
      </c>
      <c r="J307" s="44">
        <v>2.0</v>
      </c>
      <c r="K307" s="44">
        <v>2.0</v>
      </c>
      <c r="L307" s="44">
        <v>1.0</v>
      </c>
      <c r="M307" s="45">
        <v>1.51</v>
      </c>
      <c r="N307" s="46" t="s">
        <v>764</v>
      </c>
    </row>
    <row r="308" ht="15.75" customHeight="1">
      <c r="A308" s="43" t="s">
        <v>1451</v>
      </c>
      <c r="B308" s="43" t="s">
        <v>577</v>
      </c>
      <c r="C308" s="43" t="s">
        <v>185</v>
      </c>
      <c r="D308" s="43" t="s">
        <v>695</v>
      </c>
      <c r="E308" s="43" t="s">
        <v>797</v>
      </c>
      <c r="F308" s="43" t="s">
        <v>798</v>
      </c>
      <c r="G308" s="44">
        <v>2023.0</v>
      </c>
      <c r="H308" s="44">
        <v>0.147</v>
      </c>
      <c r="I308" s="44">
        <v>0.1775</v>
      </c>
      <c r="J308" s="44">
        <v>2.0</v>
      </c>
      <c r="K308" s="44">
        <v>1.0</v>
      </c>
      <c r="L308" s="44">
        <v>1.0</v>
      </c>
      <c r="M308" s="45">
        <v>0.8027</v>
      </c>
      <c r="N308" s="46" t="s">
        <v>764</v>
      </c>
    </row>
    <row r="309" ht="15.75" customHeight="1">
      <c r="A309" s="43" t="s">
        <v>1452</v>
      </c>
      <c r="B309" s="43" t="s">
        <v>577</v>
      </c>
      <c r="C309" s="43" t="s">
        <v>229</v>
      </c>
      <c r="D309" s="43" t="s">
        <v>630</v>
      </c>
      <c r="E309" s="43" t="s">
        <v>842</v>
      </c>
      <c r="F309" s="43" t="s">
        <v>751</v>
      </c>
      <c r="G309" s="44">
        <v>2024.0</v>
      </c>
      <c r="H309" s="44">
        <v>0.5633</v>
      </c>
      <c r="I309" s="70">
        <v>0.6216</v>
      </c>
      <c r="J309" s="44">
        <v>4.0</v>
      </c>
      <c r="K309" s="44">
        <v>3.0</v>
      </c>
      <c r="L309" s="44">
        <v>1.0</v>
      </c>
      <c r="M309" s="45">
        <v>39.1</v>
      </c>
      <c r="N309" s="46" t="s">
        <v>764</v>
      </c>
    </row>
    <row r="310" ht="15.75" customHeight="1">
      <c r="A310" s="43" t="s">
        <v>1455</v>
      </c>
      <c r="B310" s="43" t="s">
        <v>596</v>
      </c>
      <c r="C310" s="43" t="s">
        <v>136</v>
      </c>
      <c r="D310" s="43" t="s">
        <v>852</v>
      </c>
      <c r="E310" s="43" t="s">
        <v>749</v>
      </c>
      <c r="F310" s="43" t="s">
        <v>751</v>
      </c>
      <c r="G310" s="44">
        <v>2024.0</v>
      </c>
      <c r="H310" s="44">
        <v>0.0255</v>
      </c>
      <c r="I310" s="44">
        <v>0.0335</v>
      </c>
      <c r="J310" s="44">
        <v>2.0</v>
      </c>
      <c r="K310" s="44">
        <v>1.0</v>
      </c>
      <c r="L310" s="44">
        <v>1.0</v>
      </c>
      <c r="M310" s="45">
        <v>1.81</v>
      </c>
      <c r="N310" s="46" t="s">
        <v>764</v>
      </c>
    </row>
    <row r="311" ht="15.75" customHeight="1">
      <c r="A311" s="43" t="s">
        <v>1457</v>
      </c>
      <c r="B311" s="43" t="s">
        <v>596</v>
      </c>
      <c r="C311" s="43" t="s">
        <v>312</v>
      </c>
      <c r="D311" s="43" t="s">
        <v>857</v>
      </c>
      <c r="E311" s="43" t="s">
        <v>784</v>
      </c>
      <c r="F311" s="43" t="s">
        <v>751</v>
      </c>
      <c r="G311" s="44">
        <v>2024.0</v>
      </c>
      <c r="H311" s="44">
        <v>0.4901</v>
      </c>
      <c r="I311" s="44">
        <v>0.6084</v>
      </c>
      <c r="J311" s="44">
        <v>7.0</v>
      </c>
      <c r="K311" s="44">
        <v>4.0</v>
      </c>
      <c r="L311" s="44">
        <v>1.0</v>
      </c>
      <c r="M311" s="45">
        <v>32.65</v>
      </c>
      <c r="N311" s="46" t="s">
        <v>764</v>
      </c>
    </row>
    <row r="312" ht="15.75" customHeight="1">
      <c r="A312" s="43" t="s">
        <v>1458</v>
      </c>
      <c r="B312" s="43" t="s">
        <v>581</v>
      </c>
      <c r="C312" s="43" t="s">
        <v>385</v>
      </c>
      <c r="D312" s="43" t="s">
        <v>773</v>
      </c>
      <c r="E312" s="43" t="s">
        <v>817</v>
      </c>
      <c r="F312" s="43" t="s">
        <v>798</v>
      </c>
      <c r="G312" s="44">
        <v>2023.0</v>
      </c>
      <c r="H312" s="44">
        <v>0.0373</v>
      </c>
      <c r="I312" s="44">
        <v>0.0423</v>
      </c>
      <c r="J312" s="44">
        <v>2.0</v>
      </c>
      <c r="K312" s="44">
        <v>1.0</v>
      </c>
      <c r="L312" s="44">
        <v>1.0</v>
      </c>
      <c r="M312" s="45">
        <v>0.2276</v>
      </c>
      <c r="N312" s="46" t="s">
        <v>764</v>
      </c>
    </row>
    <row r="313" ht="15.75" customHeight="1">
      <c r="A313" s="43" t="s">
        <v>1460</v>
      </c>
      <c r="B313" s="43" t="s">
        <v>581</v>
      </c>
      <c r="C313" s="43" t="s">
        <v>517</v>
      </c>
      <c r="D313" s="43" t="s">
        <v>763</v>
      </c>
      <c r="E313" s="43" t="s">
        <v>749</v>
      </c>
      <c r="F313" s="43" t="s">
        <v>751</v>
      </c>
      <c r="G313" s="44">
        <v>2024.0</v>
      </c>
      <c r="H313" s="44">
        <v>0.0076</v>
      </c>
      <c r="I313" s="44">
        <v>0.0086</v>
      </c>
      <c r="J313" s="44">
        <v>2.0</v>
      </c>
      <c r="K313" s="44">
        <v>1.0</v>
      </c>
      <c r="L313" s="44">
        <v>1.0</v>
      </c>
      <c r="M313" s="45">
        <v>0.6</v>
      </c>
      <c r="N313" s="46" t="s">
        <v>764</v>
      </c>
    </row>
    <row r="314" ht="15.75" customHeight="1">
      <c r="A314" s="43" t="s">
        <v>1462</v>
      </c>
      <c r="B314" s="43" t="s">
        <v>577</v>
      </c>
      <c r="C314" s="43" t="s">
        <v>294</v>
      </c>
      <c r="D314" s="43" t="s">
        <v>684</v>
      </c>
      <c r="E314" s="43" t="s">
        <v>749</v>
      </c>
      <c r="F314" s="43" t="s">
        <v>751</v>
      </c>
      <c r="G314" s="44">
        <v>2024.0</v>
      </c>
      <c r="H314" s="44">
        <v>0.0038</v>
      </c>
      <c r="I314" s="44">
        <v>0.0047</v>
      </c>
      <c r="J314" s="44">
        <v>2.0</v>
      </c>
      <c r="K314" s="44">
        <v>1.0</v>
      </c>
      <c r="L314" s="44">
        <v>1.0</v>
      </c>
      <c r="M314" s="45">
        <v>0.31</v>
      </c>
      <c r="N314" s="46" t="s">
        <v>764</v>
      </c>
    </row>
    <row r="315" ht="15.75" customHeight="1">
      <c r="A315" s="43" t="s">
        <v>1464</v>
      </c>
      <c r="B315" s="43" t="s">
        <v>581</v>
      </c>
      <c r="C315" s="43" t="s">
        <v>252</v>
      </c>
      <c r="D315" s="43" t="s">
        <v>714</v>
      </c>
      <c r="E315" s="43" t="s">
        <v>784</v>
      </c>
      <c r="F315" s="43" t="s">
        <v>751</v>
      </c>
      <c r="G315" s="44">
        <v>2024.0</v>
      </c>
      <c r="H315" s="44">
        <v>1.0203</v>
      </c>
      <c r="I315" s="44">
        <v>1.205</v>
      </c>
      <c r="J315" s="44">
        <v>12.0</v>
      </c>
      <c r="K315" s="44">
        <v>10.0</v>
      </c>
      <c r="L315" s="44">
        <v>1.0</v>
      </c>
      <c r="M315" s="45">
        <v>84.5</v>
      </c>
      <c r="N315" s="46" t="s">
        <v>764</v>
      </c>
    </row>
    <row r="316" ht="15.75" customHeight="1">
      <c r="A316" s="43" t="s">
        <v>1466</v>
      </c>
      <c r="B316" s="43" t="s">
        <v>581</v>
      </c>
      <c r="C316" s="43" t="s">
        <v>196</v>
      </c>
      <c r="D316" s="43" t="s">
        <v>750</v>
      </c>
      <c r="E316" s="43" t="s">
        <v>784</v>
      </c>
      <c r="F316" s="43" t="s">
        <v>751</v>
      </c>
      <c r="G316" s="44">
        <v>2024.0</v>
      </c>
      <c r="H316" s="44">
        <v>0.7964</v>
      </c>
      <c r="I316" s="44">
        <v>1.0138</v>
      </c>
      <c r="J316" s="44">
        <v>10.0</v>
      </c>
      <c r="K316" s="44">
        <v>7.0</v>
      </c>
      <c r="L316" s="44">
        <v>1.0</v>
      </c>
      <c r="M316" s="45">
        <v>78.11</v>
      </c>
      <c r="N316" s="46" t="s">
        <v>764</v>
      </c>
    </row>
    <row r="317" ht="15.75" customHeight="1">
      <c r="A317" s="43" t="s">
        <v>1468</v>
      </c>
      <c r="B317" s="43" t="s">
        <v>581</v>
      </c>
      <c r="C317" s="43" t="s">
        <v>299</v>
      </c>
      <c r="D317" s="43" t="s">
        <v>736</v>
      </c>
      <c r="E317" s="43" t="s">
        <v>817</v>
      </c>
      <c r="F317" s="43" t="s">
        <v>798</v>
      </c>
      <c r="G317" s="44">
        <v>2023.0</v>
      </c>
      <c r="H317" s="44">
        <v>0.1794</v>
      </c>
      <c r="I317" s="44">
        <v>0.2174</v>
      </c>
      <c r="J317" s="44">
        <v>4.0</v>
      </c>
      <c r="K317" s="44">
        <v>2.0</v>
      </c>
      <c r="L317" s="44">
        <v>1.0</v>
      </c>
      <c r="M317" s="45">
        <v>1.365</v>
      </c>
      <c r="N317" s="46" t="s">
        <v>764</v>
      </c>
    </row>
    <row r="318" ht="15.75" customHeight="1">
      <c r="A318" s="43" t="s">
        <v>1469</v>
      </c>
      <c r="B318" s="43" t="s">
        <v>581</v>
      </c>
      <c r="C318" s="43" t="s">
        <v>477</v>
      </c>
      <c r="D318" s="43" t="s">
        <v>759</v>
      </c>
      <c r="E318" s="43" t="s">
        <v>797</v>
      </c>
      <c r="F318" s="43" t="s">
        <v>798</v>
      </c>
      <c r="G318" s="44">
        <v>2023.0</v>
      </c>
      <c r="H318" s="44">
        <v>0.0804</v>
      </c>
      <c r="I318" s="44">
        <v>0.0873</v>
      </c>
      <c r="J318" s="44">
        <v>2.0</v>
      </c>
      <c r="K318" s="44">
        <v>1.0</v>
      </c>
      <c r="L318" s="44">
        <v>1.0</v>
      </c>
      <c r="M318" s="45">
        <v>0.4768</v>
      </c>
      <c r="N318" s="46" t="s">
        <v>764</v>
      </c>
    </row>
    <row r="319" ht="15.75" customHeight="1">
      <c r="A319" s="43" t="s">
        <v>1471</v>
      </c>
      <c r="B319" s="43" t="s">
        <v>577</v>
      </c>
      <c r="C319" s="43" t="s">
        <v>487</v>
      </c>
      <c r="D319" s="43" t="s">
        <v>677</v>
      </c>
      <c r="E319" s="43" t="s">
        <v>817</v>
      </c>
      <c r="F319" s="43" t="s">
        <v>798</v>
      </c>
      <c r="G319" s="44">
        <v>2023.0</v>
      </c>
      <c r="H319" s="44">
        <v>0.1137</v>
      </c>
      <c r="I319" s="44">
        <v>0.1235</v>
      </c>
      <c r="J319" s="44">
        <v>2.0</v>
      </c>
      <c r="K319" s="44">
        <v>2.0</v>
      </c>
      <c r="L319" s="44">
        <v>1.0</v>
      </c>
      <c r="M319" s="45">
        <v>0.5045</v>
      </c>
      <c r="N319" s="46" t="s">
        <v>764</v>
      </c>
    </row>
    <row r="320" ht="15.75" customHeight="1">
      <c r="A320" s="43" t="s">
        <v>1473</v>
      </c>
      <c r="B320" s="43" t="s">
        <v>577</v>
      </c>
      <c r="C320" s="43" t="s">
        <v>326</v>
      </c>
      <c r="D320" s="43" t="s">
        <v>658</v>
      </c>
      <c r="E320" s="43" t="s">
        <v>797</v>
      </c>
      <c r="F320" s="43" t="s">
        <v>798</v>
      </c>
      <c r="G320" s="44">
        <v>2023.0</v>
      </c>
      <c r="H320" s="44">
        <v>0.0196</v>
      </c>
      <c r="I320" s="44">
        <v>0.0241</v>
      </c>
      <c r="J320" s="44">
        <v>3.0</v>
      </c>
      <c r="K320" s="44">
        <v>2.0</v>
      </c>
      <c r="L320" s="44">
        <v>1.0</v>
      </c>
      <c r="M320" s="45">
        <v>0.1021</v>
      </c>
      <c r="N320" s="46" t="s">
        <v>764</v>
      </c>
    </row>
    <row r="321" ht="15.75" customHeight="1">
      <c r="A321" s="43" t="s">
        <v>1475</v>
      </c>
      <c r="B321" s="43" t="s">
        <v>581</v>
      </c>
      <c r="C321" s="43" t="s">
        <v>299</v>
      </c>
      <c r="D321" s="43" t="s">
        <v>736</v>
      </c>
      <c r="E321" s="43" t="s">
        <v>797</v>
      </c>
      <c r="F321" s="43" t="s">
        <v>798</v>
      </c>
      <c r="G321" s="44">
        <v>2023.0</v>
      </c>
      <c r="H321" s="44">
        <v>0.1641</v>
      </c>
      <c r="I321" s="44">
        <v>0.1847</v>
      </c>
      <c r="J321" s="44">
        <v>2.0</v>
      </c>
      <c r="K321" s="44">
        <v>1.0</v>
      </c>
      <c r="L321" s="44">
        <v>1.0</v>
      </c>
      <c r="M321" s="45">
        <v>0.9291</v>
      </c>
      <c r="N321" s="46" t="s">
        <v>764</v>
      </c>
    </row>
    <row r="322" ht="15.75" customHeight="1">
      <c r="A322" s="43" t="s">
        <v>1477</v>
      </c>
      <c r="B322" s="43" t="s">
        <v>581</v>
      </c>
      <c r="C322" s="43" t="s">
        <v>430</v>
      </c>
      <c r="D322" s="43" t="s">
        <v>741</v>
      </c>
      <c r="E322" s="43" t="s">
        <v>842</v>
      </c>
      <c r="F322" s="43" t="s">
        <v>751</v>
      </c>
      <c r="G322" s="44">
        <v>2024.0</v>
      </c>
      <c r="H322" s="44">
        <v>0.3316</v>
      </c>
      <c r="I322" s="44">
        <v>0.3933</v>
      </c>
      <c r="J322" s="44">
        <v>4.0</v>
      </c>
      <c r="K322" s="44">
        <v>2.0</v>
      </c>
      <c r="L322" s="44">
        <v>1.0</v>
      </c>
      <c r="M322" s="45">
        <v>24.88</v>
      </c>
      <c r="N322" s="46" t="s">
        <v>764</v>
      </c>
    </row>
    <row r="323" ht="15.75" customHeight="1">
      <c r="A323" s="43" t="s">
        <v>1478</v>
      </c>
      <c r="B323" s="43" t="s">
        <v>581</v>
      </c>
      <c r="C323" s="43" t="s">
        <v>260</v>
      </c>
      <c r="D323" s="43" t="s">
        <v>769</v>
      </c>
      <c r="E323" s="43" t="s">
        <v>836</v>
      </c>
      <c r="F323" s="43" t="s">
        <v>798</v>
      </c>
      <c r="G323" s="44">
        <v>2023.0</v>
      </c>
      <c r="H323" s="44">
        <v>0.8468</v>
      </c>
      <c r="I323" s="44">
        <v>1.1112</v>
      </c>
      <c r="J323" s="44">
        <v>9.0</v>
      </c>
      <c r="K323" s="44">
        <v>4.0</v>
      </c>
      <c r="L323" s="44">
        <v>1.0</v>
      </c>
      <c r="M323" s="45">
        <v>10.2839</v>
      </c>
      <c r="N323" s="46" t="s">
        <v>764</v>
      </c>
    </row>
    <row r="324" ht="15.75" customHeight="1">
      <c r="A324" s="43" t="s">
        <v>1480</v>
      </c>
      <c r="B324" s="43" t="s">
        <v>596</v>
      </c>
      <c r="C324" s="43" t="s">
        <v>392</v>
      </c>
      <c r="D324" s="43" t="s">
        <v>838</v>
      </c>
      <c r="E324" s="43" t="s">
        <v>836</v>
      </c>
      <c r="F324" s="43" t="s">
        <v>798</v>
      </c>
      <c r="G324" s="44">
        <v>2023.0</v>
      </c>
      <c r="H324" s="44">
        <v>0.0982</v>
      </c>
      <c r="I324" s="44">
        <v>0.1199</v>
      </c>
      <c r="J324" s="44">
        <v>2.0</v>
      </c>
      <c r="K324" s="44">
        <v>1.0</v>
      </c>
      <c r="L324" s="44">
        <v>1.0</v>
      </c>
      <c r="M324" s="45">
        <v>1.1961</v>
      </c>
      <c r="N324" s="46" t="s">
        <v>764</v>
      </c>
    </row>
    <row r="325" ht="15.75" customHeight="1">
      <c r="A325" s="43" t="s">
        <v>1482</v>
      </c>
      <c r="B325" s="43" t="s">
        <v>577</v>
      </c>
      <c r="C325" s="43" t="s">
        <v>326</v>
      </c>
      <c r="D325" s="43" t="s">
        <v>658</v>
      </c>
      <c r="E325" s="43" t="s">
        <v>817</v>
      </c>
      <c r="F325" s="43" t="s">
        <v>798</v>
      </c>
      <c r="G325" s="44">
        <v>2023.0</v>
      </c>
      <c r="H325" s="44">
        <v>0.199</v>
      </c>
      <c r="I325" s="44">
        <v>0.2615</v>
      </c>
      <c r="J325" s="44">
        <v>2.0</v>
      </c>
      <c r="K325" s="44">
        <v>1.0</v>
      </c>
      <c r="L325" s="44">
        <v>1.0</v>
      </c>
      <c r="M325" s="45">
        <v>0.784</v>
      </c>
      <c r="N325" s="46" t="s">
        <v>764</v>
      </c>
    </row>
    <row r="326" ht="15.75" customHeight="1">
      <c r="A326" s="43" t="s">
        <v>1484</v>
      </c>
      <c r="B326" s="43" t="s">
        <v>577</v>
      </c>
      <c r="C326" s="43" t="s">
        <v>237</v>
      </c>
      <c r="D326" s="43" t="s">
        <v>669</v>
      </c>
      <c r="E326" s="43" t="s">
        <v>826</v>
      </c>
      <c r="F326" s="43" t="s">
        <v>751</v>
      </c>
      <c r="G326" s="44">
        <v>2024.0</v>
      </c>
      <c r="H326" s="44">
        <v>1.2724</v>
      </c>
      <c r="I326" s="44">
        <v>1.419</v>
      </c>
      <c r="J326" s="44">
        <v>10.0</v>
      </c>
      <c r="K326" s="44">
        <v>5.0</v>
      </c>
      <c r="L326" s="44">
        <v>1.0</v>
      </c>
      <c r="M326" s="45">
        <v>81.75</v>
      </c>
      <c r="N326" s="46" t="s">
        <v>764</v>
      </c>
    </row>
    <row r="327" ht="15.75" customHeight="1">
      <c r="A327" s="43" t="s">
        <v>1486</v>
      </c>
      <c r="B327" s="43" t="s">
        <v>581</v>
      </c>
      <c r="C327" s="43" t="s">
        <v>305</v>
      </c>
      <c r="D327" s="43" t="s">
        <v>788</v>
      </c>
      <c r="E327" s="43" t="s">
        <v>784</v>
      </c>
      <c r="F327" s="43" t="s">
        <v>751</v>
      </c>
      <c r="G327" s="44">
        <v>2024.0</v>
      </c>
      <c r="H327" s="44">
        <v>0.7174</v>
      </c>
      <c r="I327" s="44">
        <v>0.8876</v>
      </c>
      <c r="J327" s="44">
        <v>10.0</v>
      </c>
      <c r="K327" s="44">
        <v>6.0</v>
      </c>
      <c r="L327" s="44">
        <v>1.0</v>
      </c>
      <c r="M327" s="45">
        <v>75.22</v>
      </c>
      <c r="N327" s="46" t="s">
        <v>764</v>
      </c>
    </row>
    <row r="328" ht="15.75" customHeight="1">
      <c r="A328" s="43" t="s">
        <v>1488</v>
      </c>
      <c r="B328" s="43" t="s">
        <v>581</v>
      </c>
      <c r="C328" s="43" t="s">
        <v>252</v>
      </c>
      <c r="D328" s="43" t="s">
        <v>714</v>
      </c>
      <c r="E328" s="43" t="s">
        <v>749</v>
      </c>
      <c r="F328" s="43" t="s">
        <v>751</v>
      </c>
      <c r="G328" s="44">
        <v>2024.0</v>
      </c>
      <c r="H328" s="44">
        <v>0.011</v>
      </c>
      <c r="I328" s="44">
        <v>0.0129</v>
      </c>
      <c r="J328" s="44">
        <v>2.0</v>
      </c>
      <c r="K328" s="44">
        <v>1.0</v>
      </c>
      <c r="L328" s="44">
        <v>1.0</v>
      </c>
      <c r="M328" s="45">
        <v>1.29</v>
      </c>
      <c r="N328" s="46" t="s">
        <v>764</v>
      </c>
    </row>
    <row r="329" ht="15.75" customHeight="1">
      <c r="A329" s="43" t="s">
        <v>1490</v>
      </c>
      <c r="B329" s="43" t="s">
        <v>581</v>
      </c>
      <c r="C329" s="43" t="s">
        <v>503</v>
      </c>
      <c r="D329" s="43" t="s">
        <v>745</v>
      </c>
      <c r="E329" s="43" t="s">
        <v>784</v>
      </c>
      <c r="F329" s="43" t="s">
        <v>751</v>
      </c>
      <c r="G329" s="44">
        <v>2024.0</v>
      </c>
      <c r="H329" s="44">
        <v>0.7155</v>
      </c>
      <c r="I329" s="44">
        <v>0.8111</v>
      </c>
      <c r="J329" s="44">
        <v>4.0</v>
      </c>
      <c r="K329" s="44">
        <v>2.0</v>
      </c>
      <c r="L329" s="44">
        <v>1.0</v>
      </c>
      <c r="M329" s="45">
        <v>78.9</v>
      </c>
      <c r="N329" s="46" t="s">
        <v>764</v>
      </c>
    </row>
    <row r="330" ht="15.75" customHeight="1">
      <c r="A330" s="43" t="s">
        <v>1491</v>
      </c>
      <c r="B330" s="43" t="s">
        <v>577</v>
      </c>
      <c r="C330" s="43" t="s">
        <v>326</v>
      </c>
      <c r="D330" s="43" t="s">
        <v>658</v>
      </c>
      <c r="E330" s="43" t="s">
        <v>784</v>
      </c>
      <c r="F330" s="43" t="s">
        <v>751</v>
      </c>
      <c r="G330" s="44">
        <v>2024.0</v>
      </c>
      <c r="H330" s="44">
        <v>0.9787</v>
      </c>
      <c r="I330" s="44">
        <v>1.0999</v>
      </c>
      <c r="J330" s="44">
        <v>11.0</v>
      </c>
      <c r="K330" s="44">
        <v>10.0</v>
      </c>
      <c r="L330" s="44">
        <v>1.0</v>
      </c>
      <c r="M330" s="45">
        <v>77.14</v>
      </c>
      <c r="N330" s="46" t="s">
        <v>764</v>
      </c>
    </row>
    <row r="331" ht="15.75" customHeight="1">
      <c r="A331" s="43" t="s">
        <v>1493</v>
      </c>
      <c r="B331" s="43" t="s">
        <v>603</v>
      </c>
      <c r="C331" s="43" t="s">
        <v>449</v>
      </c>
      <c r="D331" s="43" t="s">
        <v>830</v>
      </c>
      <c r="E331" s="43" t="s">
        <v>817</v>
      </c>
      <c r="F331" s="43" t="s">
        <v>798</v>
      </c>
      <c r="G331" s="44">
        <v>2023.0</v>
      </c>
      <c r="H331" s="44">
        <v>0.1138</v>
      </c>
      <c r="I331" s="44">
        <v>0.1273</v>
      </c>
      <c r="J331" s="44">
        <v>3.0</v>
      </c>
      <c r="K331" s="44">
        <v>2.0</v>
      </c>
      <c r="L331" s="44">
        <v>1.0</v>
      </c>
      <c r="M331" s="45">
        <v>0.4925</v>
      </c>
      <c r="N331" s="46" t="s">
        <v>764</v>
      </c>
    </row>
    <row r="332" ht="15.75" customHeight="1">
      <c r="A332" s="43" t="s">
        <v>1495</v>
      </c>
      <c r="B332" s="43" t="s">
        <v>577</v>
      </c>
      <c r="C332" s="43" t="s">
        <v>457</v>
      </c>
      <c r="D332" s="43" t="s">
        <v>621</v>
      </c>
      <c r="E332" s="43" t="s">
        <v>784</v>
      </c>
      <c r="F332" s="43" t="s">
        <v>751</v>
      </c>
      <c r="G332" s="44">
        <v>2024.0</v>
      </c>
      <c r="H332" s="44">
        <v>0.2759</v>
      </c>
      <c r="I332" s="44">
        <v>0.3529</v>
      </c>
      <c r="J332" s="44">
        <v>8.0</v>
      </c>
      <c r="K332" s="44">
        <v>5.0</v>
      </c>
      <c r="L332" s="44">
        <v>1.0</v>
      </c>
      <c r="M332" s="45">
        <v>29.28</v>
      </c>
      <c r="N332" s="46" t="s">
        <v>764</v>
      </c>
    </row>
    <row r="333" ht="15.75" customHeight="1">
      <c r="A333" s="43" t="s">
        <v>1497</v>
      </c>
      <c r="B333" s="43" t="s">
        <v>577</v>
      </c>
      <c r="C333" s="43" t="s">
        <v>457</v>
      </c>
      <c r="D333" s="43" t="s">
        <v>621</v>
      </c>
      <c r="E333" s="43" t="s">
        <v>826</v>
      </c>
      <c r="F333" s="43" t="s">
        <v>751</v>
      </c>
      <c r="G333" s="44">
        <v>2024.0</v>
      </c>
      <c r="H333" s="44">
        <v>0.3532</v>
      </c>
      <c r="I333" s="44">
        <v>0.4348</v>
      </c>
      <c r="J333" s="44">
        <v>2.0</v>
      </c>
      <c r="K333" s="44">
        <v>1.0</v>
      </c>
      <c r="L333" s="44">
        <v>1.0</v>
      </c>
      <c r="M333" s="45">
        <v>38.24</v>
      </c>
      <c r="N333" s="46" t="s">
        <v>764</v>
      </c>
    </row>
    <row r="334" ht="15.75" customHeight="1">
      <c r="A334" s="43" t="s">
        <v>1499</v>
      </c>
      <c r="B334" s="43" t="s">
        <v>581</v>
      </c>
      <c r="C334" s="43" t="s">
        <v>305</v>
      </c>
      <c r="D334" s="43" t="s">
        <v>788</v>
      </c>
      <c r="E334" s="43" t="s">
        <v>826</v>
      </c>
      <c r="F334" s="43" t="s">
        <v>751</v>
      </c>
      <c r="G334" s="44">
        <v>2024.0</v>
      </c>
      <c r="H334" s="44">
        <v>1.6315</v>
      </c>
      <c r="I334" s="44">
        <v>1.7851</v>
      </c>
      <c r="J334" s="44">
        <v>18.0</v>
      </c>
      <c r="K334" s="44">
        <v>15.0</v>
      </c>
      <c r="L334" s="44">
        <v>2.0</v>
      </c>
      <c r="M334" s="45">
        <v>149.92</v>
      </c>
      <c r="N334" s="46" t="s">
        <v>764</v>
      </c>
    </row>
    <row r="335" ht="15.75" customHeight="1">
      <c r="A335" s="43" t="s">
        <v>1500</v>
      </c>
      <c r="B335" s="43" t="s">
        <v>596</v>
      </c>
      <c r="C335" s="43" t="s">
        <v>265</v>
      </c>
      <c r="D335" s="43" t="s">
        <v>829</v>
      </c>
      <c r="E335" s="43" t="s">
        <v>842</v>
      </c>
      <c r="F335" s="43" t="s">
        <v>751</v>
      </c>
      <c r="G335" s="44">
        <v>2024.0</v>
      </c>
      <c r="H335" s="44">
        <v>0.7999</v>
      </c>
      <c r="I335" s="44">
        <v>0.9536</v>
      </c>
      <c r="J335" s="44">
        <v>7.0</v>
      </c>
      <c r="K335" s="44">
        <v>6.0</v>
      </c>
      <c r="L335" s="44">
        <v>1.0</v>
      </c>
      <c r="M335" s="45">
        <v>91.31</v>
      </c>
      <c r="N335" s="46" t="s">
        <v>764</v>
      </c>
    </row>
    <row r="336" ht="15.75" customHeight="1">
      <c r="A336" s="43" t="s">
        <v>1502</v>
      </c>
      <c r="B336" s="43" t="s">
        <v>596</v>
      </c>
      <c r="C336" s="43" t="s">
        <v>493</v>
      </c>
      <c r="D336" s="43" t="s">
        <v>823</v>
      </c>
      <c r="E336" s="43" t="s">
        <v>817</v>
      </c>
      <c r="F336" s="43" t="s">
        <v>798</v>
      </c>
      <c r="G336" s="44">
        <v>2023.0</v>
      </c>
      <c r="H336" s="44">
        <v>0.0876</v>
      </c>
      <c r="I336" s="44">
        <v>0.1136</v>
      </c>
      <c r="J336" s="44">
        <v>2.0</v>
      </c>
      <c r="K336" s="44">
        <v>1.0</v>
      </c>
      <c r="L336" s="44">
        <v>1.0</v>
      </c>
      <c r="M336" s="45">
        <v>0.4401</v>
      </c>
      <c r="N336" s="46" t="s">
        <v>764</v>
      </c>
    </row>
    <row r="337" ht="15.75" customHeight="1">
      <c r="A337" s="43" t="s">
        <v>1504</v>
      </c>
      <c r="B337" s="43" t="s">
        <v>577</v>
      </c>
      <c r="C337" s="43" t="s">
        <v>185</v>
      </c>
      <c r="D337" s="43" t="s">
        <v>695</v>
      </c>
      <c r="E337" s="43" t="s">
        <v>826</v>
      </c>
      <c r="F337" s="43" t="s">
        <v>751</v>
      </c>
      <c r="G337" s="44">
        <v>2024.0</v>
      </c>
      <c r="H337" s="44">
        <v>0.5544</v>
      </c>
      <c r="I337" s="44">
        <v>0.6169</v>
      </c>
      <c r="J337" s="44">
        <v>9.0</v>
      </c>
      <c r="K337" s="44">
        <v>7.0</v>
      </c>
      <c r="L337" s="44">
        <v>1.0</v>
      </c>
      <c r="M337" s="45">
        <v>58.37</v>
      </c>
      <c r="N337" s="46" t="s">
        <v>764</v>
      </c>
    </row>
    <row r="338" ht="15.75" customHeight="1">
      <c r="A338" s="43" t="s">
        <v>1506</v>
      </c>
      <c r="B338" s="43" t="s">
        <v>577</v>
      </c>
      <c r="C338" s="43" t="s">
        <v>51</v>
      </c>
      <c r="D338" s="43" t="s">
        <v>641</v>
      </c>
      <c r="E338" s="43" t="s">
        <v>826</v>
      </c>
      <c r="F338" s="43" t="s">
        <v>751</v>
      </c>
      <c r="G338" s="44">
        <v>2024.0</v>
      </c>
      <c r="H338" s="44">
        <v>0.2989</v>
      </c>
      <c r="I338" s="44">
        <v>0.3597</v>
      </c>
      <c r="J338" s="44">
        <v>5.0</v>
      </c>
      <c r="K338" s="44">
        <v>3.0</v>
      </c>
      <c r="L338" s="44">
        <v>1.0</v>
      </c>
      <c r="M338" s="45">
        <v>20.38</v>
      </c>
      <c r="N338" s="46" t="s">
        <v>764</v>
      </c>
    </row>
    <row r="339" ht="15.75" customHeight="1">
      <c r="A339" s="43" t="s">
        <v>1508</v>
      </c>
      <c r="B339" s="43" t="s">
        <v>581</v>
      </c>
      <c r="C339" s="43" t="s">
        <v>436</v>
      </c>
      <c r="D339" s="43" t="s">
        <v>793</v>
      </c>
      <c r="E339" s="43" t="s">
        <v>797</v>
      </c>
      <c r="F339" s="43" t="s">
        <v>798</v>
      </c>
      <c r="G339" s="44">
        <v>2023.0</v>
      </c>
      <c r="H339" s="44">
        <v>0.0672</v>
      </c>
      <c r="I339" s="44">
        <v>0.0736</v>
      </c>
      <c r="J339" s="44">
        <v>2.0</v>
      </c>
      <c r="K339" s="44">
        <v>1.0</v>
      </c>
      <c r="L339" s="44">
        <v>1.0</v>
      </c>
      <c r="M339" s="45">
        <v>0.3957</v>
      </c>
      <c r="N339" s="46" t="s">
        <v>764</v>
      </c>
    </row>
    <row r="340" ht="15.75" customHeight="1">
      <c r="A340" s="43" t="s">
        <v>1509</v>
      </c>
      <c r="B340" s="43" t="s">
        <v>581</v>
      </c>
      <c r="C340" s="43" t="s">
        <v>430</v>
      </c>
      <c r="D340" s="43" t="s">
        <v>741</v>
      </c>
      <c r="E340" s="43" t="s">
        <v>749</v>
      </c>
      <c r="F340" s="43" t="s">
        <v>751</v>
      </c>
      <c r="G340" s="44">
        <v>2024.0</v>
      </c>
      <c r="H340" s="44">
        <v>0.006</v>
      </c>
      <c r="I340" s="44">
        <v>0.0069</v>
      </c>
      <c r="J340" s="44">
        <v>2.0</v>
      </c>
      <c r="K340" s="44">
        <v>1.0</v>
      </c>
      <c r="L340" s="44">
        <v>1.0</v>
      </c>
      <c r="M340" s="45">
        <v>0.53</v>
      </c>
      <c r="N340" s="46" t="s">
        <v>764</v>
      </c>
    </row>
    <row r="341" ht="15.75" customHeight="1">
      <c r="A341" s="43" t="s">
        <v>1511</v>
      </c>
      <c r="B341" s="43" t="s">
        <v>603</v>
      </c>
      <c r="C341" s="43" t="s">
        <v>146</v>
      </c>
      <c r="D341" s="43" t="s">
        <v>906</v>
      </c>
      <c r="E341" s="43" t="s">
        <v>749</v>
      </c>
      <c r="F341" s="43" t="s">
        <v>751</v>
      </c>
      <c r="G341" s="44">
        <v>2024.0</v>
      </c>
      <c r="H341" s="44">
        <v>0.0073</v>
      </c>
      <c r="I341" s="44">
        <v>0.0091</v>
      </c>
      <c r="J341" s="44">
        <v>2.0</v>
      </c>
      <c r="K341" s="44">
        <v>1.0</v>
      </c>
      <c r="L341" s="44">
        <v>1.0</v>
      </c>
      <c r="M341" s="45">
        <v>0.59</v>
      </c>
      <c r="N341" s="46" t="s">
        <v>764</v>
      </c>
    </row>
    <row r="342" ht="15.75" customHeight="1">
      <c r="A342" s="43" t="s">
        <v>1513</v>
      </c>
      <c r="B342" s="43" t="s">
        <v>605</v>
      </c>
      <c r="C342" s="43" t="s">
        <v>497</v>
      </c>
      <c r="D342" s="43" t="s">
        <v>912</v>
      </c>
      <c r="E342" s="43" t="s">
        <v>826</v>
      </c>
      <c r="F342" s="43" t="s">
        <v>751</v>
      </c>
      <c r="G342" s="44">
        <v>2024.0</v>
      </c>
      <c r="H342" s="44">
        <v>0.5275</v>
      </c>
      <c r="I342" s="44">
        <v>0.7008</v>
      </c>
      <c r="J342" s="44">
        <v>4.0</v>
      </c>
      <c r="K342" s="44">
        <v>2.0</v>
      </c>
      <c r="L342" s="44">
        <v>1.0</v>
      </c>
      <c r="M342" s="45">
        <v>38.79</v>
      </c>
      <c r="N342" s="46" t="s">
        <v>764</v>
      </c>
    </row>
    <row r="343" ht="15.75" customHeight="1">
      <c r="A343" s="43" t="s">
        <v>1514</v>
      </c>
      <c r="B343" s="43" t="s">
        <v>581</v>
      </c>
      <c r="C343" s="43" t="s">
        <v>104</v>
      </c>
      <c r="D343" s="43" t="s">
        <v>729</v>
      </c>
      <c r="E343" s="43" t="s">
        <v>797</v>
      </c>
      <c r="F343" s="43" t="s">
        <v>798</v>
      </c>
      <c r="G343" s="44">
        <v>2023.0</v>
      </c>
      <c r="H343" s="44">
        <v>0.0604</v>
      </c>
      <c r="I343" s="44">
        <v>0.0804</v>
      </c>
      <c r="J343" s="44">
        <v>2.0</v>
      </c>
      <c r="K343" s="44">
        <v>1.0</v>
      </c>
      <c r="L343" s="44">
        <v>1.0</v>
      </c>
      <c r="M343" s="45">
        <v>0.3612</v>
      </c>
      <c r="N343" s="46" t="s">
        <v>764</v>
      </c>
    </row>
    <row r="344" ht="15.75" customHeight="1">
      <c r="A344" s="43" t="s">
        <v>1516</v>
      </c>
      <c r="B344" s="43" t="s">
        <v>577</v>
      </c>
      <c r="C344" s="43" t="s">
        <v>294</v>
      </c>
      <c r="D344" s="43" t="s">
        <v>684</v>
      </c>
      <c r="E344" s="43" t="s">
        <v>842</v>
      </c>
      <c r="F344" s="43" t="s">
        <v>751</v>
      </c>
      <c r="G344" s="44">
        <v>2024.0</v>
      </c>
      <c r="H344" s="44">
        <v>0.4969</v>
      </c>
      <c r="I344" s="44">
        <v>0.6527</v>
      </c>
      <c r="J344" s="44">
        <v>4.0</v>
      </c>
      <c r="K344" s="44">
        <v>3.0</v>
      </c>
      <c r="L344" s="44">
        <v>1.0</v>
      </c>
      <c r="M344" s="45">
        <v>36.02</v>
      </c>
      <c r="N344" s="46" t="s">
        <v>764</v>
      </c>
    </row>
    <row r="345" ht="15.75" customHeight="1">
      <c r="A345" s="43" t="s">
        <v>1518</v>
      </c>
      <c r="B345" s="43" t="s">
        <v>577</v>
      </c>
      <c r="C345" s="43" t="s">
        <v>513</v>
      </c>
      <c r="D345" s="43" t="s">
        <v>666</v>
      </c>
      <c r="E345" s="43" t="s">
        <v>817</v>
      </c>
      <c r="F345" s="43" t="s">
        <v>798</v>
      </c>
      <c r="G345" s="44">
        <v>2023.0</v>
      </c>
      <c r="H345" s="44">
        <v>0.0513</v>
      </c>
      <c r="I345" s="44">
        <v>0.0577</v>
      </c>
      <c r="J345" s="44">
        <v>2.0</v>
      </c>
      <c r="K345" s="44">
        <v>1.0</v>
      </c>
      <c r="L345" s="44">
        <v>1.0</v>
      </c>
      <c r="M345" s="45">
        <v>0.3916</v>
      </c>
      <c r="N345" s="46" t="s">
        <v>764</v>
      </c>
    </row>
    <row r="346" ht="15.75" customHeight="1">
      <c r="A346" s="43" t="s">
        <v>1520</v>
      </c>
      <c r="B346" s="43" t="s">
        <v>581</v>
      </c>
      <c r="C346" s="43" t="s">
        <v>515</v>
      </c>
      <c r="D346" s="43" t="s">
        <v>709</v>
      </c>
      <c r="E346" s="43" t="s">
        <v>817</v>
      </c>
      <c r="F346" s="43" t="s">
        <v>798</v>
      </c>
      <c r="G346" s="44">
        <v>2023.0</v>
      </c>
      <c r="H346" s="44">
        <v>0.1153</v>
      </c>
      <c r="I346" s="44">
        <v>0.1398</v>
      </c>
      <c r="J346" s="44">
        <v>2.0</v>
      </c>
      <c r="K346" s="44">
        <v>1.0</v>
      </c>
      <c r="L346" s="44">
        <v>1.0</v>
      </c>
      <c r="M346" s="45">
        <v>0.6258</v>
      </c>
      <c r="N346" s="46" t="s">
        <v>764</v>
      </c>
    </row>
    <row r="347" ht="15.75" customHeight="1">
      <c r="A347" s="43" t="s">
        <v>1522</v>
      </c>
      <c r="B347" s="43" t="s">
        <v>581</v>
      </c>
      <c r="C347" s="43" t="s">
        <v>336</v>
      </c>
      <c r="D347" s="43" t="s">
        <v>755</v>
      </c>
      <c r="E347" s="43" t="s">
        <v>817</v>
      </c>
      <c r="F347" s="43" t="s">
        <v>798</v>
      </c>
      <c r="G347" s="44">
        <v>2023.0</v>
      </c>
      <c r="H347" s="44">
        <v>0.0343</v>
      </c>
      <c r="I347" s="44">
        <v>0.0462</v>
      </c>
      <c r="J347" s="44">
        <v>2.0</v>
      </c>
      <c r="K347" s="44">
        <v>1.0</v>
      </c>
      <c r="L347" s="44">
        <v>1.0</v>
      </c>
      <c r="M347" s="45">
        <v>0.2263</v>
      </c>
      <c r="N347" s="46" t="s">
        <v>764</v>
      </c>
    </row>
    <row r="348" ht="15.75" customHeight="1">
      <c r="A348" s="43" t="s">
        <v>1524</v>
      </c>
      <c r="B348" s="43" t="s">
        <v>605</v>
      </c>
      <c r="C348" s="43" t="s">
        <v>324</v>
      </c>
      <c r="D348" s="43" t="s">
        <v>970</v>
      </c>
      <c r="E348" s="43" t="s">
        <v>797</v>
      </c>
      <c r="F348" s="43" t="s">
        <v>798</v>
      </c>
      <c r="G348" s="44">
        <v>2023.0</v>
      </c>
      <c r="H348" s="44">
        <v>0.09</v>
      </c>
      <c r="I348" s="44">
        <v>0.102</v>
      </c>
      <c r="J348" s="44">
        <v>2.0</v>
      </c>
      <c r="K348" s="44">
        <v>1.0</v>
      </c>
      <c r="L348" s="44">
        <v>1.0</v>
      </c>
      <c r="M348" s="45">
        <v>0.3425</v>
      </c>
      <c r="N348" s="46" t="s">
        <v>764</v>
      </c>
    </row>
    <row r="349" ht="15.75" customHeight="1">
      <c r="A349" s="43" t="s">
        <v>1526</v>
      </c>
      <c r="B349" s="43" t="s">
        <v>581</v>
      </c>
      <c r="C349" s="43" t="s">
        <v>436</v>
      </c>
      <c r="D349" s="43" t="s">
        <v>793</v>
      </c>
      <c r="E349" s="43" t="s">
        <v>826</v>
      </c>
      <c r="F349" s="43" t="s">
        <v>751</v>
      </c>
      <c r="G349" s="44">
        <v>2024.0</v>
      </c>
      <c r="H349" s="44">
        <v>4.3219</v>
      </c>
      <c r="I349" s="44">
        <v>5.6816</v>
      </c>
      <c r="J349" s="44">
        <v>40.0</v>
      </c>
      <c r="K349" s="44">
        <v>18.0</v>
      </c>
      <c r="L349" s="44">
        <v>3.0</v>
      </c>
      <c r="M349" s="45">
        <v>288.91</v>
      </c>
      <c r="N349" s="46" t="s">
        <v>764</v>
      </c>
    </row>
    <row r="350" ht="15.75" customHeight="1">
      <c r="A350" s="43" t="s">
        <v>1527</v>
      </c>
      <c r="B350" s="43" t="s">
        <v>605</v>
      </c>
      <c r="C350" s="43" t="s">
        <v>497</v>
      </c>
      <c r="D350" s="43" t="s">
        <v>912</v>
      </c>
      <c r="E350" s="43" t="s">
        <v>797</v>
      </c>
      <c r="F350" s="43" t="s">
        <v>798</v>
      </c>
      <c r="G350" s="44">
        <v>2023.0</v>
      </c>
      <c r="H350" s="44">
        <v>0.0431</v>
      </c>
      <c r="I350" s="44">
        <v>0.0511</v>
      </c>
      <c r="J350" s="44">
        <v>2.0</v>
      </c>
      <c r="K350" s="44">
        <v>1.0</v>
      </c>
      <c r="L350" s="44">
        <v>1.0</v>
      </c>
      <c r="M350" s="45">
        <v>0.2545</v>
      </c>
      <c r="N350" s="46" t="s">
        <v>764</v>
      </c>
    </row>
    <row r="351" ht="15.75" customHeight="1">
      <c r="A351" s="43" t="s">
        <v>1529</v>
      </c>
      <c r="B351" s="43" t="s">
        <v>596</v>
      </c>
      <c r="C351" s="43" t="s">
        <v>211</v>
      </c>
      <c r="D351" s="43" t="s">
        <v>868</v>
      </c>
      <c r="E351" s="43" t="s">
        <v>836</v>
      </c>
      <c r="F351" s="43" t="s">
        <v>798</v>
      </c>
      <c r="G351" s="44">
        <v>2023.0</v>
      </c>
      <c r="H351" s="44">
        <v>0.1436</v>
      </c>
      <c r="I351" s="44">
        <v>0.1656</v>
      </c>
      <c r="J351" s="44">
        <v>2.0</v>
      </c>
      <c r="K351" s="44">
        <v>1.0</v>
      </c>
      <c r="L351" s="44">
        <v>1.0</v>
      </c>
      <c r="M351" s="45">
        <v>1.3307</v>
      </c>
      <c r="N351" s="46" t="s">
        <v>764</v>
      </c>
    </row>
    <row r="352" ht="15.75" customHeight="1">
      <c r="A352" s="43" t="s">
        <v>1531</v>
      </c>
      <c r="B352" s="43" t="s">
        <v>596</v>
      </c>
      <c r="C352" s="43" t="s">
        <v>507</v>
      </c>
      <c r="D352" s="43" t="s">
        <v>864</v>
      </c>
      <c r="E352" s="43" t="s">
        <v>836</v>
      </c>
      <c r="F352" s="43" t="s">
        <v>798</v>
      </c>
      <c r="G352" s="44">
        <v>2023.0</v>
      </c>
      <c r="H352" s="44">
        <v>0.1802</v>
      </c>
      <c r="I352" s="44">
        <v>0.2207</v>
      </c>
      <c r="J352" s="44">
        <v>2.0</v>
      </c>
      <c r="K352" s="44">
        <v>2.0</v>
      </c>
      <c r="L352" s="44">
        <v>1.0</v>
      </c>
      <c r="M352" s="45">
        <v>1.5655</v>
      </c>
      <c r="N352" s="46" t="s">
        <v>764</v>
      </c>
    </row>
    <row r="353" ht="15.75" customHeight="1">
      <c r="A353" s="43" t="s">
        <v>1533</v>
      </c>
      <c r="B353" s="43" t="s">
        <v>577</v>
      </c>
      <c r="C353" s="43" t="s">
        <v>513</v>
      </c>
      <c r="D353" s="43" t="s">
        <v>666</v>
      </c>
      <c r="E353" s="43" t="s">
        <v>749</v>
      </c>
      <c r="F353" s="43" t="s">
        <v>751</v>
      </c>
      <c r="G353" s="44">
        <v>2024.0</v>
      </c>
      <c r="H353" s="44">
        <v>0.014</v>
      </c>
      <c r="I353" s="44">
        <v>0.016</v>
      </c>
      <c r="J353" s="44">
        <v>2.0</v>
      </c>
      <c r="K353" s="44">
        <v>2.0</v>
      </c>
      <c r="L353" s="44">
        <v>1.0</v>
      </c>
      <c r="M353" s="45">
        <v>1.53</v>
      </c>
      <c r="N353" s="46" t="s">
        <v>764</v>
      </c>
    </row>
    <row r="354" ht="15.75" customHeight="1">
      <c r="A354" s="43" t="s">
        <v>1535</v>
      </c>
      <c r="B354" s="43" t="s">
        <v>596</v>
      </c>
      <c r="C354" s="43" t="s">
        <v>481</v>
      </c>
      <c r="D354" s="43" t="s">
        <v>774</v>
      </c>
      <c r="E354" s="43" t="s">
        <v>817</v>
      </c>
      <c r="F354" s="43" t="s">
        <v>798</v>
      </c>
      <c r="G354" s="44">
        <v>2023.0</v>
      </c>
      <c r="H354" s="44">
        <v>0.1531</v>
      </c>
      <c r="I354" s="44">
        <v>0.1952</v>
      </c>
      <c r="J354" s="44">
        <v>2.0</v>
      </c>
      <c r="K354" s="44">
        <v>1.0</v>
      </c>
      <c r="L354" s="44">
        <v>1.0</v>
      </c>
      <c r="M354" s="45">
        <v>0.7526</v>
      </c>
      <c r="N354" s="46" t="s">
        <v>764</v>
      </c>
    </row>
    <row r="355" ht="15.75" customHeight="1">
      <c r="A355" s="43" t="s">
        <v>1540</v>
      </c>
      <c r="B355" s="43" t="s">
        <v>596</v>
      </c>
      <c r="C355" s="43" t="s">
        <v>493</v>
      </c>
      <c r="D355" s="43" t="s">
        <v>823</v>
      </c>
      <c r="E355" s="43" t="s">
        <v>784</v>
      </c>
      <c r="F355" s="43" t="s">
        <v>751</v>
      </c>
      <c r="G355" s="44">
        <v>2024.0</v>
      </c>
      <c r="H355" s="44">
        <v>0.4253</v>
      </c>
      <c r="I355" s="44">
        <v>0.5388</v>
      </c>
      <c r="J355" s="44">
        <v>2.0</v>
      </c>
      <c r="K355" s="44">
        <v>2.0</v>
      </c>
      <c r="L355" s="44">
        <v>1.0</v>
      </c>
      <c r="M355" s="45">
        <v>43.75</v>
      </c>
      <c r="N355" s="46" t="s">
        <v>764</v>
      </c>
    </row>
    <row r="356" ht="15.75" customHeight="1">
      <c r="A356" s="43" t="s">
        <v>1542</v>
      </c>
      <c r="B356" s="43" t="s">
        <v>581</v>
      </c>
      <c r="C356" s="43" t="s">
        <v>260</v>
      </c>
      <c r="D356" s="43" t="s">
        <v>769</v>
      </c>
      <c r="E356" s="43" t="s">
        <v>826</v>
      </c>
      <c r="F356" s="43" t="s">
        <v>751</v>
      </c>
      <c r="G356" s="44">
        <v>2024.0</v>
      </c>
      <c r="H356" s="44">
        <v>0.8888</v>
      </c>
      <c r="I356" s="44">
        <v>0.977</v>
      </c>
      <c r="J356" s="44">
        <v>4.0</v>
      </c>
      <c r="K356" s="44">
        <v>2.0</v>
      </c>
      <c r="L356" s="44">
        <v>1.0</v>
      </c>
      <c r="M356" s="45">
        <v>57.25</v>
      </c>
      <c r="N356" s="46" t="s">
        <v>764</v>
      </c>
    </row>
    <row r="357" ht="15.75" customHeight="1">
      <c r="A357" s="43" t="s">
        <v>1544</v>
      </c>
      <c r="B357" s="43" t="s">
        <v>581</v>
      </c>
      <c r="C357" s="43" t="s">
        <v>385</v>
      </c>
      <c r="D357" s="43" t="s">
        <v>773</v>
      </c>
      <c r="E357" s="43" t="s">
        <v>836</v>
      </c>
      <c r="F357" s="43" t="s">
        <v>798</v>
      </c>
      <c r="G357" s="44">
        <v>2023.0</v>
      </c>
      <c r="H357" s="44">
        <v>0.4552</v>
      </c>
      <c r="I357" s="44">
        <v>0.6072</v>
      </c>
      <c r="J357" s="44">
        <v>4.0</v>
      </c>
      <c r="K357" s="44">
        <v>2.0</v>
      </c>
      <c r="L357" s="44">
        <v>1.0</v>
      </c>
      <c r="M357" s="45">
        <v>4.1554</v>
      </c>
      <c r="N357" s="46" t="s">
        <v>764</v>
      </c>
    </row>
    <row r="358" ht="15.75" customHeight="1">
      <c r="A358" s="43" t="s">
        <v>1546</v>
      </c>
      <c r="B358" s="43" t="s">
        <v>581</v>
      </c>
      <c r="C358" s="43" t="s">
        <v>519</v>
      </c>
      <c r="D358" s="43" t="s">
        <v>748</v>
      </c>
      <c r="E358" s="43" t="s">
        <v>836</v>
      </c>
      <c r="F358" s="43" t="s">
        <v>798</v>
      </c>
      <c r="G358" s="44">
        <v>2023.0</v>
      </c>
      <c r="H358" s="44">
        <v>0.3396</v>
      </c>
      <c r="I358" s="44">
        <v>0.4135</v>
      </c>
      <c r="J358" s="44">
        <v>6.0</v>
      </c>
      <c r="K358" s="44">
        <v>5.0</v>
      </c>
      <c r="L358" s="44">
        <v>1.0</v>
      </c>
      <c r="M358" s="45">
        <v>3.6874</v>
      </c>
      <c r="N358" s="46" t="s">
        <v>764</v>
      </c>
    </row>
    <row r="359" ht="15.75" customHeight="1">
      <c r="A359" s="43" t="s">
        <v>1548</v>
      </c>
      <c r="B359" s="43" t="s">
        <v>581</v>
      </c>
      <c r="C359" s="43" t="s">
        <v>479</v>
      </c>
      <c r="D359" s="43" t="s">
        <v>811</v>
      </c>
      <c r="E359" s="43" t="s">
        <v>842</v>
      </c>
      <c r="F359" s="43" t="s">
        <v>751</v>
      </c>
      <c r="G359" s="44">
        <v>2024.0</v>
      </c>
      <c r="H359" s="44">
        <v>1.0508</v>
      </c>
      <c r="I359" s="44">
        <v>1.3556</v>
      </c>
      <c r="J359" s="44">
        <v>9.0</v>
      </c>
      <c r="K359" s="44">
        <v>7.0</v>
      </c>
      <c r="L359" s="44">
        <v>1.0</v>
      </c>
      <c r="M359" s="45">
        <v>87.42</v>
      </c>
      <c r="N359" s="46" t="s">
        <v>764</v>
      </c>
    </row>
    <row r="360" ht="15.75" customHeight="1">
      <c r="A360" s="43" t="s">
        <v>1550</v>
      </c>
      <c r="B360" s="43" t="s">
        <v>581</v>
      </c>
      <c r="C360" s="43" t="s">
        <v>378</v>
      </c>
      <c r="D360" s="43" t="s">
        <v>718</v>
      </c>
      <c r="E360" s="43" t="s">
        <v>817</v>
      </c>
      <c r="F360" s="43" t="s">
        <v>798</v>
      </c>
      <c r="G360" s="44">
        <v>2023.0</v>
      </c>
      <c r="H360" s="44">
        <v>0.2169</v>
      </c>
      <c r="I360" s="44">
        <v>0.2613</v>
      </c>
      <c r="J360" s="44">
        <v>5.0</v>
      </c>
      <c r="K360" s="44">
        <v>3.0</v>
      </c>
      <c r="L360" s="44">
        <v>1.0</v>
      </c>
      <c r="M360" s="45">
        <v>0.99</v>
      </c>
      <c r="N360" s="46" t="s">
        <v>764</v>
      </c>
    </row>
    <row r="361" ht="15.75" customHeight="1">
      <c r="A361" s="43" t="s">
        <v>1552</v>
      </c>
      <c r="B361" s="43" t="s">
        <v>577</v>
      </c>
      <c r="C361" s="43" t="s">
        <v>229</v>
      </c>
      <c r="D361" s="43" t="s">
        <v>630</v>
      </c>
      <c r="E361" s="43" t="s">
        <v>749</v>
      </c>
      <c r="F361" s="43" t="s">
        <v>751</v>
      </c>
      <c r="G361" s="44">
        <v>2024.0</v>
      </c>
      <c r="H361" s="44">
        <v>0.006</v>
      </c>
      <c r="I361" s="44">
        <v>0.0071</v>
      </c>
      <c r="J361" s="44">
        <v>2.0</v>
      </c>
      <c r="K361" s="44">
        <v>2.0</v>
      </c>
      <c r="L361" s="44">
        <v>1.0</v>
      </c>
      <c r="M361" s="45">
        <v>0.54</v>
      </c>
      <c r="N361" s="46" t="s">
        <v>764</v>
      </c>
    </row>
    <row r="362" ht="15.75" customHeight="1">
      <c r="A362" s="43" t="s">
        <v>1554</v>
      </c>
      <c r="B362" s="43" t="s">
        <v>603</v>
      </c>
      <c r="C362" s="43" t="s">
        <v>401</v>
      </c>
      <c r="D362" s="43" t="s">
        <v>895</v>
      </c>
      <c r="E362" s="43" t="s">
        <v>842</v>
      </c>
      <c r="F362" s="43" t="s">
        <v>751</v>
      </c>
      <c r="G362" s="44">
        <v>2024.0</v>
      </c>
      <c r="H362" s="44">
        <v>0.9815</v>
      </c>
      <c r="I362" s="44">
        <v>1.2216</v>
      </c>
      <c r="J362" s="44">
        <v>12.0</v>
      </c>
      <c r="K362" s="44">
        <v>8.0</v>
      </c>
      <c r="L362" s="44">
        <v>1.0</v>
      </c>
      <c r="M362" s="45">
        <v>85.15</v>
      </c>
      <c r="N362" s="46" t="s">
        <v>764</v>
      </c>
    </row>
    <row r="363" ht="15.75" customHeight="1">
      <c r="A363" s="43" t="s">
        <v>1556</v>
      </c>
      <c r="B363" s="43" t="s">
        <v>596</v>
      </c>
      <c r="C363" s="43" t="s">
        <v>265</v>
      </c>
      <c r="D363" s="43" t="s">
        <v>829</v>
      </c>
      <c r="E363" s="43" t="s">
        <v>797</v>
      </c>
      <c r="F363" s="43" t="s">
        <v>798</v>
      </c>
      <c r="G363" s="44">
        <v>2023.0</v>
      </c>
      <c r="H363" s="44">
        <v>0.0913</v>
      </c>
      <c r="I363" s="44">
        <v>0.1047</v>
      </c>
      <c r="J363" s="44">
        <v>2.0</v>
      </c>
      <c r="K363" s="44">
        <v>2.0</v>
      </c>
      <c r="L363" s="44">
        <v>1.0</v>
      </c>
      <c r="M363" s="45">
        <v>0.4257</v>
      </c>
      <c r="N363" s="46" t="s">
        <v>764</v>
      </c>
    </row>
    <row r="364" ht="15.75" customHeight="1">
      <c r="A364" s="43" t="s">
        <v>1557</v>
      </c>
      <c r="B364" s="43" t="s">
        <v>581</v>
      </c>
      <c r="C364" s="43" t="s">
        <v>503</v>
      </c>
      <c r="D364" s="43" t="s">
        <v>745</v>
      </c>
      <c r="E364" s="43" t="s">
        <v>842</v>
      </c>
      <c r="F364" s="43" t="s">
        <v>751</v>
      </c>
      <c r="G364" s="44">
        <v>2024.0</v>
      </c>
      <c r="H364" s="44">
        <v>1.5912</v>
      </c>
      <c r="I364" s="44">
        <v>2.0055</v>
      </c>
      <c r="J364" s="44">
        <v>16.0</v>
      </c>
      <c r="K364" s="44">
        <v>13.0</v>
      </c>
      <c r="L364" s="44">
        <v>2.0</v>
      </c>
      <c r="M364" s="45">
        <v>101.34</v>
      </c>
      <c r="N364" s="46" t="s">
        <v>764</v>
      </c>
    </row>
    <row r="365" ht="15.75" customHeight="1">
      <c r="A365" s="43" t="s">
        <v>1559</v>
      </c>
      <c r="B365" s="43" t="s">
        <v>596</v>
      </c>
      <c r="C365" s="43" t="s">
        <v>265</v>
      </c>
      <c r="D365" s="43" t="s">
        <v>829</v>
      </c>
      <c r="E365" s="43" t="s">
        <v>826</v>
      </c>
      <c r="F365" s="43" t="s">
        <v>751</v>
      </c>
      <c r="G365" s="44">
        <v>2024.0</v>
      </c>
      <c r="H365" s="44">
        <v>0.3599</v>
      </c>
      <c r="I365" s="44">
        <v>0.3997</v>
      </c>
      <c r="J365" s="44">
        <v>2.0</v>
      </c>
      <c r="K365" s="44">
        <v>1.0</v>
      </c>
      <c r="L365" s="44">
        <v>1.0</v>
      </c>
      <c r="M365" s="45">
        <v>30.66</v>
      </c>
      <c r="N365" s="46" t="s">
        <v>764</v>
      </c>
    </row>
    <row r="366" ht="15.75" customHeight="1">
      <c r="A366" s="43" t="s">
        <v>1561</v>
      </c>
      <c r="B366" s="43" t="s">
        <v>577</v>
      </c>
      <c r="C366" s="43" t="s">
        <v>286</v>
      </c>
      <c r="D366" s="43" t="s">
        <v>644</v>
      </c>
      <c r="E366" s="43" t="s">
        <v>749</v>
      </c>
      <c r="F366" s="43" t="s">
        <v>751</v>
      </c>
      <c r="G366" s="44">
        <v>2024.0</v>
      </c>
      <c r="H366" s="44">
        <v>0.0018</v>
      </c>
      <c r="I366" s="44">
        <v>0.0022</v>
      </c>
      <c r="J366" s="44">
        <v>2.0</v>
      </c>
      <c r="K366" s="44">
        <v>2.0</v>
      </c>
      <c r="L366" s="44">
        <v>1.0</v>
      </c>
      <c r="M366" s="45">
        <v>0.15</v>
      </c>
      <c r="N366" s="46" t="s">
        <v>764</v>
      </c>
    </row>
    <row r="367" ht="15.75" customHeight="1">
      <c r="A367" s="43" t="s">
        <v>1563</v>
      </c>
      <c r="B367" s="43" t="s">
        <v>577</v>
      </c>
      <c r="C367" s="43" t="s">
        <v>169</v>
      </c>
      <c r="D367" s="43" t="s">
        <v>655</v>
      </c>
      <c r="E367" s="43" t="s">
        <v>826</v>
      </c>
      <c r="F367" s="43" t="s">
        <v>751</v>
      </c>
      <c r="G367" s="44">
        <v>2024.0</v>
      </c>
      <c r="H367" s="44">
        <v>1.3184</v>
      </c>
      <c r="I367" s="44">
        <v>1.7788</v>
      </c>
      <c r="J367" s="44">
        <v>14.0</v>
      </c>
      <c r="K367" s="44">
        <v>8.0</v>
      </c>
      <c r="L367" s="44">
        <v>2.0</v>
      </c>
      <c r="M367" s="45">
        <v>101.0</v>
      </c>
      <c r="N367" s="46" t="s">
        <v>764</v>
      </c>
    </row>
    <row r="368" ht="15.75" customHeight="1">
      <c r="A368" s="43" t="s">
        <v>1565</v>
      </c>
      <c r="B368" s="43" t="s">
        <v>603</v>
      </c>
      <c r="C368" s="43" t="s">
        <v>401</v>
      </c>
      <c r="D368" s="43" t="s">
        <v>895</v>
      </c>
      <c r="E368" s="43" t="s">
        <v>836</v>
      </c>
      <c r="F368" s="43" t="s">
        <v>798</v>
      </c>
      <c r="G368" s="44">
        <v>2023.0</v>
      </c>
      <c r="H368" s="44">
        <v>0.1507</v>
      </c>
      <c r="I368" s="44">
        <v>0.1958</v>
      </c>
      <c r="J368" s="44">
        <v>2.0</v>
      </c>
      <c r="K368" s="44">
        <v>1.0</v>
      </c>
      <c r="L368" s="44">
        <v>1.0</v>
      </c>
      <c r="M368" s="45">
        <v>1.1763</v>
      </c>
      <c r="N368" s="46" t="s">
        <v>764</v>
      </c>
    </row>
    <row r="369" ht="15.75" customHeight="1">
      <c r="A369" s="43" t="s">
        <v>1567</v>
      </c>
      <c r="B369" s="43" t="s">
        <v>603</v>
      </c>
      <c r="C369" s="43" t="s">
        <v>146</v>
      </c>
      <c r="D369" s="43" t="s">
        <v>906</v>
      </c>
      <c r="E369" s="43" t="s">
        <v>842</v>
      </c>
      <c r="F369" s="43" t="s">
        <v>751</v>
      </c>
      <c r="G369" s="44">
        <v>2024.0</v>
      </c>
      <c r="H369" s="44">
        <v>0.9227</v>
      </c>
      <c r="I369" s="44">
        <v>1.067</v>
      </c>
      <c r="J369" s="44">
        <v>8.0</v>
      </c>
      <c r="K369" s="44">
        <v>7.0</v>
      </c>
      <c r="L369" s="44">
        <v>1.0</v>
      </c>
      <c r="M369" s="45">
        <v>74.49</v>
      </c>
      <c r="N369" s="46" t="s">
        <v>764</v>
      </c>
    </row>
    <row r="370" ht="15.75" customHeight="1">
      <c r="A370" s="43" t="s">
        <v>1569</v>
      </c>
      <c r="B370" s="43" t="s">
        <v>577</v>
      </c>
      <c r="C370" s="43" t="s">
        <v>422</v>
      </c>
      <c r="D370" s="43" t="s">
        <v>688</v>
      </c>
      <c r="E370" s="43" t="s">
        <v>842</v>
      </c>
      <c r="F370" s="43" t="s">
        <v>751</v>
      </c>
      <c r="G370" s="44">
        <v>2024.0</v>
      </c>
      <c r="H370" s="44">
        <v>0.8935</v>
      </c>
      <c r="I370" s="44">
        <v>0.9879</v>
      </c>
      <c r="J370" s="44">
        <v>8.0</v>
      </c>
      <c r="K370" s="44">
        <v>4.0</v>
      </c>
      <c r="L370" s="44">
        <v>1.0</v>
      </c>
      <c r="M370" s="45">
        <v>68.59</v>
      </c>
      <c r="N370" s="46" t="s">
        <v>764</v>
      </c>
    </row>
    <row r="371" ht="15.75" customHeight="1">
      <c r="A371" s="43" t="s">
        <v>1571</v>
      </c>
      <c r="B371" s="43" t="s">
        <v>596</v>
      </c>
      <c r="C371" s="43" t="s">
        <v>346</v>
      </c>
      <c r="D371" s="43" t="s">
        <v>873</v>
      </c>
      <c r="E371" s="43" t="s">
        <v>826</v>
      </c>
      <c r="F371" s="43" t="s">
        <v>751</v>
      </c>
      <c r="G371" s="44">
        <v>2024.0</v>
      </c>
      <c r="H371" s="44">
        <v>0.8886</v>
      </c>
      <c r="I371" s="44">
        <v>1.1357</v>
      </c>
      <c r="J371" s="44">
        <v>9.0</v>
      </c>
      <c r="K371" s="44">
        <v>8.0</v>
      </c>
      <c r="L371" s="44">
        <v>1.0</v>
      </c>
      <c r="M371" s="45">
        <v>54.18</v>
      </c>
      <c r="N371" s="46" t="s">
        <v>764</v>
      </c>
    </row>
    <row r="372" ht="15.75" customHeight="1">
      <c r="A372" s="43" t="s">
        <v>1573</v>
      </c>
      <c r="B372" s="43" t="s">
        <v>605</v>
      </c>
      <c r="C372" s="43" t="s">
        <v>279</v>
      </c>
      <c r="D372" s="43" t="s">
        <v>956</v>
      </c>
      <c r="E372" s="43" t="s">
        <v>797</v>
      </c>
      <c r="F372" s="43" t="s">
        <v>798</v>
      </c>
      <c r="G372" s="44">
        <v>2023.0</v>
      </c>
      <c r="H372" s="44">
        <v>0.0579</v>
      </c>
      <c r="I372" s="44">
        <v>0.07</v>
      </c>
      <c r="J372" s="44">
        <v>2.0</v>
      </c>
      <c r="K372" s="44">
        <v>2.0</v>
      </c>
      <c r="L372" s="44">
        <v>1.0</v>
      </c>
      <c r="M372" s="45">
        <v>0.2657</v>
      </c>
      <c r="N372" s="46" t="s">
        <v>764</v>
      </c>
    </row>
    <row r="373" ht="15.75" customHeight="1">
      <c r="A373" s="43" t="s">
        <v>1575</v>
      </c>
      <c r="B373" s="43" t="s">
        <v>603</v>
      </c>
      <c r="C373" s="43" t="s">
        <v>521</v>
      </c>
      <c r="D373" s="43" t="s">
        <v>882</v>
      </c>
      <c r="E373" s="43" t="s">
        <v>749</v>
      </c>
      <c r="F373" s="43" t="s">
        <v>751</v>
      </c>
      <c r="G373" s="44">
        <v>2024.0</v>
      </c>
      <c r="H373" s="44">
        <v>0.0037</v>
      </c>
      <c r="I373" s="44">
        <v>0.005</v>
      </c>
      <c r="J373" s="44">
        <v>2.0</v>
      </c>
      <c r="K373" s="44">
        <v>1.0</v>
      </c>
      <c r="L373" s="44">
        <v>1.0</v>
      </c>
      <c r="M373" s="45">
        <v>0.22</v>
      </c>
      <c r="N373" s="46" t="s">
        <v>764</v>
      </c>
    </row>
    <row r="374" ht="15.75" customHeight="1">
      <c r="A374" s="43" t="s">
        <v>1577</v>
      </c>
      <c r="B374" s="43" t="s">
        <v>603</v>
      </c>
      <c r="C374" s="43" t="s">
        <v>449</v>
      </c>
      <c r="D374" s="43" t="s">
        <v>830</v>
      </c>
      <c r="E374" s="43" t="s">
        <v>842</v>
      </c>
      <c r="F374" s="43" t="s">
        <v>751</v>
      </c>
      <c r="G374" s="44">
        <v>2024.0</v>
      </c>
      <c r="H374" s="44">
        <v>0.7647</v>
      </c>
      <c r="I374" s="44">
        <v>0.9928</v>
      </c>
      <c r="J374" s="44">
        <v>6.0</v>
      </c>
      <c r="K374" s="44">
        <v>4.0</v>
      </c>
      <c r="L374" s="44">
        <v>1.0</v>
      </c>
      <c r="M374" s="45">
        <v>64.53</v>
      </c>
      <c r="N374" s="46" t="s">
        <v>764</v>
      </c>
    </row>
    <row r="375" ht="15.75" customHeight="1">
      <c r="A375" s="43" t="s">
        <v>1579</v>
      </c>
      <c r="B375" s="43" t="s">
        <v>605</v>
      </c>
      <c r="C375" s="43" t="s">
        <v>160</v>
      </c>
      <c r="D375" s="43" t="s">
        <v>937</v>
      </c>
      <c r="E375" s="43" t="s">
        <v>784</v>
      </c>
      <c r="F375" s="43" t="s">
        <v>751</v>
      </c>
      <c r="G375" s="44">
        <v>2024.0</v>
      </c>
      <c r="H375" s="44">
        <v>1.7239</v>
      </c>
      <c r="I375" s="44">
        <v>2.193</v>
      </c>
      <c r="J375" s="44">
        <v>16.0</v>
      </c>
      <c r="K375" s="44">
        <v>13.0</v>
      </c>
      <c r="L375" s="44">
        <v>2.0</v>
      </c>
      <c r="M375" s="45">
        <v>126.61</v>
      </c>
      <c r="N375" s="46" t="s">
        <v>764</v>
      </c>
    </row>
    <row r="376" ht="15.75" customHeight="1">
      <c r="A376" s="43" t="s">
        <v>1581</v>
      </c>
      <c r="B376" s="43" t="s">
        <v>603</v>
      </c>
      <c r="C376" s="43" t="s">
        <v>272</v>
      </c>
      <c r="D376" s="43" t="s">
        <v>891</v>
      </c>
      <c r="E376" s="43" t="s">
        <v>826</v>
      </c>
      <c r="F376" s="43" t="s">
        <v>751</v>
      </c>
      <c r="G376" s="44">
        <v>2024.0</v>
      </c>
      <c r="H376" s="44">
        <v>0.3204</v>
      </c>
      <c r="I376" s="44">
        <v>0.3594</v>
      </c>
      <c r="J376" s="44">
        <v>3.0</v>
      </c>
      <c r="K376" s="44">
        <v>2.0</v>
      </c>
      <c r="L376" s="44">
        <v>1.0</v>
      </c>
      <c r="M376" s="45">
        <v>30.35</v>
      </c>
      <c r="N376" s="46" t="s">
        <v>764</v>
      </c>
    </row>
    <row r="377" ht="15.75" customHeight="1">
      <c r="A377" s="43" t="s">
        <v>1584</v>
      </c>
      <c r="B377" s="43" t="s">
        <v>577</v>
      </c>
      <c r="C377" s="43" t="s">
        <v>499</v>
      </c>
      <c r="D377" s="43" t="s">
        <v>651</v>
      </c>
      <c r="E377" s="43" t="s">
        <v>784</v>
      </c>
      <c r="F377" s="43" t="s">
        <v>751</v>
      </c>
      <c r="G377" s="44">
        <v>2024.0</v>
      </c>
      <c r="H377" s="44">
        <v>0.3402</v>
      </c>
      <c r="I377" s="44">
        <v>0.3966</v>
      </c>
      <c r="J377" s="44">
        <v>2.0</v>
      </c>
      <c r="K377" s="44">
        <v>1.0</v>
      </c>
      <c r="L377" s="44">
        <v>1.0</v>
      </c>
      <c r="M377" s="45">
        <v>27.95</v>
      </c>
      <c r="N377" s="46" t="s">
        <v>764</v>
      </c>
    </row>
    <row r="378" ht="15.75" customHeight="1">
      <c r="A378" s="43" t="s">
        <v>1586</v>
      </c>
      <c r="B378" s="43" t="s">
        <v>603</v>
      </c>
      <c r="C378" s="43" t="s">
        <v>521</v>
      </c>
      <c r="D378" s="43" t="s">
        <v>882</v>
      </c>
      <c r="E378" s="43" t="s">
        <v>836</v>
      </c>
      <c r="F378" s="43" t="s">
        <v>798</v>
      </c>
      <c r="G378" s="44">
        <v>2023.0</v>
      </c>
      <c r="H378" s="44">
        <v>0.1254</v>
      </c>
      <c r="I378" s="44">
        <v>0.1443</v>
      </c>
      <c r="J378" s="44">
        <v>2.0</v>
      </c>
      <c r="K378" s="44">
        <v>1.0</v>
      </c>
      <c r="L378" s="44">
        <v>1.0</v>
      </c>
      <c r="M378" s="45">
        <v>1.4272</v>
      </c>
      <c r="N378" s="46" t="s">
        <v>764</v>
      </c>
    </row>
    <row r="379" ht="15.75" customHeight="1">
      <c r="A379" s="43" t="s">
        <v>1588</v>
      </c>
      <c r="B379" s="43" t="s">
        <v>605</v>
      </c>
      <c r="C379" s="43" t="s">
        <v>354</v>
      </c>
      <c r="D379" s="43" t="s">
        <v>905</v>
      </c>
      <c r="E379" s="43" t="s">
        <v>784</v>
      </c>
      <c r="F379" s="43" t="s">
        <v>751</v>
      </c>
      <c r="G379" s="44">
        <v>2024.0</v>
      </c>
      <c r="H379" s="44">
        <v>2.6104</v>
      </c>
      <c r="I379" s="44">
        <v>2.9391</v>
      </c>
      <c r="J379" s="44">
        <v>29.0</v>
      </c>
      <c r="K379" s="44">
        <v>19.0</v>
      </c>
      <c r="L379" s="44">
        <v>2.0</v>
      </c>
      <c r="M379" s="45">
        <v>346.19</v>
      </c>
      <c r="N379" s="46" t="s">
        <v>764</v>
      </c>
    </row>
    <row r="380" ht="15.75" customHeight="1">
      <c r="A380" s="43" t="s">
        <v>1590</v>
      </c>
      <c r="B380" s="43" t="s">
        <v>577</v>
      </c>
      <c r="C380" s="43" t="s">
        <v>363</v>
      </c>
      <c r="D380" s="43" t="s">
        <v>634</v>
      </c>
      <c r="E380" s="43" t="s">
        <v>797</v>
      </c>
      <c r="F380" s="43" t="s">
        <v>798</v>
      </c>
      <c r="G380" s="44">
        <v>2023.0</v>
      </c>
      <c r="H380" s="44">
        <v>0.0715</v>
      </c>
      <c r="I380" s="44">
        <v>0.0807</v>
      </c>
      <c r="J380" s="44">
        <v>2.0</v>
      </c>
      <c r="K380" s="44">
        <v>1.0</v>
      </c>
      <c r="L380" s="44">
        <v>1.0</v>
      </c>
      <c r="M380" s="45">
        <v>0.2901</v>
      </c>
      <c r="N380" s="46" t="s">
        <v>764</v>
      </c>
    </row>
    <row r="381" ht="15.75" customHeight="1">
      <c r="A381" s="43" t="s">
        <v>1592</v>
      </c>
      <c r="B381" s="43" t="s">
        <v>577</v>
      </c>
      <c r="C381" s="43" t="s">
        <v>414</v>
      </c>
      <c r="D381" s="43" t="s">
        <v>647</v>
      </c>
      <c r="E381" s="43" t="s">
        <v>749</v>
      </c>
      <c r="F381" s="43" t="s">
        <v>751</v>
      </c>
      <c r="G381" s="44">
        <v>2024.0</v>
      </c>
      <c r="H381" s="44">
        <v>0.0115</v>
      </c>
      <c r="I381" s="44">
        <v>0.015</v>
      </c>
      <c r="J381" s="44">
        <v>2.0</v>
      </c>
      <c r="K381" s="44">
        <v>1.0</v>
      </c>
      <c r="L381" s="44">
        <v>1.0</v>
      </c>
      <c r="M381" s="45">
        <v>0.8</v>
      </c>
      <c r="N381" s="46" t="s">
        <v>764</v>
      </c>
    </row>
    <row r="382" ht="15.75" customHeight="1">
      <c r="A382" s="43" t="s">
        <v>1594</v>
      </c>
      <c r="B382" s="43" t="s">
        <v>603</v>
      </c>
      <c r="C382" s="43" t="s">
        <v>272</v>
      </c>
      <c r="D382" s="43" t="s">
        <v>891</v>
      </c>
      <c r="E382" s="43" t="s">
        <v>784</v>
      </c>
      <c r="F382" s="43" t="s">
        <v>751</v>
      </c>
      <c r="G382" s="44">
        <v>2024.0</v>
      </c>
      <c r="H382" s="44">
        <v>2.0807</v>
      </c>
      <c r="I382" s="44">
        <v>2.7383</v>
      </c>
      <c r="J382" s="44">
        <v>19.0</v>
      </c>
      <c r="K382" s="44">
        <v>16.0</v>
      </c>
      <c r="L382" s="44">
        <v>2.0</v>
      </c>
      <c r="M382" s="45">
        <v>184.18</v>
      </c>
      <c r="N382" s="46" t="s">
        <v>764</v>
      </c>
    </row>
    <row r="383" ht="15.75" customHeight="1">
      <c r="A383" s="43" t="s">
        <v>1596</v>
      </c>
      <c r="B383" s="43" t="s">
        <v>581</v>
      </c>
      <c r="C383" s="43" t="s">
        <v>341</v>
      </c>
      <c r="D383" s="43" t="s">
        <v>783</v>
      </c>
      <c r="E383" s="43" t="s">
        <v>826</v>
      </c>
      <c r="F383" s="43" t="s">
        <v>751</v>
      </c>
      <c r="G383" s="44">
        <v>2024.0</v>
      </c>
      <c r="H383" s="44">
        <v>0.5839</v>
      </c>
      <c r="I383" s="44">
        <v>0.7162</v>
      </c>
      <c r="J383" s="44">
        <v>7.0</v>
      </c>
      <c r="K383" s="44">
        <v>5.0</v>
      </c>
      <c r="L383" s="44">
        <v>1.0</v>
      </c>
      <c r="M383" s="45">
        <v>31.64</v>
      </c>
      <c r="N383" s="46" t="s">
        <v>764</v>
      </c>
    </row>
    <row r="384" ht="15.75" customHeight="1">
      <c r="A384" s="43" t="s">
        <v>1597</v>
      </c>
      <c r="B384" s="43" t="s">
        <v>581</v>
      </c>
      <c r="C384" s="43" t="s">
        <v>477</v>
      </c>
      <c r="D384" s="43" t="s">
        <v>759</v>
      </c>
      <c r="E384" s="43" t="s">
        <v>817</v>
      </c>
      <c r="F384" s="43" t="s">
        <v>798</v>
      </c>
      <c r="G384" s="44">
        <v>2023.0</v>
      </c>
      <c r="H384" s="44">
        <v>0.0487</v>
      </c>
      <c r="I384" s="44">
        <v>0.0615</v>
      </c>
      <c r="J384" s="44">
        <v>2.0</v>
      </c>
      <c r="K384" s="44">
        <v>1.0</v>
      </c>
      <c r="L384" s="44">
        <v>1.0</v>
      </c>
      <c r="M384" s="45">
        <v>0.286</v>
      </c>
      <c r="N384" s="46" t="s">
        <v>764</v>
      </c>
    </row>
    <row r="385" ht="15.75" customHeight="1">
      <c r="A385" s="43" t="s">
        <v>1599</v>
      </c>
      <c r="B385" s="43" t="s">
        <v>577</v>
      </c>
      <c r="C385" s="43" t="s">
        <v>463</v>
      </c>
      <c r="D385" s="43" t="s">
        <v>662</v>
      </c>
      <c r="E385" s="43" t="s">
        <v>842</v>
      </c>
      <c r="F385" s="43" t="s">
        <v>751</v>
      </c>
      <c r="G385" s="44">
        <v>2024.0</v>
      </c>
      <c r="H385" s="44">
        <v>0.3724</v>
      </c>
      <c r="I385" s="44">
        <v>0.447</v>
      </c>
      <c r="J385" s="44">
        <v>4.0</v>
      </c>
      <c r="K385" s="44">
        <v>2.0</v>
      </c>
      <c r="L385" s="44">
        <v>1.0</v>
      </c>
      <c r="M385" s="45">
        <v>34.6</v>
      </c>
      <c r="N385" s="46" t="s">
        <v>764</v>
      </c>
    </row>
    <row r="386" ht="15.75" customHeight="1">
      <c r="A386" s="43" t="s">
        <v>1601</v>
      </c>
      <c r="B386" s="43" t="s">
        <v>605</v>
      </c>
      <c r="C386" s="43" t="s">
        <v>483</v>
      </c>
      <c r="D386" s="43" t="s">
        <v>803</v>
      </c>
      <c r="E386" s="43" t="s">
        <v>842</v>
      </c>
      <c r="F386" s="43" t="s">
        <v>751</v>
      </c>
      <c r="G386" s="44">
        <v>2024.0</v>
      </c>
      <c r="H386" s="44">
        <v>0.331</v>
      </c>
      <c r="I386" s="44">
        <v>0.3579</v>
      </c>
      <c r="J386" s="44">
        <v>2.0</v>
      </c>
      <c r="K386" s="44">
        <v>1.0</v>
      </c>
      <c r="L386" s="44">
        <v>1.0</v>
      </c>
      <c r="M386" s="45">
        <v>15.67</v>
      </c>
      <c r="N386" s="46" t="s">
        <v>764</v>
      </c>
    </row>
    <row r="387" ht="15.75" customHeight="1">
      <c r="A387" s="43" t="s">
        <v>1603</v>
      </c>
      <c r="B387" s="43" t="s">
        <v>581</v>
      </c>
      <c r="C387" s="43" t="s">
        <v>336</v>
      </c>
      <c r="D387" s="43" t="s">
        <v>755</v>
      </c>
      <c r="E387" s="43" t="s">
        <v>836</v>
      </c>
      <c r="F387" s="43" t="s">
        <v>798</v>
      </c>
      <c r="G387" s="44">
        <v>2023.0</v>
      </c>
      <c r="H387" s="44">
        <v>0.2524</v>
      </c>
      <c r="I387" s="44">
        <v>0.2785</v>
      </c>
      <c r="J387" s="44">
        <v>2.0</v>
      </c>
      <c r="K387" s="44">
        <v>1.0</v>
      </c>
      <c r="L387" s="44">
        <v>1.0</v>
      </c>
      <c r="M387" s="45">
        <v>2.985</v>
      </c>
      <c r="N387" s="46" t="s">
        <v>764</v>
      </c>
    </row>
    <row r="388" ht="15.75" customHeight="1">
      <c r="A388" s="43" t="s">
        <v>1604</v>
      </c>
      <c r="B388" s="43" t="s">
        <v>577</v>
      </c>
      <c r="C388" s="43" t="s">
        <v>237</v>
      </c>
      <c r="D388" s="43" t="s">
        <v>669</v>
      </c>
      <c r="E388" s="43" t="s">
        <v>749</v>
      </c>
      <c r="F388" s="43" t="s">
        <v>751</v>
      </c>
      <c r="G388" s="44">
        <v>2024.0</v>
      </c>
      <c r="H388" s="44">
        <v>0.0163</v>
      </c>
      <c r="I388" s="44">
        <v>0.0213</v>
      </c>
      <c r="J388" s="44">
        <v>2.0</v>
      </c>
      <c r="K388" s="44">
        <v>2.0</v>
      </c>
      <c r="L388" s="44">
        <v>1.0</v>
      </c>
      <c r="M388" s="45">
        <v>1.46</v>
      </c>
      <c r="N388" s="46" t="s">
        <v>764</v>
      </c>
    </row>
    <row r="389" ht="15.75" customHeight="1">
      <c r="A389" s="43" t="s">
        <v>1606</v>
      </c>
      <c r="B389" s="43" t="s">
        <v>577</v>
      </c>
      <c r="C389" s="43" t="s">
        <v>485</v>
      </c>
      <c r="D389" s="43" t="s">
        <v>637</v>
      </c>
      <c r="E389" s="43" t="s">
        <v>817</v>
      </c>
      <c r="F389" s="43" t="s">
        <v>798</v>
      </c>
      <c r="G389" s="44">
        <v>2023.0</v>
      </c>
      <c r="H389" s="44">
        <v>0.0806</v>
      </c>
      <c r="I389" s="44">
        <v>0.0943</v>
      </c>
      <c r="J389" s="44">
        <v>2.0</v>
      </c>
      <c r="K389" s="44">
        <v>2.0</v>
      </c>
      <c r="L389" s="44">
        <v>1.0</v>
      </c>
      <c r="M389" s="45">
        <v>0.7079</v>
      </c>
      <c r="N389" s="46" t="s">
        <v>764</v>
      </c>
    </row>
    <row r="390" ht="15.75" customHeight="1">
      <c r="A390" s="43" t="s">
        <v>1608</v>
      </c>
      <c r="B390" s="43" t="s">
        <v>577</v>
      </c>
      <c r="C390" s="43" t="s">
        <v>513</v>
      </c>
      <c r="D390" s="43" t="s">
        <v>666</v>
      </c>
      <c r="E390" s="43" t="s">
        <v>826</v>
      </c>
      <c r="F390" s="43" t="s">
        <v>751</v>
      </c>
      <c r="G390" s="44">
        <v>2024.0</v>
      </c>
      <c r="H390" s="44">
        <v>0.3114</v>
      </c>
      <c r="I390" s="44">
        <v>0.4002</v>
      </c>
      <c r="J390" s="44">
        <v>4.0</v>
      </c>
      <c r="K390" s="44">
        <v>2.0</v>
      </c>
      <c r="L390" s="44">
        <v>1.0</v>
      </c>
      <c r="M390" s="45">
        <v>25.11</v>
      </c>
      <c r="N390" s="46" t="s">
        <v>764</v>
      </c>
    </row>
    <row r="391" ht="15.75" customHeight="1">
      <c r="A391" s="43" t="s">
        <v>1610</v>
      </c>
      <c r="B391" s="43" t="s">
        <v>581</v>
      </c>
      <c r="C391" s="43" t="s">
        <v>104</v>
      </c>
      <c r="D391" s="43" t="s">
        <v>729</v>
      </c>
      <c r="E391" s="43" t="s">
        <v>842</v>
      </c>
      <c r="F391" s="43" t="s">
        <v>751</v>
      </c>
      <c r="G391" s="44">
        <v>2024.0</v>
      </c>
      <c r="H391" s="44">
        <v>0.2662</v>
      </c>
      <c r="I391" s="44">
        <v>0.2996</v>
      </c>
      <c r="J391" s="44">
        <v>2.0</v>
      </c>
      <c r="K391" s="44">
        <v>2.0</v>
      </c>
      <c r="L391" s="44">
        <v>1.0</v>
      </c>
      <c r="M391" s="45">
        <v>15.78</v>
      </c>
      <c r="N391" s="46" t="s">
        <v>764</v>
      </c>
    </row>
    <row r="392" ht="15.75" customHeight="1">
      <c r="A392" s="43" t="s">
        <v>1612</v>
      </c>
      <c r="B392" s="43" t="s">
        <v>581</v>
      </c>
      <c r="C392" s="43" t="s">
        <v>503</v>
      </c>
      <c r="D392" s="43" t="s">
        <v>745</v>
      </c>
      <c r="E392" s="43" t="s">
        <v>817</v>
      </c>
      <c r="F392" s="43" t="s">
        <v>798</v>
      </c>
      <c r="G392" s="44">
        <v>2023.0</v>
      </c>
      <c r="H392" s="44">
        <v>0.1135</v>
      </c>
      <c r="I392" s="44">
        <v>0.1249</v>
      </c>
      <c r="J392" s="44">
        <v>2.0</v>
      </c>
      <c r="K392" s="44">
        <v>2.0</v>
      </c>
      <c r="L392" s="44">
        <v>1.0</v>
      </c>
      <c r="M392" s="45">
        <v>0.4386</v>
      </c>
      <c r="N392" s="46" t="s">
        <v>764</v>
      </c>
    </row>
    <row r="393" ht="15.75" customHeight="1">
      <c r="A393" s="43" t="s">
        <v>1613</v>
      </c>
      <c r="B393" s="43" t="s">
        <v>596</v>
      </c>
      <c r="C393" s="43" t="s">
        <v>211</v>
      </c>
      <c r="D393" s="43" t="s">
        <v>868</v>
      </c>
      <c r="E393" s="43" t="s">
        <v>826</v>
      </c>
      <c r="F393" s="43" t="s">
        <v>751</v>
      </c>
      <c r="G393" s="44">
        <v>2024.0</v>
      </c>
      <c r="H393" s="44">
        <v>0.2591</v>
      </c>
      <c r="I393" s="44">
        <v>0.3051</v>
      </c>
      <c r="J393" s="44">
        <v>4.0</v>
      </c>
      <c r="K393" s="44">
        <v>3.0</v>
      </c>
      <c r="L393" s="44">
        <v>1.0</v>
      </c>
      <c r="M393" s="45">
        <v>26.39</v>
      </c>
      <c r="N393" s="46" t="s">
        <v>764</v>
      </c>
    </row>
    <row r="394" ht="15.75" customHeight="1">
      <c r="A394" s="43" t="s">
        <v>1615</v>
      </c>
      <c r="B394" s="43" t="s">
        <v>581</v>
      </c>
      <c r="C394" s="43" t="s">
        <v>378</v>
      </c>
      <c r="D394" s="43" t="s">
        <v>718</v>
      </c>
      <c r="E394" s="43" t="s">
        <v>784</v>
      </c>
      <c r="F394" s="43" t="s">
        <v>751</v>
      </c>
      <c r="G394" s="44">
        <v>2024.0</v>
      </c>
      <c r="H394" s="44">
        <v>1.3931</v>
      </c>
      <c r="I394" s="44">
        <v>1.6172</v>
      </c>
      <c r="J394" s="44">
        <v>14.0</v>
      </c>
      <c r="K394" s="44">
        <v>8.0</v>
      </c>
      <c r="L394" s="44">
        <v>2.0</v>
      </c>
      <c r="M394" s="45">
        <v>111.37</v>
      </c>
      <c r="N394" s="46" t="s">
        <v>764</v>
      </c>
    </row>
    <row r="395" ht="15.75" customHeight="1">
      <c r="A395" s="43" t="s">
        <v>1617</v>
      </c>
      <c r="B395" s="43" t="s">
        <v>581</v>
      </c>
      <c r="C395" s="43" t="s">
        <v>515</v>
      </c>
      <c r="D395" s="43" t="s">
        <v>709</v>
      </c>
      <c r="E395" s="43" t="s">
        <v>826</v>
      </c>
      <c r="F395" s="43" t="s">
        <v>751</v>
      </c>
      <c r="G395" s="44">
        <v>2024.0</v>
      </c>
      <c r="H395" s="44">
        <v>1.7593</v>
      </c>
      <c r="I395" s="44">
        <v>2.1611</v>
      </c>
      <c r="J395" s="44">
        <v>16.0</v>
      </c>
      <c r="K395" s="44">
        <v>12.0</v>
      </c>
      <c r="L395" s="44">
        <v>2.0</v>
      </c>
      <c r="M395" s="45">
        <v>180.07</v>
      </c>
      <c r="N395" s="46" t="s">
        <v>764</v>
      </c>
    </row>
    <row r="396" ht="15.75" customHeight="1">
      <c r="A396" s="43" t="s">
        <v>1618</v>
      </c>
      <c r="B396" s="43" t="s">
        <v>577</v>
      </c>
      <c r="C396" s="43" t="s">
        <v>169</v>
      </c>
      <c r="D396" s="43" t="s">
        <v>655</v>
      </c>
      <c r="E396" s="43" t="s">
        <v>784</v>
      </c>
      <c r="F396" s="43" t="s">
        <v>751</v>
      </c>
      <c r="G396" s="44">
        <v>2024.0</v>
      </c>
      <c r="H396" s="44">
        <v>0.5351</v>
      </c>
      <c r="I396" s="44">
        <v>0.6578</v>
      </c>
      <c r="J396" s="44">
        <v>2.0</v>
      </c>
      <c r="K396" s="44">
        <v>1.0</v>
      </c>
      <c r="L396" s="44">
        <v>1.0</v>
      </c>
      <c r="M396" s="45">
        <v>59.88</v>
      </c>
      <c r="N396" s="46" t="s">
        <v>764</v>
      </c>
    </row>
    <row r="397" ht="15.75" customHeight="1">
      <c r="A397" s="43" t="s">
        <v>1620</v>
      </c>
      <c r="B397" s="43" t="s">
        <v>581</v>
      </c>
      <c r="C397" s="43" t="s">
        <v>196</v>
      </c>
      <c r="D397" s="43" t="s">
        <v>750</v>
      </c>
      <c r="E397" s="43" t="s">
        <v>836</v>
      </c>
      <c r="F397" s="43" t="s">
        <v>798</v>
      </c>
      <c r="G397" s="44">
        <v>2023.0</v>
      </c>
      <c r="H397" s="44">
        <v>0.1917</v>
      </c>
      <c r="I397" s="44">
        <v>0.2147</v>
      </c>
      <c r="J397" s="44">
        <v>2.0</v>
      </c>
      <c r="K397" s="44">
        <v>1.0</v>
      </c>
      <c r="L397" s="44">
        <v>1.0</v>
      </c>
      <c r="M397" s="45">
        <v>1.8426</v>
      </c>
      <c r="N397" s="46" t="s">
        <v>764</v>
      </c>
    </row>
    <row r="398" ht="15.75" customHeight="1">
      <c r="A398" s="43" t="s">
        <v>1622</v>
      </c>
      <c r="B398" s="43" t="s">
        <v>603</v>
      </c>
      <c r="C398" s="43" t="s">
        <v>401</v>
      </c>
      <c r="D398" s="43" t="s">
        <v>895</v>
      </c>
      <c r="E398" s="43" t="s">
        <v>826</v>
      </c>
      <c r="F398" s="43" t="s">
        <v>751</v>
      </c>
      <c r="G398" s="44">
        <v>2024.0</v>
      </c>
      <c r="H398" s="44">
        <v>0.5148</v>
      </c>
      <c r="I398" s="44">
        <v>0.6156</v>
      </c>
      <c r="J398" s="44">
        <v>5.0</v>
      </c>
      <c r="K398" s="44">
        <v>3.0</v>
      </c>
      <c r="L398" s="44">
        <v>1.0</v>
      </c>
      <c r="M398" s="45">
        <v>41.13</v>
      </c>
      <c r="N398" s="46" t="s">
        <v>764</v>
      </c>
    </row>
    <row r="399" ht="15.75" customHeight="1">
      <c r="A399" s="43" t="s">
        <v>1624</v>
      </c>
      <c r="B399" s="43" t="s">
        <v>603</v>
      </c>
      <c r="C399" s="43" t="s">
        <v>509</v>
      </c>
      <c r="D399" s="43" t="s">
        <v>885</v>
      </c>
      <c r="E399" s="43" t="s">
        <v>826</v>
      </c>
      <c r="F399" s="43" t="s">
        <v>751</v>
      </c>
      <c r="G399" s="44">
        <v>2024.0</v>
      </c>
      <c r="H399" s="44">
        <v>0.3855</v>
      </c>
      <c r="I399" s="44">
        <v>0.4188</v>
      </c>
      <c r="J399" s="44">
        <v>2.0</v>
      </c>
      <c r="K399" s="44">
        <v>1.0</v>
      </c>
      <c r="L399" s="44">
        <v>1.0</v>
      </c>
      <c r="M399" s="45">
        <v>30.62</v>
      </c>
      <c r="N399" s="46" t="s">
        <v>764</v>
      </c>
    </row>
    <row r="400" ht="15.75" customHeight="1">
      <c r="A400" s="43" t="s">
        <v>1626</v>
      </c>
      <c r="B400" s="43" t="s">
        <v>603</v>
      </c>
      <c r="C400" s="43" t="s">
        <v>495</v>
      </c>
      <c r="D400" s="43" t="s">
        <v>900</v>
      </c>
      <c r="E400" s="43" t="s">
        <v>842</v>
      </c>
      <c r="F400" s="43" t="s">
        <v>751</v>
      </c>
      <c r="G400" s="44">
        <v>2024.0</v>
      </c>
      <c r="H400" s="44">
        <v>2.3616</v>
      </c>
      <c r="I400" s="44">
        <v>3.1386</v>
      </c>
      <c r="J400" s="44">
        <v>21.0</v>
      </c>
      <c r="K400" s="44">
        <v>17.0</v>
      </c>
      <c r="L400" s="44">
        <v>2.0</v>
      </c>
      <c r="M400" s="45">
        <v>174.98</v>
      </c>
      <c r="N400" s="46" t="s">
        <v>764</v>
      </c>
    </row>
    <row r="401" ht="15.75" customHeight="1">
      <c r="A401" s="43" t="s">
        <v>1628</v>
      </c>
      <c r="B401" s="43" t="s">
        <v>605</v>
      </c>
      <c r="C401" s="43" t="s">
        <v>221</v>
      </c>
      <c r="D401" s="43" t="s">
        <v>841</v>
      </c>
      <c r="E401" s="43" t="s">
        <v>784</v>
      </c>
      <c r="F401" s="43" t="s">
        <v>751</v>
      </c>
      <c r="G401" s="44">
        <v>2024.0</v>
      </c>
      <c r="H401" s="44">
        <v>2.0238</v>
      </c>
      <c r="I401" s="44">
        <v>2.294</v>
      </c>
      <c r="J401" s="44">
        <v>18.0</v>
      </c>
      <c r="K401" s="44">
        <v>14.0</v>
      </c>
      <c r="L401" s="44">
        <v>2.0</v>
      </c>
      <c r="M401" s="45">
        <v>167.8</v>
      </c>
      <c r="N401" s="46" t="s">
        <v>764</v>
      </c>
    </row>
    <row r="402" ht="15.75" customHeight="1">
      <c r="A402" s="43" t="s">
        <v>1630</v>
      </c>
      <c r="B402" s="43" t="s">
        <v>581</v>
      </c>
      <c r="C402" s="43" t="s">
        <v>252</v>
      </c>
      <c r="D402" s="43" t="s">
        <v>714</v>
      </c>
      <c r="E402" s="43" t="s">
        <v>817</v>
      </c>
      <c r="F402" s="43" t="s">
        <v>798</v>
      </c>
      <c r="G402" s="44">
        <v>2023.0</v>
      </c>
      <c r="H402" s="44">
        <v>0.0828</v>
      </c>
      <c r="I402" s="44">
        <v>0.0987</v>
      </c>
      <c r="J402" s="44">
        <v>2.0</v>
      </c>
      <c r="K402" s="44">
        <v>1.0</v>
      </c>
      <c r="L402" s="44">
        <v>1.0</v>
      </c>
      <c r="M402" s="45">
        <v>0.4228</v>
      </c>
      <c r="N402" s="46" t="s">
        <v>764</v>
      </c>
    </row>
    <row r="403" ht="15.75" customHeight="1">
      <c r="A403" s="43" t="s">
        <v>1632</v>
      </c>
      <c r="B403" s="43" t="s">
        <v>581</v>
      </c>
      <c r="C403" s="43" t="s">
        <v>252</v>
      </c>
      <c r="D403" s="43" t="s">
        <v>714</v>
      </c>
      <c r="E403" s="43" t="s">
        <v>836</v>
      </c>
      <c r="F403" s="43" t="s">
        <v>798</v>
      </c>
      <c r="G403" s="44">
        <v>2023.0</v>
      </c>
      <c r="H403" s="44">
        <v>0.129</v>
      </c>
      <c r="I403" s="44">
        <v>0.1407</v>
      </c>
      <c r="J403" s="44">
        <v>2.0</v>
      </c>
      <c r="K403" s="44">
        <v>2.0</v>
      </c>
      <c r="L403" s="44">
        <v>1.0</v>
      </c>
      <c r="M403" s="45">
        <v>1.7741</v>
      </c>
      <c r="N403" s="46" t="s">
        <v>764</v>
      </c>
    </row>
    <row r="404" ht="15.75" customHeight="1">
      <c r="A404" s="43" t="s">
        <v>1634</v>
      </c>
      <c r="B404" s="43" t="s">
        <v>577</v>
      </c>
      <c r="C404" s="43" t="s">
        <v>422</v>
      </c>
      <c r="D404" s="43" t="s">
        <v>688</v>
      </c>
      <c r="E404" s="43" t="s">
        <v>817</v>
      </c>
      <c r="F404" s="43" t="s">
        <v>798</v>
      </c>
      <c r="G404" s="44">
        <v>2023.0</v>
      </c>
      <c r="H404" s="44">
        <v>0.1083</v>
      </c>
      <c r="I404" s="44">
        <v>0.143</v>
      </c>
      <c r="J404" s="44">
        <v>2.0</v>
      </c>
      <c r="K404" s="44">
        <v>2.0</v>
      </c>
      <c r="L404" s="44">
        <v>1.0</v>
      </c>
      <c r="M404" s="45">
        <v>0.4867</v>
      </c>
      <c r="N404" s="46" t="s">
        <v>764</v>
      </c>
    </row>
    <row r="405" ht="15.75" customHeight="1">
      <c r="A405" s="43" t="s">
        <v>1637</v>
      </c>
      <c r="B405" s="43" t="s">
        <v>577</v>
      </c>
      <c r="C405" s="43" t="s">
        <v>169</v>
      </c>
      <c r="D405" s="43" t="s">
        <v>655</v>
      </c>
      <c r="E405" s="43" t="s">
        <v>797</v>
      </c>
      <c r="F405" s="43" t="s">
        <v>798</v>
      </c>
      <c r="G405" s="44">
        <v>2023.0</v>
      </c>
      <c r="H405" s="44">
        <v>0.0705</v>
      </c>
      <c r="I405" s="44">
        <v>0.0794</v>
      </c>
      <c r="J405" s="44">
        <v>2.0</v>
      </c>
      <c r="K405" s="44">
        <v>1.0</v>
      </c>
      <c r="L405" s="44">
        <v>1.0</v>
      </c>
      <c r="M405" s="45">
        <v>0.4004</v>
      </c>
      <c r="N405" s="46" t="s">
        <v>764</v>
      </c>
    </row>
    <row r="406" ht="15.75" customHeight="1">
      <c r="A406" s="43" t="s">
        <v>1639</v>
      </c>
      <c r="B406" s="43" t="s">
        <v>596</v>
      </c>
      <c r="C406" s="43" t="s">
        <v>312</v>
      </c>
      <c r="D406" s="43" t="s">
        <v>857</v>
      </c>
      <c r="E406" s="43" t="s">
        <v>842</v>
      </c>
      <c r="F406" s="43" t="s">
        <v>751</v>
      </c>
      <c r="G406" s="44">
        <v>2024.0</v>
      </c>
      <c r="H406" s="44">
        <v>0.7078</v>
      </c>
      <c r="I406" s="44">
        <v>0.8207</v>
      </c>
      <c r="J406" s="44">
        <v>6.0</v>
      </c>
      <c r="K406" s="44">
        <v>5.0</v>
      </c>
      <c r="L406" s="44">
        <v>1.0</v>
      </c>
      <c r="M406" s="45">
        <v>61.29</v>
      </c>
      <c r="N406" s="46" t="s">
        <v>764</v>
      </c>
    </row>
    <row r="407" ht="15.75" customHeight="1">
      <c r="A407" s="43" t="s">
        <v>1640</v>
      </c>
      <c r="B407" s="43" t="s">
        <v>581</v>
      </c>
      <c r="C407" s="43" t="s">
        <v>479</v>
      </c>
      <c r="D407" s="43" t="s">
        <v>811</v>
      </c>
      <c r="E407" s="43" t="s">
        <v>797</v>
      </c>
      <c r="F407" s="43" t="s">
        <v>798</v>
      </c>
      <c r="G407" s="44">
        <v>2023.0</v>
      </c>
      <c r="H407" s="44">
        <v>0.058</v>
      </c>
      <c r="I407" s="44">
        <v>0.0682</v>
      </c>
      <c r="J407" s="44">
        <v>3.0</v>
      </c>
      <c r="K407" s="44">
        <v>3.0</v>
      </c>
      <c r="L407" s="44">
        <v>1.0</v>
      </c>
      <c r="M407" s="45">
        <v>0.5027</v>
      </c>
      <c r="N407" s="46" t="s">
        <v>764</v>
      </c>
    </row>
    <row r="408" ht="15.75" customHeight="1">
      <c r="A408" s="43" t="s">
        <v>1641</v>
      </c>
      <c r="B408" s="43" t="s">
        <v>605</v>
      </c>
      <c r="C408" s="43" t="s">
        <v>497</v>
      </c>
      <c r="D408" s="43" t="s">
        <v>912</v>
      </c>
      <c r="E408" s="43" t="s">
        <v>749</v>
      </c>
      <c r="F408" s="43" t="s">
        <v>751</v>
      </c>
      <c r="G408" s="44">
        <v>2024.0</v>
      </c>
      <c r="H408" s="44">
        <v>0.0041</v>
      </c>
      <c r="I408" s="44">
        <v>0.0049</v>
      </c>
      <c r="J408" s="44">
        <v>2.0</v>
      </c>
      <c r="K408" s="44">
        <v>2.0</v>
      </c>
      <c r="L408" s="44">
        <v>1.0</v>
      </c>
      <c r="M408" s="45">
        <v>0.34</v>
      </c>
      <c r="N408" s="46" t="s">
        <v>764</v>
      </c>
    </row>
    <row r="409" ht="15.75" customHeight="1">
      <c r="A409" s="43" t="s">
        <v>1643</v>
      </c>
      <c r="B409" s="43" t="s">
        <v>577</v>
      </c>
      <c r="C409" s="43" t="s">
        <v>485</v>
      </c>
      <c r="D409" s="43" t="s">
        <v>637</v>
      </c>
      <c r="E409" s="43" t="s">
        <v>797</v>
      </c>
      <c r="F409" s="43" t="s">
        <v>798</v>
      </c>
      <c r="G409" s="44">
        <v>2023.0</v>
      </c>
      <c r="H409" s="44">
        <v>0.0728</v>
      </c>
      <c r="I409" s="44">
        <v>0.0819</v>
      </c>
      <c r="J409" s="44">
        <v>3.0</v>
      </c>
      <c r="K409" s="44">
        <v>3.0</v>
      </c>
      <c r="L409" s="44">
        <v>1.0</v>
      </c>
      <c r="M409" s="45">
        <v>0.2942</v>
      </c>
      <c r="N409" s="46" t="s">
        <v>764</v>
      </c>
    </row>
    <row r="410" ht="15.75" customHeight="1">
      <c r="A410" s="43" t="s">
        <v>1644</v>
      </c>
      <c r="B410" s="43" t="s">
        <v>581</v>
      </c>
      <c r="C410" s="43" t="s">
        <v>477</v>
      </c>
      <c r="D410" s="43" t="s">
        <v>759</v>
      </c>
      <c r="E410" s="43" t="s">
        <v>826</v>
      </c>
      <c r="F410" s="43" t="s">
        <v>751</v>
      </c>
      <c r="G410" s="44">
        <v>2024.0</v>
      </c>
      <c r="H410" s="44">
        <v>0.9712</v>
      </c>
      <c r="I410" s="44">
        <v>1.1022</v>
      </c>
      <c r="J410" s="44">
        <v>13.0</v>
      </c>
      <c r="K410" s="44">
        <v>8.0</v>
      </c>
      <c r="L410" s="44">
        <v>2.0</v>
      </c>
      <c r="M410" s="45">
        <v>106.15</v>
      </c>
      <c r="N410" s="46" t="s">
        <v>764</v>
      </c>
    </row>
    <row r="411" ht="15.75" customHeight="1">
      <c r="A411" s="43" t="s">
        <v>1646</v>
      </c>
      <c r="B411" s="43" t="s">
        <v>605</v>
      </c>
      <c r="C411" s="43" t="s">
        <v>279</v>
      </c>
      <c r="D411" s="43" t="s">
        <v>956</v>
      </c>
      <c r="E411" s="43" t="s">
        <v>836</v>
      </c>
      <c r="F411" s="43" t="s">
        <v>798</v>
      </c>
      <c r="G411" s="44">
        <v>2023.0</v>
      </c>
      <c r="H411" s="44">
        <v>0.4136</v>
      </c>
      <c r="I411" s="44">
        <v>0.4495</v>
      </c>
      <c r="J411" s="44">
        <v>4.0</v>
      </c>
      <c r="K411" s="44">
        <v>3.0</v>
      </c>
      <c r="L411" s="44">
        <v>1.0</v>
      </c>
      <c r="M411" s="45">
        <v>3.4637</v>
      </c>
      <c r="N411" s="46" t="s">
        <v>764</v>
      </c>
    </row>
    <row r="412" ht="15.75" customHeight="1">
      <c r="A412" s="43" t="s">
        <v>1648</v>
      </c>
      <c r="B412" s="43" t="s">
        <v>577</v>
      </c>
      <c r="C412" s="43" t="s">
        <v>363</v>
      </c>
      <c r="D412" s="43" t="s">
        <v>634</v>
      </c>
      <c r="E412" s="43" t="s">
        <v>836</v>
      </c>
      <c r="F412" s="43" t="s">
        <v>798</v>
      </c>
      <c r="G412" s="44">
        <v>2023.0</v>
      </c>
      <c r="H412" s="44">
        <v>0.2096</v>
      </c>
      <c r="I412" s="44">
        <v>0.2397</v>
      </c>
      <c r="J412" s="44">
        <v>4.0</v>
      </c>
      <c r="K412" s="44">
        <v>3.0</v>
      </c>
      <c r="L412" s="44">
        <v>1.0</v>
      </c>
      <c r="M412" s="45">
        <v>1.976</v>
      </c>
      <c r="N412" s="46" t="s">
        <v>764</v>
      </c>
    </row>
    <row r="413" ht="15.75" customHeight="1">
      <c r="A413" s="43" t="s">
        <v>1650</v>
      </c>
      <c r="B413" s="43" t="s">
        <v>596</v>
      </c>
      <c r="C413" s="43" t="s">
        <v>312</v>
      </c>
      <c r="D413" s="43" t="s">
        <v>857</v>
      </c>
      <c r="E413" s="43" t="s">
        <v>836</v>
      </c>
      <c r="F413" s="43" t="s">
        <v>798</v>
      </c>
      <c r="G413" s="44">
        <v>2023.0</v>
      </c>
      <c r="H413" s="44">
        <v>0.4364</v>
      </c>
      <c r="I413" s="44">
        <v>0.5529</v>
      </c>
      <c r="J413" s="44">
        <v>2.0</v>
      </c>
      <c r="K413" s="44">
        <v>1.0</v>
      </c>
      <c r="L413" s="44">
        <v>1.0</v>
      </c>
      <c r="M413" s="45">
        <v>4.5852</v>
      </c>
      <c r="N413" s="46" t="s">
        <v>764</v>
      </c>
    </row>
    <row r="414" ht="15.75" customHeight="1">
      <c r="A414" s="43" t="s">
        <v>1651</v>
      </c>
      <c r="B414" s="43" t="s">
        <v>603</v>
      </c>
      <c r="C414" s="43" t="s">
        <v>449</v>
      </c>
      <c r="D414" s="43" t="s">
        <v>830</v>
      </c>
      <c r="E414" s="43" t="s">
        <v>836</v>
      </c>
      <c r="F414" s="43" t="s">
        <v>798</v>
      </c>
      <c r="G414" s="44">
        <v>2023.0</v>
      </c>
      <c r="H414" s="44">
        <v>0.1382</v>
      </c>
      <c r="I414" s="44">
        <v>0.1706</v>
      </c>
      <c r="J414" s="44">
        <v>5.0</v>
      </c>
      <c r="K414" s="44">
        <v>4.0</v>
      </c>
      <c r="L414" s="44">
        <v>1.0</v>
      </c>
      <c r="M414" s="45">
        <v>1.8672</v>
      </c>
      <c r="N414" s="46" t="s">
        <v>764</v>
      </c>
    </row>
    <row r="415" ht="15.75" customHeight="1">
      <c r="A415" s="43" t="s">
        <v>1652</v>
      </c>
      <c r="B415" s="43" t="s">
        <v>605</v>
      </c>
      <c r="C415" s="43" t="s">
        <v>354</v>
      </c>
      <c r="D415" s="43" t="s">
        <v>905</v>
      </c>
      <c r="E415" s="43" t="s">
        <v>797</v>
      </c>
      <c r="F415" s="43" t="s">
        <v>798</v>
      </c>
      <c r="G415" s="44">
        <v>2023.0</v>
      </c>
      <c r="H415" s="44">
        <v>0.0247</v>
      </c>
      <c r="I415" s="44">
        <v>0.0271</v>
      </c>
      <c r="J415" s="44">
        <v>2.0</v>
      </c>
      <c r="K415" s="44">
        <v>1.0</v>
      </c>
      <c r="L415" s="44">
        <v>1.0</v>
      </c>
      <c r="M415" s="45">
        <v>0.1285</v>
      </c>
      <c r="N415" s="46" t="s">
        <v>764</v>
      </c>
    </row>
    <row r="416" ht="15.75" customHeight="1">
      <c r="A416" s="43" t="s">
        <v>1654</v>
      </c>
      <c r="B416" s="43" t="s">
        <v>603</v>
      </c>
      <c r="C416" s="43" t="s">
        <v>272</v>
      </c>
      <c r="D416" s="43" t="s">
        <v>891</v>
      </c>
      <c r="E416" s="43" t="s">
        <v>817</v>
      </c>
      <c r="F416" s="43" t="s">
        <v>798</v>
      </c>
      <c r="G416" s="44">
        <v>2023.0</v>
      </c>
      <c r="H416" s="44">
        <v>0.0981</v>
      </c>
      <c r="I416" s="44">
        <v>0.1143</v>
      </c>
      <c r="J416" s="44">
        <v>3.0</v>
      </c>
      <c r="K416" s="44">
        <v>2.0</v>
      </c>
      <c r="L416" s="44">
        <v>1.0</v>
      </c>
      <c r="M416" s="45">
        <v>0.4472</v>
      </c>
      <c r="N416" s="46" t="s">
        <v>764</v>
      </c>
    </row>
    <row r="417" ht="15.75" customHeight="1">
      <c r="A417" s="43" t="s">
        <v>1656</v>
      </c>
      <c r="B417" s="43" t="s">
        <v>577</v>
      </c>
      <c r="C417" s="43" t="s">
        <v>463</v>
      </c>
      <c r="D417" s="43" t="s">
        <v>662</v>
      </c>
      <c r="E417" s="43" t="s">
        <v>749</v>
      </c>
      <c r="F417" s="43" t="s">
        <v>751</v>
      </c>
      <c r="G417" s="44">
        <v>2024.0</v>
      </c>
      <c r="H417" s="44">
        <v>0.0071</v>
      </c>
      <c r="I417" s="44">
        <v>0.0079</v>
      </c>
      <c r="J417" s="44">
        <v>2.0</v>
      </c>
      <c r="K417" s="44">
        <v>1.0</v>
      </c>
      <c r="L417" s="44">
        <v>1.0</v>
      </c>
      <c r="M417" s="45">
        <v>0.5</v>
      </c>
      <c r="N417" s="46" t="s">
        <v>764</v>
      </c>
    </row>
    <row r="418" ht="15.75" customHeight="1">
      <c r="A418" s="43" t="s">
        <v>1658</v>
      </c>
      <c r="B418" s="43" t="s">
        <v>596</v>
      </c>
      <c r="C418" s="43" t="s">
        <v>312</v>
      </c>
      <c r="D418" s="43" t="s">
        <v>857</v>
      </c>
      <c r="E418" s="43" t="s">
        <v>817</v>
      </c>
      <c r="F418" s="43" t="s">
        <v>798</v>
      </c>
      <c r="G418" s="44">
        <v>2023.0</v>
      </c>
      <c r="H418" s="44">
        <v>0.1191</v>
      </c>
      <c r="I418" s="44">
        <v>0.1382</v>
      </c>
      <c r="J418" s="44">
        <v>2.0</v>
      </c>
      <c r="K418" s="44">
        <v>1.0</v>
      </c>
      <c r="L418" s="44">
        <v>1.0</v>
      </c>
      <c r="M418" s="45">
        <v>0.5506</v>
      </c>
      <c r="N418" s="46" t="s">
        <v>764</v>
      </c>
    </row>
    <row r="419" ht="15.75" customHeight="1">
      <c r="A419" s="43" t="s">
        <v>1661</v>
      </c>
      <c r="B419" s="43" t="s">
        <v>581</v>
      </c>
      <c r="C419" s="43" t="s">
        <v>515</v>
      </c>
      <c r="D419" s="43" t="s">
        <v>709</v>
      </c>
      <c r="E419" s="43" t="s">
        <v>784</v>
      </c>
      <c r="F419" s="43" t="s">
        <v>751</v>
      </c>
      <c r="G419" s="44">
        <v>2024.0</v>
      </c>
      <c r="H419" s="44">
        <v>2.1683</v>
      </c>
      <c r="I419" s="44">
        <v>2.5653</v>
      </c>
      <c r="J419" s="44">
        <v>18.0</v>
      </c>
      <c r="K419" s="44">
        <v>11.0</v>
      </c>
      <c r="L419" s="44">
        <v>2.0</v>
      </c>
      <c r="M419" s="45">
        <v>161.87</v>
      </c>
      <c r="N419" s="46" t="s">
        <v>764</v>
      </c>
    </row>
    <row r="420" ht="15.75" customHeight="1">
      <c r="A420" s="43" t="s">
        <v>1663</v>
      </c>
      <c r="B420" s="43" t="s">
        <v>596</v>
      </c>
      <c r="C420" s="43" t="s">
        <v>265</v>
      </c>
      <c r="D420" s="43" t="s">
        <v>829</v>
      </c>
      <c r="E420" s="43" t="s">
        <v>749</v>
      </c>
      <c r="F420" s="43" t="s">
        <v>751</v>
      </c>
      <c r="G420" s="44">
        <v>2024.0</v>
      </c>
      <c r="H420" s="44">
        <v>0.0074</v>
      </c>
      <c r="I420" s="44">
        <v>0.0088</v>
      </c>
      <c r="J420" s="44">
        <v>2.0</v>
      </c>
      <c r="K420" s="44">
        <v>1.0</v>
      </c>
      <c r="L420" s="44">
        <v>1.0</v>
      </c>
      <c r="M420" s="45">
        <v>0.63</v>
      </c>
      <c r="N420" s="46" t="s">
        <v>764</v>
      </c>
    </row>
    <row r="421" ht="15.75" customHeight="1">
      <c r="A421" s="43" t="s">
        <v>1665</v>
      </c>
      <c r="B421" s="43" t="s">
        <v>581</v>
      </c>
      <c r="C421" s="43" t="s">
        <v>123</v>
      </c>
      <c r="D421" s="43" t="s">
        <v>782</v>
      </c>
      <c r="E421" s="43" t="s">
        <v>836</v>
      </c>
      <c r="F421" s="43" t="s">
        <v>798</v>
      </c>
      <c r="G421" s="44">
        <v>2023.0</v>
      </c>
      <c r="H421" s="44">
        <v>0.1633</v>
      </c>
      <c r="I421" s="44">
        <v>0.1812</v>
      </c>
      <c r="J421" s="44">
        <v>4.0</v>
      </c>
      <c r="K421" s="44">
        <v>4.0</v>
      </c>
      <c r="L421" s="44">
        <v>1.0</v>
      </c>
      <c r="M421" s="45">
        <v>2.0315</v>
      </c>
      <c r="N421" s="46" t="s">
        <v>764</v>
      </c>
    </row>
    <row r="422" ht="15.75" customHeight="1">
      <c r="A422" s="43" t="s">
        <v>1667</v>
      </c>
      <c r="B422" s="43" t="s">
        <v>605</v>
      </c>
      <c r="C422" s="43" t="s">
        <v>354</v>
      </c>
      <c r="D422" s="43" t="s">
        <v>905</v>
      </c>
      <c r="E422" s="43" t="s">
        <v>842</v>
      </c>
      <c r="F422" s="43" t="s">
        <v>751</v>
      </c>
      <c r="G422" s="44">
        <v>2024.0</v>
      </c>
      <c r="H422" s="44">
        <v>0.5628</v>
      </c>
      <c r="I422" s="44">
        <v>0.6253</v>
      </c>
      <c r="J422" s="44">
        <v>6.0</v>
      </c>
      <c r="K422" s="44">
        <v>3.0</v>
      </c>
      <c r="L422" s="44">
        <v>1.0</v>
      </c>
      <c r="M422" s="45">
        <v>34.75</v>
      </c>
      <c r="N422" s="46" t="s">
        <v>764</v>
      </c>
    </row>
    <row r="423" ht="15.75" customHeight="1">
      <c r="A423" s="43" t="s">
        <v>1669</v>
      </c>
      <c r="B423" s="43" t="s">
        <v>581</v>
      </c>
      <c r="C423" s="43" t="s">
        <v>517</v>
      </c>
      <c r="D423" s="43" t="s">
        <v>763</v>
      </c>
      <c r="E423" s="43" t="s">
        <v>842</v>
      </c>
      <c r="F423" s="43" t="s">
        <v>751</v>
      </c>
      <c r="G423" s="44">
        <v>2024.0</v>
      </c>
      <c r="H423" s="44">
        <v>1.2799</v>
      </c>
      <c r="I423" s="44">
        <v>1.6783</v>
      </c>
      <c r="J423" s="44">
        <v>7.0</v>
      </c>
      <c r="K423" s="44">
        <v>4.0</v>
      </c>
      <c r="L423" s="44">
        <v>1.0</v>
      </c>
      <c r="M423" s="45">
        <v>82.15</v>
      </c>
      <c r="N423" s="46" t="s">
        <v>764</v>
      </c>
    </row>
    <row r="424" ht="15.75" customHeight="1">
      <c r="A424" s="43" t="s">
        <v>1672</v>
      </c>
      <c r="B424" s="43" t="s">
        <v>596</v>
      </c>
      <c r="C424" s="43" t="s">
        <v>265</v>
      </c>
      <c r="D424" s="43" t="s">
        <v>829</v>
      </c>
      <c r="E424" s="43" t="s">
        <v>836</v>
      </c>
      <c r="F424" s="43" t="s">
        <v>798</v>
      </c>
      <c r="G424" s="44">
        <v>2023.0</v>
      </c>
      <c r="H424" s="44">
        <v>0.1712</v>
      </c>
      <c r="I424" s="44">
        <v>0.2252</v>
      </c>
      <c r="J424" s="44">
        <v>2.0</v>
      </c>
      <c r="K424" s="44">
        <v>2.0</v>
      </c>
      <c r="L424" s="44">
        <v>1.0</v>
      </c>
      <c r="M424" s="45">
        <v>1.7868</v>
      </c>
      <c r="N424" s="46" t="s">
        <v>764</v>
      </c>
    </row>
    <row r="425" ht="15.75" customHeight="1">
      <c r="A425" s="43" t="s">
        <v>1674</v>
      </c>
      <c r="B425" s="43" t="s">
        <v>596</v>
      </c>
      <c r="C425" s="43" t="s">
        <v>507</v>
      </c>
      <c r="D425" s="43" t="s">
        <v>864</v>
      </c>
      <c r="E425" s="43" t="s">
        <v>842</v>
      </c>
      <c r="F425" s="43" t="s">
        <v>751</v>
      </c>
      <c r="G425" s="44">
        <v>2024.0</v>
      </c>
      <c r="H425" s="44">
        <v>0.6243</v>
      </c>
      <c r="I425" s="44">
        <v>0.6833</v>
      </c>
      <c r="J425" s="44">
        <v>7.0</v>
      </c>
      <c r="K425" s="44">
        <v>4.0</v>
      </c>
      <c r="L425" s="44">
        <v>1.0</v>
      </c>
      <c r="M425" s="45">
        <v>44.33</v>
      </c>
      <c r="N425" s="46" t="s">
        <v>764</v>
      </c>
    </row>
    <row r="426" ht="15.75" customHeight="1">
      <c r="A426" s="43" t="s">
        <v>1676</v>
      </c>
      <c r="B426" s="43" t="s">
        <v>577</v>
      </c>
      <c r="C426" s="43" t="s">
        <v>499</v>
      </c>
      <c r="D426" s="43" t="s">
        <v>651</v>
      </c>
      <c r="E426" s="43" t="s">
        <v>826</v>
      </c>
      <c r="F426" s="43" t="s">
        <v>751</v>
      </c>
      <c r="G426" s="44">
        <v>2024.0</v>
      </c>
      <c r="H426" s="44">
        <v>0.4103</v>
      </c>
      <c r="I426" s="44">
        <v>0.4852</v>
      </c>
      <c r="J426" s="44">
        <v>2.0</v>
      </c>
      <c r="K426" s="44">
        <v>1.0</v>
      </c>
      <c r="L426" s="44">
        <v>1.0</v>
      </c>
      <c r="M426" s="45">
        <v>36.55</v>
      </c>
      <c r="N426" s="46" t="s">
        <v>764</v>
      </c>
    </row>
    <row r="427" ht="15.75" customHeight="1">
      <c r="A427" s="43" t="s">
        <v>1678</v>
      </c>
      <c r="B427" s="43" t="s">
        <v>603</v>
      </c>
      <c r="C427" s="43" t="s">
        <v>146</v>
      </c>
      <c r="D427" s="43" t="s">
        <v>906</v>
      </c>
      <c r="E427" s="43" t="s">
        <v>826</v>
      </c>
      <c r="F427" s="43" t="s">
        <v>751</v>
      </c>
      <c r="G427" s="44">
        <v>2024.0</v>
      </c>
      <c r="H427" s="44">
        <v>0.8898</v>
      </c>
      <c r="I427" s="44">
        <v>1.0542</v>
      </c>
      <c r="J427" s="44">
        <v>8.0</v>
      </c>
      <c r="K427" s="44">
        <v>7.0</v>
      </c>
      <c r="L427" s="44">
        <v>1.0</v>
      </c>
      <c r="M427" s="45">
        <v>102.51</v>
      </c>
      <c r="N427" s="46" t="s">
        <v>764</v>
      </c>
    </row>
    <row r="428" ht="15.75" customHeight="1">
      <c r="A428" s="43" t="s">
        <v>1680</v>
      </c>
      <c r="B428" s="43" t="s">
        <v>577</v>
      </c>
      <c r="C428" s="43" t="s">
        <v>294</v>
      </c>
      <c r="D428" s="43" t="s">
        <v>684</v>
      </c>
      <c r="E428" s="43" t="s">
        <v>784</v>
      </c>
      <c r="F428" s="43" t="s">
        <v>751</v>
      </c>
      <c r="G428" s="44">
        <v>2024.0</v>
      </c>
      <c r="H428" s="44">
        <v>1.516</v>
      </c>
      <c r="I428" s="44">
        <v>1.8044</v>
      </c>
      <c r="J428" s="44">
        <v>16.0</v>
      </c>
      <c r="K428" s="44">
        <v>8.0</v>
      </c>
      <c r="L428" s="44">
        <v>1.0</v>
      </c>
      <c r="M428" s="45">
        <v>129.93</v>
      </c>
      <c r="N428" s="46" t="s">
        <v>764</v>
      </c>
    </row>
    <row r="429" ht="15.75" customHeight="1">
      <c r="A429" s="43" t="s">
        <v>1682</v>
      </c>
      <c r="B429" s="43" t="s">
        <v>605</v>
      </c>
      <c r="C429" s="43" t="s">
        <v>497</v>
      </c>
      <c r="D429" s="43" t="s">
        <v>912</v>
      </c>
      <c r="E429" s="43" t="s">
        <v>836</v>
      </c>
      <c r="F429" s="43" t="s">
        <v>798</v>
      </c>
      <c r="G429" s="44">
        <v>2023.0</v>
      </c>
      <c r="H429" s="44">
        <v>0.1134</v>
      </c>
      <c r="I429" s="44">
        <v>0.1327</v>
      </c>
      <c r="J429" s="44">
        <v>2.0</v>
      </c>
      <c r="K429" s="44">
        <v>1.0</v>
      </c>
      <c r="L429" s="44">
        <v>1.0</v>
      </c>
      <c r="M429" s="45">
        <v>1.2704</v>
      </c>
      <c r="N429" s="46" t="s">
        <v>764</v>
      </c>
    </row>
    <row r="430" ht="15.75" customHeight="1">
      <c r="A430" s="43" t="s">
        <v>1684</v>
      </c>
      <c r="B430" s="43" t="s">
        <v>605</v>
      </c>
      <c r="C430" s="43" t="s">
        <v>279</v>
      </c>
      <c r="D430" s="43" t="s">
        <v>956</v>
      </c>
      <c r="E430" s="43" t="s">
        <v>817</v>
      </c>
      <c r="F430" s="43" t="s">
        <v>798</v>
      </c>
      <c r="G430" s="44">
        <v>2023.0</v>
      </c>
      <c r="H430" s="44">
        <v>0.2105</v>
      </c>
      <c r="I430" s="44">
        <v>0.2688</v>
      </c>
      <c r="J430" s="44">
        <v>3.0</v>
      </c>
      <c r="K430" s="44">
        <v>3.0</v>
      </c>
      <c r="L430" s="44">
        <v>1.0</v>
      </c>
      <c r="M430" s="45">
        <v>1.0109</v>
      </c>
      <c r="N430" s="46" t="s">
        <v>764</v>
      </c>
    </row>
    <row r="431" ht="15.75" customHeight="1">
      <c r="A431" s="43" t="s">
        <v>1686</v>
      </c>
      <c r="B431" s="43" t="s">
        <v>581</v>
      </c>
      <c r="C431" s="43" t="s">
        <v>489</v>
      </c>
      <c r="D431" s="43" t="s">
        <v>721</v>
      </c>
      <c r="E431" s="43" t="s">
        <v>842</v>
      </c>
      <c r="F431" s="43" t="s">
        <v>751</v>
      </c>
      <c r="G431" s="44">
        <v>2024.0</v>
      </c>
      <c r="H431" s="44">
        <v>0.6719</v>
      </c>
      <c r="I431" s="44">
        <v>0.7948</v>
      </c>
      <c r="J431" s="44">
        <v>8.0</v>
      </c>
      <c r="K431" s="44">
        <v>5.0</v>
      </c>
      <c r="L431" s="44">
        <v>1.0</v>
      </c>
      <c r="M431" s="45">
        <v>55.49</v>
      </c>
      <c r="N431" s="46" t="s">
        <v>764</v>
      </c>
    </row>
    <row r="432" ht="15.75" customHeight="1">
      <c r="A432" s="43" t="s">
        <v>1688</v>
      </c>
      <c r="B432" s="43" t="s">
        <v>577</v>
      </c>
      <c r="C432" s="43" t="s">
        <v>326</v>
      </c>
      <c r="D432" s="43" t="s">
        <v>658</v>
      </c>
      <c r="E432" s="43" t="s">
        <v>836</v>
      </c>
      <c r="F432" s="43" t="s">
        <v>798</v>
      </c>
      <c r="G432" s="44">
        <v>2023.0</v>
      </c>
      <c r="H432" s="44">
        <v>0.4049</v>
      </c>
      <c r="I432" s="44">
        <v>0.4499</v>
      </c>
      <c r="J432" s="44">
        <v>2.0</v>
      </c>
      <c r="K432" s="44">
        <v>1.0</v>
      </c>
      <c r="L432" s="44">
        <v>1.0</v>
      </c>
      <c r="M432" s="45">
        <v>3.7853</v>
      </c>
      <c r="N432" s="46" t="s">
        <v>764</v>
      </c>
    </row>
    <row r="433" ht="15.75" customHeight="1">
      <c r="A433" s="43" t="s">
        <v>1690</v>
      </c>
      <c r="B433" s="43" t="s">
        <v>581</v>
      </c>
      <c r="C433" s="43" t="s">
        <v>491</v>
      </c>
      <c r="D433" s="43" t="s">
        <v>777</v>
      </c>
      <c r="E433" s="43" t="s">
        <v>817</v>
      </c>
      <c r="F433" s="43" t="s">
        <v>798</v>
      </c>
      <c r="G433" s="44">
        <v>2023.0</v>
      </c>
      <c r="H433" s="44">
        <v>0.0875</v>
      </c>
      <c r="I433" s="44">
        <v>0.0974</v>
      </c>
      <c r="J433" s="44">
        <v>2.0</v>
      </c>
      <c r="K433" s="44">
        <v>2.0</v>
      </c>
      <c r="L433" s="44">
        <v>1.0</v>
      </c>
      <c r="M433" s="45">
        <v>0.6814</v>
      </c>
      <c r="N433" s="46" t="s">
        <v>764</v>
      </c>
    </row>
    <row r="434" ht="15.75" customHeight="1">
      <c r="A434" s="43" t="s">
        <v>1692</v>
      </c>
      <c r="B434" s="43" t="s">
        <v>605</v>
      </c>
      <c r="C434" s="43" t="s">
        <v>408</v>
      </c>
      <c r="D434" s="43" t="s">
        <v>847</v>
      </c>
      <c r="E434" s="43" t="s">
        <v>797</v>
      </c>
      <c r="F434" s="43" t="s">
        <v>798</v>
      </c>
      <c r="G434" s="44">
        <v>2023.0</v>
      </c>
      <c r="H434" s="44">
        <v>0.0743</v>
      </c>
      <c r="I434" s="44">
        <v>0.0891</v>
      </c>
      <c r="J434" s="44">
        <v>3.0</v>
      </c>
      <c r="K434" s="44">
        <v>2.0</v>
      </c>
      <c r="L434" s="44">
        <v>1.0</v>
      </c>
      <c r="M434" s="45">
        <v>0.2632</v>
      </c>
      <c r="N434" s="46" t="s">
        <v>764</v>
      </c>
    </row>
    <row r="435" ht="15.75" customHeight="1">
      <c r="A435" s="43" t="s">
        <v>1694</v>
      </c>
      <c r="B435" s="43" t="s">
        <v>577</v>
      </c>
      <c r="C435" s="43" t="s">
        <v>487</v>
      </c>
      <c r="D435" s="43" t="s">
        <v>677</v>
      </c>
      <c r="E435" s="43" t="s">
        <v>842</v>
      </c>
      <c r="F435" s="43" t="s">
        <v>751</v>
      </c>
      <c r="G435" s="44">
        <v>2024.0</v>
      </c>
      <c r="H435" s="44">
        <v>1.3245</v>
      </c>
      <c r="I435" s="44">
        <v>1.6937</v>
      </c>
      <c r="J435" s="44">
        <v>10.0</v>
      </c>
      <c r="K435" s="44">
        <v>6.0</v>
      </c>
      <c r="L435" s="44">
        <v>1.0</v>
      </c>
      <c r="M435" s="45">
        <v>101.3</v>
      </c>
      <c r="N435" s="46" t="s">
        <v>764</v>
      </c>
    </row>
    <row r="436" ht="15.75" customHeight="1">
      <c r="A436" s="43" t="s">
        <v>1695</v>
      </c>
      <c r="B436" s="43" t="s">
        <v>603</v>
      </c>
      <c r="C436" s="43" t="s">
        <v>317</v>
      </c>
      <c r="D436" s="43" t="s">
        <v>917</v>
      </c>
      <c r="E436" s="43" t="s">
        <v>749</v>
      </c>
      <c r="F436" s="43" t="s">
        <v>751</v>
      </c>
      <c r="G436" s="44">
        <v>2024.0</v>
      </c>
      <c r="H436" s="44">
        <v>0.0101</v>
      </c>
      <c r="I436" s="44">
        <v>0.0116</v>
      </c>
      <c r="J436" s="44">
        <v>2.0</v>
      </c>
      <c r="K436" s="44">
        <v>1.0</v>
      </c>
      <c r="L436" s="44">
        <v>1.0</v>
      </c>
      <c r="M436" s="45">
        <v>0.81</v>
      </c>
      <c r="N436" s="46" t="s">
        <v>764</v>
      </c>
    </row>
    <row r="437" ht="15.75" customHeight="1">
      <c r="A437" s="43" t="s">
        <v>1697</v>
      </c>
      <c r="B437" s="43" t="s">
        <v>581</v>
      </c>
      <c r="C437" s="43" t="s">
        <v>202</v>
      </c>
      <c r="D437" s="43" t="s">
        <v>803</v>
      </c>
      <c r="E437" s="43" t="s">
        <v>784</v>
      </c>
      <c r="F437" s="43" t="s">
        <v>751</v>
      </c>
      <c r="G437" s="44">
        <v>2024.0</v>
      </c>
      <c r="H437" s="44">
        <v>1.0659</v>
      </c>
      <c r="I437" s="44">
        <v>1.1987</v>
      </c>
      <c r="J437" s="44">
        <v>11.0</v>
      </c>
      <c r="K437" s="44">
        <v>6.0</v>
      </c>
      <c r="L437" s="44">
        <v>1.0</v>
      </c>
      <c r="M437" s="45">
        <v>112.22</v>
      </c>
      <c r="N437" s="46" t="s">
        <v>764</v>
      </c>
    </row>
    <row r="438" ht="15.75" customHeight="1">
      <c r="A438" s="43" t="s">
        <v>1699</v>
      </c>
      <c r="B438" s="43" t="s">
        <v>581</v>
      </c>
      <c r="C438" s="43" t="s">
        <v>341</v>
      </c>
      <c r="D438" s="43" t="s">
        <v>783</v>
      </c>
      <c r="E438" s="43" t="s">
        <v>797</v>
      </c>
      <c r="F438" s="43" t="s">
        <v>798</v>
      </c>
      <c r="G438" s="44">
        <v>2023.0</v>
      </c>
      <c r="H438" s="44">
        <v>0.0567</v>
      </c>
      <c r="I438" s="44">
        <v>0.0658</v>
      </c>
      <c r="J438" s="44">
        <v>2.0</v>
      </c>
      <c r="K438" s="44">
        <v>2.0</v>
      </c>
      <c r="L438" s="44">
        <v>1.0</v>
      </c>
      <c r="M438" s="45">
        <v>0.2833</v>
      </c>
      <c r="N438" s="46" t="s">
        <v>764</v>
      </c>
    </row>
    <row r="439" ht="15.75" customHeight="1">
      <c r="A439" s="43" t="s">
        <v>1701</v>
      </c>
      <c r="B439" s="43" t="s">
        <v>581</v>
      </c>
      <c r="C439" s="43" t="s">
        <v>341</v>
      </c>
      <c r="D439" s="43" t="s">
        <v>783</v>
      </c>
      <c r="E439" s="43" t="s">
        <v>749</v>
      </c>
      <c r="F439" s="43" t="s">
        <v>751</v>
      </c>
      <c r="G439" s="44">
        <v>2024.0</v>
      </c>
      <c r="H439" s="44">
        <v>0.0017</v>
      </c>
      <c r="I439" s="44">
        <v>0.002</v>
      </c>
      <c r="J439" s="44">
        <v>2.0</v>
      </c>
      <c r="K439" s="44">
        <v>1.0</v>
      </c>
      <c r="L439" s="44">
        <v>1.0</v>
      </c>
      <c r="M439" s="45">
        <v>0.11</v>
      </c>
      <c r="N439" s="46" t="s">
        <v>764</v>
      </c>
    </row>
    <row r="440" ht="15.75" customHeight="1">
      <c r="A440" s="43" t="s">
        <v>1702</v>
      </c>
      <c r="B440" s="43" t="s">
        <v>577</v>
      </c>
      <c r="C440" s="43" t="s">
        <v>487</v>
      </c>
      <c r="D440" s="43" t="s">
        <v>677</v>
      </c>
      <c r="E440" s="43" t="s">
        <v>797</v>
      </c>
      <c r="F440" s="43" t="s">
        <v>798</v>
      </c>
      <c r="G440" s="44">
        <v>2023.0</v>
      </c>
      <c r="H440" s="44">
        <v>0.0306</v>
      </c>
      <c r="I440" s="44">
        <v>0.035</v>
      </c>
      <c r="J440" s="44">
        <v>2.0</v>
      </c>
      <c r="K440" s="44">
        <v>1.0</v>
      </c>
      <c r="L440" s="44">
        <v>1.0</v>
      </c>
      <c r="M440" s="45">
        <v>0.1176</v>
      </c>
      <c r="N440" s="46" t="s">
        <v>764</v>
      </c>
    </row>
    <row r="441" ht="15.75" customHeight="1">
      <c r="A441" s="43" t="s">
        <v>1704</v>
      </c>
      <c r="B441" s="43" t="s">
        <v>577</v>
      </c>
      <c r="C441" s="43" t="s">
        <v>501</v>
      </c>
      <c r="D441" s="43" t="s">
        <v>691</v>
      </c>
      <c r="E441" s="43" t="s">
        <v>749</v>
      </c>
      <c r="F441" s="43" t="s">
        <v>751</v>
      </c>
      <c r="G441" s="44">
        <v>2024.0</v>
      </c>
      <c r="H441" s="44">
        <v>0.0026</v>
      </c>
      <c r="I441" s="44">
        <v>0.0031</v>
      </c>
      <c r="J441" s="44">
        <v>2.0</v>
      </c>
      <c r="K441" s="44">
        <v>1.0</v>
      </c>
      <c r="L441" s="44">
        <v>1.0</v>
      </c>
      <c r="M441" s="45">
        <v>0.19</v>
      </c>
      <c r="N441" s="46" t="s">
        <v>764</v>
      </c>
    </row>
    <row r="442" ht="15.75" customHeight="1">
      <c r="A442" s="43" t="s">
        <v>1706</v>
      </c>
      <c r="B442" s="43" t="s">
        <v>581</v>
      </c>
      <c r="C442" s="43" t="s">
        <v>517</v>
      </c>
      <c r="D442" s="43" t="s">
        <v>763</v>
      </c>
      <c r="E442" s="43" t="s">
        <v>797</v>
      </c>
      <c r="F442" s="43" t="s">
        <v>798</v>
      </c>
      <c r="G442" s="44">
        <v>2023.0</v>
      </c>
      <c r="H442" s="44">
        <v>0.0681</v>
      </c>
      <c r="I442" s="44">
        <v>0.0798</v>
      </c>
      <c r="J442" s="44">
        <v>2.0</v>
      </c>
      <c r="K442" s="44">
        <v>2.0</v>
      </c>
      <c r="L442" s="44">
        <v>1.0</v>
      </c>
      <c r="M442" s="45">
        <v>0.3875</v>
      </c>
      <c r="N442" s="46" t="s">
        <v>764</v>
      </c>
    </row>
    <row r="443" ht="15.75" customHeight="1">
      <c r="A443" s="43" t="s">
        <v>1707</v>
      </c>
      <c r="B443" s="43" t="s">
        <v>596</v>
      </c>
      <c r="C443" s="43" t="s">
        <v>312</v>
      </c>
      <c r="D443" s="43" t="s">
        <v>857</v>
      </c>
      <c r="E443" s="43" t="s">
        <v>797</v>
      </c>
      <c r="F443" s="43" t="s">
        <v>798</v>
      </c>
      <c r="G443" s="44">
        <v>2023.0</v>
      </c>
      <c r="H443" s="44">
        <v>0.0457</v>
      </c>
      <c r="I443" s="44">
        <v>0.0544</v>
      </c>
      <c r="J443" s="44">
        <v>2.0</v>
      </c>
      <c r="K443" s="44">
        <v>1.0</v>
      </c>
      <c r="L443" s="44">
        <v>1.0</v>
      </c>
      <c r="M443" s="45">
        <v>0.2253</v>
      </c>
      <c r="N443" s="46" t="s">
        <v>764</v>
      </c>
    </row>
    <row r="444" ht="15.75" customHeight="1">
      <c r="A444" s="43" t="s">
        <v>1709</v>
      </c>
      <c r="B444" s="43" t="s">
        <v>581</v>
      </c>
      <c r="C444" s="43" t="s">
        <v>378</v>
      </c>
      <c r="D444" s="43" t="s">
        <v>718</v>
      </c>
      <c r="E444" s="43" t="s">
        <v>797</v>
      </c>
      <c r="F444" s="43" t="s">
        <v>798</v>
      </c>
      <c r="G444" s="44">
        <v>2023.0</v>
      </c>
      <c r="H444" s="44">
        <v>0.0244</v>
      </c>
      <c r="I444" s="44">
        <v>0.0327</v>
      </c>
      <c r="J444" s="44">
        <v>3.0</v>
      </c>
      <c r="K444" s="44">
        <v>3.0</v>
      </c>
      <c r="L444" s="44">
        <v>1.0</v>
      </c>
      <c r="M444" s="45">
        <v>0.0958</v>
      </c>
      <c r="N444" s="46" t="s">
        <v>764</v>
      </c>
    </row>
    <row r="445" ht="15.75" customHeight="1">
      <c r="A445" s="43" t="s">
        <v>1711</v>
      </c>
      <c r="B445" s="43" t="s">
        <v>577</v>
      </c>
      <c r="C445" s="43" t="s">
        <v>286</v>
      </c>
      <c r="D445" s="43" t="s">
        <v>644</v>
      </c>
      <c r="E445" s="43" t="s">
        <v>784</v>
      </c>
      <c r="F445" s="43" t="s">
        <v>751</v>
      </c>
      <c r="G445" s="44">
        <v>2024.0</v>
      </c>
      <c r="H445" s="44">
        <v>1.1246</v>
      </c>
      <c r="I445" s="44">
        <v>1.444</v>
      </c>
      <c r="J445" s="44">
        <v>13.0</v>
      </c>
      <c r="K445" s="44">
        <v>10.0</v>
      </c>
      <c r="L445" s="44">
        <v>2.0</v>
      </c>
      <c r="M445" s="45">
        <v>84.21</v>
      </c>
      <c r="N445" s="46" t="s">
        <v>764</v>
      </c>
    </row>
    <row r="446" ht="15.75" customHeight="1">
      <c r="A446" s="43" t="s">
        <v>1712</v>
      </c>
      <c r="B446" s="43" t="s">
        <v>577</v>
      </c>
      <c r="C446" s="43" t="s">
        <v>501</v>
      </c>
      <c r="D446" s="43" t="s">
        <v>691</v>
      </c>
      <c r="E446" s="43" t="s">
        <v>797</v>
      </c>
      <c r="F446" s="43" t="s">
        <v>798</v>
      </c>
      <c r="G446" s="44">
        <v>2023.0</v>
      </c>
      <c r="H446" s="44">
        <v>0.0474</v>
      </c>
      <c r="I446" s="44">
        <v>0.0545</v>
      </c>
      <c r="J446" s="44">
        <v>3.0</v>
      </c>
      <c r="K446" s="44">
        <v>2.0</v>
      </c>
      <c r="L446" s="44">
        <v>1.0</v>
      </c>
      <c r="M446" s="45">
        <v>0.2937</v>
      </c>
      <c r="N446" s="46" t="s">
        <v>764</v>
      </c>
    </row>
    <row r="447" ht="15.75" customHeight="1">
      <c r="A447" s="43" t="s">
        <v>1716</v>
      </c>
      <c r="B447" s="43" t="s">
        <v>581</v>
      </c>
      <c r="C447" s="43" t="s">
        <v>515</v>
      </c>
      <c r="D447" s="43" t="s">
        <v>709</v>
      </c>
      <c r="E447" s="43" t="s">
        <v>797</v>
      </c>
      <c r="F447" s="43" t="s">
        <v>798</v>
      </c>
      <c r="G447" s="44">
        <v>2023.0</v>
      </c>
      <c r="H447" s="44">
        <v>0.147</v>
      </c>
      <c r="I447" s="44">
        <v>0.1705</v>
      </c>
      <c r="J447" s="44">
        <v>3.0</v>
      </c>
      <c r="K447" s="44">
        <v>2.0</v>
      </c>
      <c r="L447" s="44">
        <v>1.0</v>
      </c>
      <c r="M447" s="45">
        <v>0.7394</v>
      </c>
      <c r="N447" s="46" t="s">
        <v>764</v>
      </c>
    </row>
    <row r="448" ht="15.75" customHeight="1">
      <c r="A448" s="43" t="s">
        <v>1718</v>
      </c>
      <c r="B448" s="43" t="s">
        <v>581</v>
      </c>
      <c r="C448" s="43" t="s">
        <v>505</v>
      </c>
      <c r="D448" s="43" t="s">
        <v>799</v>
      </c>
      <c r="E448" s="43" t="s">
        <v>817</v>
      </c>
      <c r="F448" s="43" t="s">
        <v>798</v>
      </c>
      <c r="G448" s="44">
        <v>2023.0</v>
      </c>
      <c r="H448" s="44">
        <v>0.1585</v>
      </c>
      <c r="I448" s="44">
        <v>0.2003</v>
      </c>
      <c r="J448" s="44">
        <v>2.0</v>
      </c>
      <c r="K448" s="44">
        <v>1.0</v>
      </c>
      <c r="L448" s="44">
        <v>1.0</v>
      </c>
      <c r="M448" s="45">
        <v>0.934</v>
      </c>
      <c r="N448" s="46" t="s">
        <v>764</v>
      </c>
    </row>
    <row r="449" ht="15.75" customHeight="1">
      <c r="A449" s="43" t="s">
        <v>1720</v>
      </c>
      <c r="B449" s="43" t="s">
        <v>581</v>
      </c>
      <c r="C449" s="43" t="s">
        <v>305</v>
      </c>
      <c r="D449" s="43" t="s">
        <v>788</v>
      </c>
      <c r="E449" s="43" t="s">
        <v>842</v>
      </c>
      <c r="F449" s="43" t="s">
        <v>751</v>
      </c>
      <c r="G449" s="44">
        <v>2024.0</v>
      </c>
      <c r="H449" s="44">
        <v>1.8316</v>
      </c>
      <c r="I449" s="44">
        <v>2.0789</v>
      </c>
      <c r="J449" s="44">
        <v>16.0</v>
      </c>
      <c r="K449" s="44">
        <v>9.0</v>
      </c>
      <c r="L449" s="44">
        <v>2.0</v>
      </c>
      <c r="M449" s="45">
        <v>137.0</v>
      </c>
      <c r="N449" s="46" t="s">
        <v>764</v>
      </c>
    </row>
    <row r="450" ht="15.75" customHeight="1">
      <c r="A450" s="43" t="s">
        <v>1722</v>
      </c>
      <c r="B450" s="43" t="s">
        <v>596</v>
      </c>
      <c r="C450" s="43" t="s">
        <v>443</v>
      </c>
      <c r="D450" s="43" t="s">
        <v>808</v>
      </c>
      <c r="E450" s="43" t="s">
        <v>797</v>
      </c>
      <c r="F450" s="43" t="s">
        <v>798</v>
      </c>
      <c r="G450" s="44">
        <v>2023.0</v>
      </c>
      <c r="H450" s="44">
        <v>0.1141</v>
      </c>
      <c r="I450" s="44">
        <v>0.1539</v>
      </c>
      <c r="J450" s="44">
        <v>3.0</v>
      </c>
      <c r="K450" s="44">
        <v>2.0</v>
      </c>
      <c r="L450" s="44">
        <v>1.0</v>
      </c>
      <c r="M450" s="45">
        <v>0.3941</v>
      </c>
      <c r="N450" s="46" t="s">
        <v>764</v>
      </c>
    </row>
    <row r="451" ht="15.75" customHeight="1">
      <c r="A451" s="43" t="s">
        <v>1724</v>
      </c>
      <c r="B451" s="43" t="s">
        <v>581</v>
      </c>
      <c r="C451" s="43" t="s">
        <v>104</v>
      </c>
      <c r="D451" s="43" t="s">
        <v>729</v>
      </c>
      <c r="E451" s="43" t="s">
        <v>784</v>
      </c>
      <c r="F451" s="43" t="s">
        <v>751</v>
      </c>
      <c r="G451" s="44">
        <v>2024.0</v>
      </c>
      <c r="H451" s="44">
        <v>1.5559</v>
      </c>
      <c r="I451" s="44">
        <v>1.7707</v>
      </c>
      <c r="J451" s="44">
        <v>19.0</v>
      </c>
      <c r="K451" s="44">
        <v>13.0</v>
      </c>
      <c r="L451" s="44">
        <v>2.0</v>
      </c>
      <c r="M451" s="45">
        <v>166.59</v>
      </c>
      <c r="N451" s="46" t="s">
        <v>764</v>
      </c>
    </row>
    <row r="452" ht="15.75" customHeight="1">
      <c r="A452" s="43" t="s">
        <v>1726</v>
      </c>
      <c r="B452" s="43" t="s">
        <v>581</v>
      </c>
      <c r="C452" s="43" t="s">
        <v>503</v>
      </c>
      <c r="D452" s="43" t="s">
        <v>745</v>
      </c>
      <c r="E452" s="43" t="s">
        <v>797</v>
      </c>
      <c r="F452" s="43" t="s">
        <v>798</v>
      </c>
      <c r="G452" s="44">
        <v>2023.0</v>
      </c>
      <c r="H452" s="44">
        <v>0.1582</v>
      </c>
      <c r="I452" s="44">
        <v>0.1807</v>
      </c>
      <c r="J452" s="44">
        <v>4.0</v>
      </c>
      <c r="K452" s="44">
        <v>3.0</v>
      </c>
      <c r="L452" s="44">
        <v>1.0</v>
      </c>
      <c r="M452" s="45">
        <v>0.8543</v>
      </c>
      <c r="N452" s="46" t="s">
        <v>764</v>
      </c>
    </row>
    <row r="453" ht="15.75" customHeight="1">
      <c r="A453" s="43" t="s">
        <v>1732</v>
      </c>
      <c r="B453" s="43" t="s">
        <v>581</v>
      </c>
      <c r="C453" s="43" t="s">
        <v>123</v>
      </c>
      <c r="D453" s="43" t="s">
        <v>782</v>
      </c>
      <c r="E453" s="43" t="s">
        <v>797</v>
      </c>
      <c r="F453" s="43" t="s">
        <v>798</v>
      </c>
      <c r="G453" s="44">
        <v>2023.0</v>
      </c>
      <c r="H453" s="44">
        <v>0.0286</v>
      </c>
      <c r="I453" s="44">
        <v>0.0354</v>
      </c>
      <c r="J453" s="44">
        <v>2.0</v>
      </c>
      <c r="K453" s="44">
        <v>1.0</v>
      </c>
      <c r="L453" s="44">
        <v>1.0</v>
      </c>
      <c r="M453" s="45">
        <v>0.1638</v>
      </c>
      <c r="N453" s="46" t="s">
        <v>764</v>
      </c>
    </row>
    <row r="454" ht="15.75" customHeight="1">
      <c r="A454" s="43" t="s">
        <v>1734</v>
      </c>
      <c r="B454" s="43" t="s">
        <v>577</v>
      </c>
      <c r="C454" s="43" t="s">
        <v>185</v>
      </c>
      <c r="D454" s="43" t="s">
        <v>695</v>
      </c>
      <c r="E454" s="43" t="s">
        <v>817</v>
      </c>
      <c r="F454" s="43" t="s">
        <v>798</v>
      </c>
      <c r="G454" s="44">
        <v>2023.0</v>
      </c>
      <c r="H454" s="44">
        <v>0.1809</v>
      </c>
      <c r="I454" s="44">
        <v>0.2274</v>
      </c>
      <c r="J454" s="44">
        <v>2.0</v>
      </c>
      <c r="K454" s="44">
        <v>2.0</v>
      </c>
      <c r="L454" s="44">
        <v>1.0</v>
      </c>
      <c r="M454" s="45">
        <v>0.9619</v>
      </c>
      <c r="N454" s="46" t="s">
        <v>764</v>
      </c>
    </row>
    <row r="455" ht="15.75" customHeight="1">
      <c r="A455" s="43" t="s">
        <v>1735</v>
      </c>
      <c r="B455" s="43" t="s">
        <v>577</v>
      </c>
      <c r="C455" s="43" t="s">
        <v>229</v>
      </c>
      <c r="D455" s="43" t="s">
        <v>630</v>
      </c>
      <c r="E455" s="43" t="s">
        <v>797</v>
      </c>
      <c r="F455" s="43" t="s">
        <v>798</v>
      </c>
      <c r="G455" s="44">
        <v>2023.0</v>
      </c>
      <c r="H455" s="44">
        <v>0.0545</v>
      </c>
      <c r="I455" s="44">
        <v>0.0626</v>
      </c>
      <c r="J455" s="44">
        <v>2.0</v>
      </c>
      <c r="K455" s="44">
        <v>1.0</v>
      </c>
      <c r="L455" s="44">
        <v>1.0</v>
      </c>
      <c r="M455" s="45">
        <v>0.2687</v>
      </c>
      <c r="N455" s="46" t="s">
        <v>764</v>
      </c>
    </row>
    <row r="456" ht="15.75" customHeight="1">
      <c r="A456" s="43" t="s">
        <v>1736</v>
      </c>
      <c r="B456" s="43" t="s">
        <v>596</v>
      </c>
      <c r="C456" s="43" t="s">
        <v>493</v>
      </c>
      <c r="D456" s="43" t="s">
        <v>823</v>
      </c>
      <c r="E456" s="43" t="s">
        <v>842</v>
      </c>
      <c r="F456" s="43" t="s">
        <v>751</v>
      </c>
      <c r="G456" s="44">
        <v>2024.0</v>
      </c>
      <c r="H456" s="44">
        <v>0.392</v>
      </c>
      <c r="I456" s="44">
        <v>0.5032</v>
      </c>
      <c r="J456" s="44">
        <v>5.0</v>
      </c>
      <c r="K456" s="44">
        <v>3.0</v>
      </c>
      <c r="L456" s="44">
        <v>1.0</v>
      </c>
      <c r="M456" s="45">
        <v>36.93</v>
      </c>
      <c r="N456" s="46" t="s">
        <v>764</v>
      </c>
    </row>
    <row r="457" ht="15.75" customHeight="1">
      <c r="A457" s="43" t="s">
        <v>1737</v>
      </c>
      <c r="B457" s="43" t="s">
        <v>605</v>
      </c>
      <c r="C457" s="43" t="s">
        <v>354</v>
      </c>
      <c r="D457" s="43" t="s">
        <v>905</v>
      </c>
      <c r="E457" s="43" t="s">
        <v>749</v>
      </c>
      <c r="F457" s="43" t="s">
        <v>751</v>
      </c>
      <c r="G457" s="44">
        <v>2024.0</v>
      </c>
      <c r="H457" s="44">
        <v>0.0233</v>
      </c>
      <c r="I457" s="44">
        <v>0.0296</v>
      </c>
      <c r="J457" s="44">
        <v>2.0</v>
      </c>
      <c r="K457" s="44">
        <v>1.0</v>
      </c>
      <c r="L457" s="44">
        <v>1.0</v>
      </c>
      <c r="M457" s="45">
        <v>2.23</v>
      </c>
      <c r="N457" s="46" t="s">
        <v>764</v>
      </c>
    </row>
    <row r="458" ht="15.75" customHeight="1">
      <c r="A458" s="43" t="s">
        <v>1739</v>
      </c>
      <c r="B458" s="43" t="s">
        <v>577</v>
      </c>
      <c r="C458" s="43" t="s">
        <v>328</v>
      </c>
      <c r="D458" s="43" t="s">
        <v>699</v>
      </c>
      <c r="E458" s="43" t="s">
        <v>836</v>
      </c>
      <c r="F458" s="43" t="s">
        <v>798</v>
      </c>
      <c r="G458" s="44">
        <v>2023.0</v>
      </c>
      <c r="H458" s="44">
        <v>0.2865</v>
      </c>
      <c r="I458" s="44">
        <v>0.3221</v>
      </c>
      <c r="J458" s="44">
        <v>2.0</v>
      </c>
      <c r="K458" s="44">
        <v>2.0</v>
      </c>
      <c r="L458" s="44">
        <v>1.0</v>
      </c>
      <c r="M458" s="45">
        <v>2.3069</v>
      </c>
      <c r="N458" s="46" t="s">
        <v>764</v>
      </c>
    </row>
    <row r="459" ht="15.75" customHeight="1">
      <c r="A459" s="43" t="s">
        <v>1740</v>
      </c>
      <c r="B459" s="43" t="s">
        <v>581</v>
      </c>
      <c r="C459" s="43" t="s">
        <v>378</v>
      </c>
      <c r="D459" s="43" t="s">
        <v>718</v>
      </c>
      <c r="E459" s="43" t="s">
        <v>842</v>
      </c>
      <c r="F459" s="43" t="s">
        <v>751</v>
      </c>
      <c r="G459" s="44">
        <v>2024.0</v>
      </c>
      <c r="H459" s="44">
        <v>0.7175</v>
      </c>
      <c r="I459" s="44">
        <v>0.9231</v>
      </c>
      <c r="J459" s="44">
        <v>10.0</v>
      </c>
      <c r="K459" s="44">
        <v>5.0</v>
      </c>
      <c r="L459" s="44">
        <v>1.0</v>
      </c>
      <c r="M459" s="45">
        <v>79.45</v>
      </c>
      <c r="N459" s="46" t="s">
        <v>764</v>
      </c>
    </row>
    <row r="460" ht="15.75" customHeight="1">
      <c r="A460" s="43" t="s">
        <v>1742</v>
      </c>
      <c r="B460" s="43" t="s">
        <v>577</v>
      </c>
      <c r="C460" s="43" t="s">
        <v>363</v>
      </c>
      <c r="D460" s="43" t="s">
        <v>634</v>
      </c>
      <c r="E460" s="43" t="s">
        <v>817</v>
      </c>
      <c r="F460" s="43" t="s">
        <v>798</v>
      </c>
      <c r="G460" s="44">
        <v>2023.0</v>
      </c>
      <c r="H460" s="44">
        <v>0.2314</v>
      </c>
      <c r="I460" s="44">
        <v>0.3054</v>
      </c>
      <c r="J460" s="44">
        <v>2.0</v>
      </c>
      <c r="K460" s="44">
        <v>1.0</v>
      </c>
      <c r="L460" s="44">
        <v>1.0</v>
      </c>
      <c r="M460" s="45">
        <v>0.9695</v>
      </c>
      <c r="N460" s="46" t="s">
        <v>764</v>
      </c>
    </row>
    <row r="461" ht="15.75" customHeight="1">
      <c r="A461" s="43" t="s">
        <v>1744</v>
      </c>
      <c r="B461" s="43" t="s">
        <v>577</v>
      </c>
      <c r="C461" s="43" t="s">
        <v>185</v>
      </c>
      <c r="D461" s="43" t="s">
        <v>695</v>
      </c>
      <c r="E461" s="43" t="s">
        <v>842</v>
      </c>
      <c r="F461" s="43" t="s">
        <v>751</v>
      </c>
      <c r="G461" s="44">
        <v>2024.0</v>
      </c>
      <c r="H461" s="44">
        <v>1.303</v>
      </c>
      <c r="I461" s="44">
        <v>1.409</v>
      </c>
      <c r="J461" s="44">
        <v>10.0</v>
      </c>
      <c r="K461" s="44">
        <v>7.0</v>
      </c>
      <c r="L461" s="44">
        <v>1.0</v>
      </c>
      <c r="M461" s="45">
        <v>77.33</v>
      </c>
      <c r="N461" s="46" t="s">
        <v>764</v>
      </c>
    </row>
    <row r="462" ht="15.75" customHeight="1">
      <c r="A462" s="43" t="s">
        <v>1745</v>
      </c>
      <c r="B462" s="43" t="s">
        <v>581</v>
      </c>
      <c r="C462" s="43" t="s">
        <v>468</v>
      </c>
      <c r="D462" s="43" t="s">
        <v>703</v>
      </c>
      <c r="E462" s="43" t="s">
        <v>749</v>
      </c>
      <c r="F462" s="43" t="s">
        <v>751</v>
      </c>
      <c r="G462" s="44">
        <v>2024.0</v>
      </c>
      <c r="H462" s="44">
        <v>0.0094</v>
      </c>
      <c r="I462" s="44">
        <v>0.0126</v>
      </c>
      <c r="J462" s="44">
        <v>2.0</v>
      </c>
      <c r="K462" s="44">
        <v>1.0</v>
      </c>
      <c r="L462" s="44">
        <v>1.0</v>
      </c>
      <c r="M462" s="45">
        <v>0.59</v>
      </c>
      <c r="N462" s="46" t="s">
        <v>764</v>
      </c>
    </row>
    <row r="463" ht="15.75" customHeight="1">
      <c r="A463" s="43" t="s">
        <v>1747</v>
      </c>
      <c r="B463" s="43" t="s">
        <v>577</v>
      </c>
      <c r="C463" s="43" t="s">
        <v>237</v>
      </c>
      <c r="D463" s="43" t="s">
        <v>669</v>
      </c>
      <c r="E463" s="43" t="s">
        <v>842</v>
      </c>
      <c r="F463" s="43" t="s">
        <v>751</v>
      </c>
      <c r="G463" s="44">
        <v>2024.0</v>
      </c>
      <c r="H463" s="44">
        <v>0.9577</v>
      </c>
      <c r="I463" s="44">
        <v>1.1208</v>
      </c>
      <c r="J463" s="44">
        <v>10.0</v>
      </c>
      <c r="K463" s="44">
        <v>5.0</v>
      </c>
      <c r="L463" s="44">
        <v>1.0</v>
      </c>
      <c r="M463" s="45">
        <v>66.66</v>
      </c>
      <c r="N463" s="46" t="s">
        <v>764</v>
      </c>
    </row>
    <row r="464" ht="15.75" customHeight="1">
      <c r="A464" s="43" t="s">
        <v>1749</v>
      </c>
      <c r="B464" s="43" t="s">
        <v>605</v>
      </c>
      <c r="C464" s="43" t="s">
        <v>279</v>
      </c>
      <c r="D464" s="43" t="s">
        <v>956</v>
      </c>
      <c r="E464" s="43" t="s">
        <v>784</v>
      </c>
      <c r="F464" s="43" t="s">
        <v>751</v>
      </c>
      <c r="G464" s="44">
        <v>2024.0</v>
      </c>
      <c r="H464" s="44">
        <v>0.34</v>
      </c>
      <c r="I464" s="44">
        <v>0.4286</v>
      </c>
      <c r="J464" s="44">
        <v>5.0</v>
      </c>
      <c r="K464" s="44">
        <v>3.0</v>
      </c>
      <c r="L464" s="44">
        <v>1.0</v>
      </c>
      <c r="M464" s="45">
        <v>30.69</v>
      </c>
      <c r="N464" s="46" t="s">
        <v>764</v>
      </c>
    </row>
    <row r="465" ht="15.75" customHeight="1">
      <c r="A465" s="43" t="s">
        <v>1751</v>
      </c>
      <c r="B465" s="43" t="s">
        <v>603</v>
      </c>
      <c r="C465" s="43" t="s">
        <v>521</v>
      </c>
      <c r="D465" s="43" t="s">
        <v>882</v>
      </c>
      <c r="E465" s="43" t="s">
        <v>842</v>
      </c>
      <c r="F465" s="43" t="s">
        <v>751</v>
      </c>
      <c r="G465" s="44">
        <v>2024.0</v>
      </c>
      <c r="H465" s="44">
        <v>0.3877</v>
      </c>
      <c r="I465" s="44">
        <v>0.4871</v>
      </c>
      <c r="J465" s="44">
        <v>5.0</v>
      </c>
      <c r="K465" s="44">
        <v>4.0</v>
      </c>
      <c r="L465" s="44">
        <v>1.0</v>
      </c>
      <c r="M465" s="45">
        <v>22.78</v>
      </c>
      <c r="N465" s="46" t="s">
        <v>764</v>
      </c>
    </row>
    <row r="466" ht="15.75" customHeight="1">
      <c r="A466" s="43" t="s">
        <v>1753</v>
      </c>
      <c r="B466" s="43" t="s">
        <v>581</v>
      </c>
      <c r="C466" s="43" t="s">
        <v>477</v>
      </c>
      <c r="D466" s="43" t="s">
        <v>759</v>
      </c>
      <c r="E466" s="43" t="s">
        <v>842</v>
      </c>
      <c r="F466" s="43" t="s">
        <v>751</v>
      </c>
      <c r="G466" s="44">
        <v>2024.0</v>
      </c>
      <c r="H466" s="44">
        <v>1.6894</v>
      </c>
      <c r="I466" s="44">
        <v>1.8565</v>
      </c>
      <c r="J466" s="44">
        <v>19.0</v>
      </c>
      <c r="K466" s="44">
        <v>9.0</v>
      </c>
      <c r="L466" s="44">
        <v>2.0</v>
      </c>
      <c r="M466" s="45">
        <v>220.94</v>
      </c>
      <c r="N466" s="46" t="s">
        <v>764</v>
      </c>
    </row>
    <row r="467" ht="15.75" customHeight="1">
      <c r="A467" s="43" t="s">
        <v>1754</v>
      </c>
      <c r="B467" s="43" t="s">
        <v>603</v>
      </c>
      <c r="C467" s="43" t="s">
        <v>317</v>
      </c>
      <c r="D467" s="43" t="s">
        <v>917</v>
      </c>
      <c r="E467" s="43" t="s">
        <v>784</v>
      </c>
      <c r="F467" s="43" t="s">
        <v>751</v>
      </c>
      <c r="G467" s="44">
        <v>2024.0</v>
      </c>
      <c r="H467" s="44">
        <v>0.2653</v>
      </c>
      <c r="I467" s="44">
        <v>0.3505</v>
      </c>
      <c r="J467" s="44">
        <v>2.0</v>
      </c>
      <c r="K467" s="44">
        <v>1.0</v>
      </c>
      <c r="L467" s="44">
        <v>1.0</v>
      </c>
      <c r="M467" s="45">
        <v>26.39</v>
      </c>
      <c r="N467" s="46" t="s">
        <v>764</v>
      </c>
    </row>
    <row r="468" ht="15.75" customHeight="1">
      <c r="A468" s="43" t="s">
        <v>1756</v>
      </c>
      <c r="B468" s="43" t="s">
        <v>605</v>
      </c>
      <c r="C468" s="43" t="s">
        <v>221</v>
      </c>
      <c r="D468" s="43" t="s">
        <v>841</v>
      </c>
      <c r="E468" s="43" t="s">
        <v>749</v>
      </c>
      <c r="F468" s="43" t="s">
        <v>751</v>
      </c>
      <c r="G468" s="44">
        <v>2024.0</v>
      </c>
      <c r="H468" s="44">
        <v>0.0087</v>
      </c>
      <c r="I468" s="44">
        <v>0.0116</v>
      </c>
      <c r="J468" s="44">
        <v>2.0</v>
      </c>
      <c r="K468" s="44">
        <v>2.0</v>
      </c>
      <c r="L468" s="44">
        <v>1.0</v>
      </c>
      <c r="M468" s="45">
        <v>0.68</v>
      </c>
      <c r="N468" s="46" t="s">
        <v>764</v>
      </c>
    </row>
    <row r="469" ht="15.75" customHeight="1">
      <c r="A469" s="43" t="s">
        <v>1758</v>
      </c>
      <c r="B469" s="43" t="s">
        <v>603</v>
      </c>
      <c r="C469" s="43" t="s">
        <v>401</v>
      </c>
      <c r="D469" s="43" t="s">
        <v>895</v>
      </c>
      <c r="E469" s="43" t="s">
        <v>817</v>
      </c>
      <c r="F469" s="43" t="s">
        <v>798</v>
      </c>
      <c r="G469" s="44">
        <v>2023.0</v>
      </c>
      <c r="H469" s="44">
        <v>0.1096</v>
      </c>
      <c r="I469" s="44">
        <v>0.1231</v>
      </c>
      <c r="J469" s="44">
        <v>2.0</v>
      </c>
      <c r="K469" s="44">
        <v>2.0</v>
      </c>
      <c r="L469" s="44">
        <v>1.0</v>
      </c>
      <c r="M469" s="45">
        <v>0.7776</v>
      </c>
      <c r="N469" s="46" t="s">
        <v>764</v>
      </c>
    </row>
    <row r="470" ht="15.75" customHeight="1">
      <c r="A470" s="43" t="s">
        <v>1759</v>
      </c>
      <c r="B470" s="43" t="s">
        <v>603</v>
      </c>
      <c r="C470" s="43" t="s">
        <v>146</v>
      </c>
      <c r="D470" s="43" t="s">
        <v>906</v>
      </c>
      <c r="E470" s="43" t="s">
        <v>817</v>
      </c>
      <c r="F470" s="43" t="s">
        <v>798</v>
      </c>
      <c r="G470" s="44">
        <v>2023.0</v>
      </c>
      <c r="H470" s="44">
        <v>0.0333</v>
      </c>
      <c r="I470" s="44">
        <v>0.0412</v>
      </c>
      <c r="J470" s="44">
        <v>2.0</v>
      </c>
      <c r="K470" s="44">
        <v>1.0</v>
      </c>
      <c r="L470" s="44">
        <v>1.0</v>
      </c>
      <c r="M470" s="45">
        <v>0.1729</v>
      </c>
      <c r="N470" s="46" t="s">
        <v>764</v>
      </c>
    </row>
    <row r="471" ht="15.75" customHeight="1">
      <c r="A471" s="43" t="s">
        <v>1761</v>
      </c>
      <c r="B471" s="43" t="s">
        <v>577</v>
      </c>
      <c r="C471" s="43" t="s">
        <v>463</v>
      </c>
      <c r="D471" s="43" t="s">
        <v>662</v>
      </c>
      <c r="E471" s="43" t="s">
        <v>836</v>
      </c>
      <c r="F471" s="43" t="s">
        <v>798</v>
      </c>
      <c r="G471" s="44">
        <v>2023.0</v>
      </c>
      <c r="H471" s="44">
        <v>0.3274</v>
      </c>
      <c r="I471" s="44">
        <v>0.3964</v>
      </c>
      <c r="J471" s="44">
        <v>3.0</v>
      </c>
      <c r="K471" s="44">
        <v>2.0</v>
      </c>
      <c r="L471" s="44">
        <v>1.0</v>
      </c>
      <c r="M471" s="45">
        <v>4.0266</v>
      </c>
      <c r="N471" s="46" t="s">
        <v>764</v>
      </c>
    </row>
    <row r="472" ht="15.75" customHeight="1">
      <c r="A472" s="43" t="s">
        <v>1763</v>
      </c>
      <c r="B472" s="43" t="s">
        <v>605</v>
      </c>
      <c r="C472" s="43" t="s">
        <v>483</v>
      </c>
      <c r="D472" s="43" t="s">
        <v>803</v>
      </c>
      <c r="E472" s="43" t="s">
        <v>749</v>
      </c>
      <c r="F472" s="43" t="s">
        <v>751</v>
      </c>
      <c r="G472" s="44">
        <v>2024.0</v>
      </c>
      <c r="H472" s="44">
        <v>0.0102</v>
      </c>
      <c r="I472" s="44">
        <v>0.0122</v>
      </c>
      <c r="J472" s="44">
        <v>2.0</v>
      </c>
      <c r="K472" s="44">
        <v>2.0</v>
      </c>
      <c r="L472" s="44">
        <v>1.0</v>
      </c>
      <c r="M472" s="45">
        <v>0.84</v>
      </c>
      <c r="N472" s="46" t="s">
        <v>764</v>
      </c>
    </row>
    <row r="473" ht="15.75" customHeight="1">
      <c r="A473" s="43" t="s">
        <v>1764</v>
      </c>
      <c r="B473" s="43" t="s">
        <v>577</v>
      </c>
      <c r="C473" s="43" t="s">
        <v>328</v>
      </c>
      <c r="D473" s="43" t="s">
        <v>699</v>
      </c>
      <c r="E473" s="43" t="s">
        <v>797</v>
      </c>
      <c r="F473" s="43" t="s">
        <v>798</v>
      </c>
      <c r="G473" s="44">
        <v>2023.0</v>
      </c>
      <c r="H473" s="44">
        <v>0.0529</v>
      </c>
      <c r="I473" s="44">
        <v>0.0616</v>
      </c>
      <c r="J473" s="44">
        <v>2.0</v>
      </c>
      <c r="K473" s="44">
        <v>2.0</v>
      </c>
      <c r="L473" s="44">
        <v>1.0</v>
      </c>
      <c r="M473" s="45">
        <v>0.3567</v>
      </c>
      <c r="N473" s="46" t="s">
        <v>764</v>
      </c>
    </row>
    <row r="474" ht="15.75" customHeight="1">
      <c r="A474" s="43" t="s">
        <v>1767</v>
      </c>
      <c r="B474" s="43" t="s">
        <v>577</v>
      </c>
      <c r="C474" s="43" t="s">
        <v>513</v>
      </c>
      <c r="D474" s="43" t="s">
        <v>666</v>
      </c>
      <c r="E474" s="43" t="s">
        <v>784</v>
      </c>
      <c r="F474" s="43" t="s">
        <v>751</v>
      </c>
      <c r="G474" s="44">
        <v>2024.0</v>
      </c>
      <c r="H474" s="44">
        <v>0.4211</v>
      </c>
      <c r="I474" s="44">
        <v>0.5197</v>
      </c>
      <c r="J474" s="44">
        <v>3.0</v>
      </c>
      <c r="K474" s="44">
        <v>2.0</v>
      </c>
      <c r="L474" s="44">
        <v>1.0</v>
      </c>
      <c r="M474" s="45">
        <v>39.99</v>
      </c>
      <c r="N474" s="46" t="s">
        <v>764</v>
      </c>
    </row>
    <row r="475" ht="15.75" customHeight="1">
      <c r="A475" s="43" t="s">
        <v>1769</v>
      </c>
      <c r="B475" s="43" t="s">
        <v>577</v>
      </c>
      <c r="C475" s="43" t="s">
        <v>328</v>
      </c>
      <c r="D475" s="43" t="s">
        <v>699</v>
      </c>
      <c r="E475" s="43" t="s">
        <v>749</v>
      </c>
      <c r="F475" s="43" t="s">
        <v>751</v>
      </c>
      <c r="G475" s="44">
        <v>2024.0</v>
      </c>
      <c r="H475" s="44">
        <v>0.0119</v>
      </c>
      <c r="I475" s="44">
        <v>0.0156</v>
      </c>
      <c r="J475" s="44">
        <v>2.0</v>
      </c>
      <c r="K475" s="44">
        <v>1.0</v>
      </c>
      <c r="L475" s="44">
        <v>1.0</v>
      </c>
      <c r="M475" s="45">
        <v>0.72</v>
      </c>
      <c r="N475" s="46" t="s">
        <v>764</v>
      </c>
    </row>
    <row r="476" ht="15.75" customHeight="1">
      <c r="A476" s="43" t="s">
        <v>1770</v>
      </c>
      <c r="B476" s="43" t="s">
        <v>577</v>
      </c>
      <c r="C476" s="43" t="s">
        <v>513</v>
      </c>
      <c r="D476" s="43" t="s">
        <v>666</v>
      </c>
      <c r="E476" s="43" t="s">
        <v>797</v>
      </c>
      <c r="F476" s="43" t="s">
        <v>798</v>
      </c>
      <c r="G476" s="44">
        <v>2023.0</v>
      </c>
      <c r="H476" s="44">
        <v>0.0475</v>
      </c>
      <c r="I476" s="44">
        <v>0.0596</v>
      </c>
      <c r="J476" s="44">
        <v>2.0</v>
      </c>
      <c r="K476" s="44">
        <v>1.0</v>
      </c>
      <c r="L476" s="44">
        <v>1.0</v>
      </c>
      <c r="M476" s="45">
        <v>0.1943</v>
      </c>
      <c r="N476" s="46" t="s">
        <v>764</v>
      </c>
    </row>
    <row r="477" ht="15.75" customHeight="1">
      <c r="A477" s="43" t="s">
        <v>1772</v>
      </c>
      <c r="B477" s="43" t="s">
        <v>581</v>
      </c>
      <c r="C477" s="43" t="s">
        <v>491</v>
      </c>
      <c r="D477" s="43" t="s">
        <v>777</v>
      </c>
      <c r="E477" s="43" t="s">
        <v>842</v>
      </c>
      <c r="F477" s="43" t="s">
        <v>751</v>
      </c>
      <c r="G477" s="44">
        <v>2024.0</v>
      </c>
      <c r="H477" s="44">
        <v>0.4679</v>
      </c>
      <c r="I477" s="44">
        <v>0.6047</v>
      </c>
      <c r="J477" s="44">
        <v>4.0</v>
      </c>
      <c r="K477" s="44">
        <v>3.0</v>
      </c>
      <c r="L477" s="44">
        <v>1.0</v>
      </c>
      <c r="M477" s="45">
        <v>44.43</v>
      </c>
      <c r="N477" s="46" t="s">
        <v>764</v>
      </c>
    </row>
    <row r="478" ht="15.75" customHeight="1">
      <c r="A478" s="43" t="s">
        <v>1774</v>
      </c>
      <c r="B478" s="43" t="s">
        <v>603</v>
      </c>
      <c r="C478" s="43" t="s">
        <v>495</v>
      </c>
      <c r="D478" s="43" t="s">
        <v>900</v>
      </c>
      <c r="E478" s="43" t="s">
        <v>797</v>
      </c>
      <c r="F478" s="43" t="s">
        <v>798</v>
      </c>
      <c r="G478" s="44">
        <v>2023.0</v>
      </c>
      <c r="H478" s="44">
        <v>0.0634</v>
      </c>
      <c r="I478" s="44">
        <v>0.0774</v>
      </c>
      <c r="J478" s="44">
        <v>2.0</v>
      </c>
      <c r="K478" s="44">
        <v>2.0</v>
      </c>
      <c r="L478" s="44">
        <v>1.0</v>
      </c>
      <c r="M478" s="45">
        <v>0.3452</v>
      </c>
      <c r="N478" s="46" t="s">
        <v>764</v>
      </c>
    </row>
    <row r="479" ht="15.75" customHeight="1">
      <c r="A479" s="43" t="s">
        <v>1776</v>
      </c>
      <c r="B479" s="43" t="s">
        <v>577</v>
      </c>
      <c r="C479" s="43" t="s">
        <v>372</v>
      </c>
      <c r="D479" s="43" t="s">
        <v>673</v>
      </c>
      <c r="E479" s="43" t="s">
        <v>749</v>
      </c>
      <c r="F479" s="43" t="s">
        <v>751</v>
      </c>
      <c r="G479" s="44">
        <v>2024.0</v>
      </c>
      <c r="H479" s="44">
        <v>0.0097</v>
      </c>
      <c r="I479" s="44">
        <v>0.0105</v>
      </c>
      <c r="J479" s="44">
        <v>2.0</v>
      </c>
      <c r="K479" s="44">
        <v>1.0</v>
      </c>
      <c r="L479" s="44">
        <v>1.0</v>
      </c>
      <c r="M479" s="45">
        <v>0.97</v>
      </c>
      <c r="N479" s="46" t="s">
        <v>764</v>
      </c>
    </row>
    <row r="480" ht="15.75" customHeight="1">
      <c r="A480" s="43" t="s">
        <v>1778</v>
      </c>
      <c r="B480" s="43" t="s">
        <v>577</v>
      </c>
      <c r="C480" s="43" t="s">
        <v>78</v>
      </c>
      <c r="D480" s="43" t="s">
        <v>680</v>
      </c>
      <c r="E480" s="43" t="s">
        <v>784</v>
      </c>
      <c r="F480" s="43" t="s">
        <v>751</v>
      </c>
      <c r="G480" s="44">
        <v>2024.0</v>
      </c>
      <c r="H480" s="44">
        <v>0.848</v>
      </c>
      <c r="I480" s="44">
        <v>1.0525</v>
      </c>
      <c r="J480" s="44">
        <v>11.0</v>
      </c>
      <c r="K480" s="44">
        <v>10.0</v>
      </c>
      <c r="L480" s="44">
        <v>1.0</v>
      </c>
      <c r="M480" s="45">
        <v>104.1</v>
      </c>
      <c r="N480" s="46" t="s">
        <v>764</v>
      </c>
    </row>
    <row r="481" ht="15.75" customHeight="1">
      <c r="A481" s="43" t="s">
        <v>1780</v>
      </c>
      <c r="B481" s="43" t="s">
        <v>603</v>
      </c>
      <c r="C481" s="43" t="s">
        <v>495</v>
      </c>
      <c r="D481" s="43" t="s">
        <v>900</v>
      </c>
      <c r="E481" s="43" t="s">
        <v>784</v>
      </c>
      <c r="F481" s="43" t="s">
        <v>751</v>
      </c>
      <c r="G481" s="44">
        <v>2024.0</v>
      </c>
      <c r="H481" s="44">
        <v>1.0452</v>
      </c>
      <c r="I481" s="44">
        <v>1.171</v>
      </c>
      <c r="J481" s="44">
        <v>8.0</v>
      </c>
      <c r="K481" s="44">
        <v>5.0</v>
      </c>
      <c r="L481" s="44">
        <v>1.0</v>
      </c>
      <c r="M481" s="45">
        <v>95.22</v>
      </c>
      <c r="N481" s="46" t="s">
        <v>764</v>
      </c>
    </row>
    <row r="482" ht="15.75" customHeight="1">
      <c r="A482" s="43" t="s">
        <v>1781</v>
      </c>
      <c r="B482" s="43" t="s">
        <v>596</v>
      </c>
      <c r="C482" s="43" t="s">
        <v>312</v>
      </c>
      <c r="D482" s="43" t="s">
        <v>857</v>
      </c>
      <c r="E482" s="43" t="s">
        <v>749</v>
      </c>
      <c r="F482" s="43" t="s">
        <v>751</v>
      </c>
      <c r="G482" s="44">
        <v>2024.0</v>
      </c>
      <c r="H482" s="44">
        <v>0.0072</v>
      </c>
      <c r="I482" s="44">
        <v>0.0085</v>
      </c>
      <c r="J482" s="44">
        <v>2.0</v>
      </c>
      <c r="K482" s="44">
        <v>2.0</v>
      </c>
      <c r="L482" s="44">
        <v>1.0</v>
      </c>
      <c r="M482" s="45">
        <v>0.69</v>
      </c>
      <c r="N482" s="46" t="s">
        <v>764</v>
      </c>
    </row>
    <row r="483" ht="15.75" customHeight="1">
      <c r="A483" s="43" t="s">
        <v>1783</v>
      </c>
      <c r="B483" s="43" t="s">
        <v>581</v>
      </c>
      <c r="C483" s="43" t="s">
        <v>491</v>
      </c>
      <c r="D483" s="43" t="s">
        <v>777</v>
      </c>
      <c r="E483" s="43" t="s">
        <v>749</v>
      </c>
      <c r="F483" s="43" t="s">
        <v>751</v>
      </c>
      <c r="G483" s="44">
        <v>2024.0</v>
      </c>
      <c r="H483" s="44">
        <v>0.0071</v>
      </c>
      <c r="I483" s="44">
        <v>0.0089</v>
      </c>
      <c r="J483" s="44">
        <v>2.0</v>
      </c>
      <c r="K483" s="44">
        <v>1.0</v>
      </c>
      <c r="L483" s="44">
        <v>1.0</v>
      </c>
      <c r="M483" s="45">
        <v>0.44</v>
      </c>
      <c r="N483" s="46" t="s">
        <v>764</v>
      </c>
    </row>
    <row r="484" ht="15.75" customHeight="1">
      <c r="A484" s="43" t="s">
        <v>1785</v>
      </c>
      <c r="B484" s="43" t="s">
        <v>577</v>
      </c>
      <c r="C484" s="43" t="s">
        <v>286</v>
      </c>
      <c r="D484" s="43" t="s">
        <v>644</v>
      </c>
      <c r="E484" s="43" t="s">
        <v>817</v>
      </c>
      <c r="F484" s="43" t="s">
        <v>798</v>
      </c>
      <c r="G484" s="44">
        <v>2023.0</v>
      </c>
      <c r="H484" s="44">
        <v>0.0672</v>
      </c>
      <c r="I484" s="44">
        <v>0.087</v>
      </c>
      <c r="J484" s="44">
        <v>3.0</v>
      </c>
      <c r="K484" s="44">
        <v>3.0</v>
      </c>
      <c r="L484" s="44">
        <v>1.0</v>
      </c>
      <c r="M484" s="45">
        <v>0.2229</v>
      </c>
      <c r="N484" s="46" t="s">
        <v>764</v>
      </c>
    </row>
    <row r="485" ht="15.75" customHeight="1">
      <c r="A485" s="43" t="s">
        <v>1787</v>
      </c>
      <c r="B485" s="43" t="s">
        <v>577</v>
      </c>
      <c r="C485" s="43" t="s">
        <v>511</v>
      </c>
      <c r="D485" s="43" t="s">
        <v>626</v>
      </c>
      <c r="E485" s="43" t="s">
        <v>836</v>
      </c>
      <c r="F485" s="43" t="s">
        <v>798</v>
      </c>
      <c r="G485" s="44">
        <v>2023.0</v>
      </c>
      <c r="H485" s="44">
        <v>0.0669</v>
      </c>
      <c r="I485" s="44">
        <v>0.0748</v>
      </c>
      <c r="J485" s="44">
        <v>2.0</v>
      </c>
      <c r="K485" s="44">
        <v>2.0</v>
      </c>
      <c r="L485" s="44">
        <v>1.0</v>
      </c>
      <c r="M485" s="45">
        <v>0.7235</v>
      </c>
      <c r="N485" s="46" t="s">
        <v>764</v>
      </c>
    </row>
    <row r="486" ht="15.75" customHeight="1">
      <c r="A486" s="43" t="s">
        <v>1788</v>
      </c>
      <c r="B486" s="43" t="s">
        <v>581</v>
      </c>
      <c r="C486" s="43" t="s">
        <v>299</v>
      </c>
      <c r="D486" s="43" t="s">
        <v>736</v>
      </c>
      <c r="E486" s="43" t="s">
        <v>826</v>
      </c>
      <c r="F486" s="43" t="s">
        <v>751</v>
      </c>
      <c r="G486" s="44">
        <v>2024.0</v>
      </c>
      <c r="H486" s="44">
        <v>0.9035</v>
      </c>
      <c r="I486" s="44">
        <v>1.1035</v>
      </c>
      <c r="J486" s="44">
        <v>9.0</v>
      </c>
      <c r="K486" s="44">
        <v>7.0</v>
      </c>
      <c r="L486" s="44">
        <v>1.0</v>
      </c>
      <c r="M486" s="45">
        <v>81.93</v>
      </c>
      <c r="N486" s="46" t="s">
        <v>764</v>
      </c>
    </row>
    <row r="487" ht="15.75" customHeight="1">
      <c r="A487" s="43" t="s">
        <v>1790</v>
      </c>
      <c r="B487" s="43" t="s">
        <v>596</v>
      </c>
      <c r="C487" s="43" t="s">
        <v>136</v>
      </c>
      <c r="D487" s="43" t="s">
        <v>852</v>
      </c>
      <c r="E487" s="43" t="s">
        <v>784</v>
      </c>
      <c r="F487" s="43" t="s">
        <v>751</v>
      </c>
      <c r="G487" s="44">
        <v>2024.0</v>
      </c>
      <c r="H487" s="44">
        <v>0.6373</v>
      </c>
      <c r="I487" s="44">
        <v>0.7419</v>
      </c>
      <c r="J487" s="44">
        <v>7.0</v>
      </c>
      <c r="K487" s="44">
        <v>5.0</v>
      </c>
      <c r="L487" s="44">
        <v>1.0</v>
      </c>
      <c r="M487" s="45">
        <v>69.43</v>
      </c>
      <c r="N487" s="46" t="s">
        <v>764</v>
      </c>
    </row>
    <row r="488" ht="15.75" customHeight="1">
      <c r="A488" s="43" t="s">
        <v>1792</v>
      </c>
      <c r="B488" s="43" t="s">
        <v>596</v>
      </c>
      <c r="C488" s="43" t="s">
        <v>346</v>
      </c>
      <c r="D488" s="43" t="s">
        <v>873</v>
      </c>
      <c r="E488" s="43" t="s">
        <v>842</v>
      </c>
      <c r="F488" s="43" t="s">
        <v>751</v>
      </c>
      <c r="G488" s="44">
        <v>2024.0</v>
      </c>
      <c r="H488" s="44">
        <v>0.3032</v>
      </c>
      <c r="I488" s="44">
        <v>0.39</v>
      </c>
      <c r="J488" s="44">
        <v>2.0</v>
      </c>
      <c r="K488" s="44">
        <v>1.0</v>
      </c>
      <c r="L488" s="44">
        <v>1.0</v>
      </c>
      <c r="M488" s="45">
        <v>28.38</v>
      </c>
      <c r="N488" s="46" t="s">
        <v>764</v>
      </c>
    </row>
    <row r="489" ht="15.75" customHeight="1">
      <c r="A489" s="43" t="s">
        <v>1794</v>
      </c>
      <c r="B489" s="43" t="s">
        <v>605</v>
      </c>
      <c r="C489" s="43" t="s">
        <v>279</v>
      </c>
      <c r="D489" s="43" t="s">
        <v>956</v>
      </c>
      <c r="E489" s="43" t="s">
        <v>749</v>
      </c>
      <c r="F489" s="43" t="s">
        <v>751</v>
      </c>
      <c r="G489" s="44">
        <v>2024.0</v>
      </c>
      <c r="H489" s="44">
        <v>0.0097</v>
      </c>
      <c r="I489" s="44">
        <v>0.0119</v>
      </c>
      <c r="J489" s="44">
        <v>3.0</v>
      </c>
      <c r="K489" s="44">
        <v>3.0</v>
      </c>
      <c r="L489" s="44">
        <v>1.0</v>
      </c>
      <c r="M489" s="45">
        <v>0.81</v>
      </c>
      <c r="N489" s="46" t="s">
        <v>764</v>
      </c>
    </row>
    <row r="490" ht="15.75" customHeight="1">
      <c r="A490" s="43" t="s">
        <v>1795</v>
      </c>
      <c r="B490" s="43" t="s">
        <v>577</v>
      </c>
      <c r="C490" s="43" t="s">
        <v>286</v>
      </c>
      <c r="D490" s="43" t="s">
        <v>644</v>
      </c>
      <c r="E490" s="43" t="s">
        <v>842</v>
      </c>
      <c r="F490" s="43" t="s">
        <v>751</v>
      </c>
      <c r="G490" s="44">
        <v>2024.0</v>
      </c>
      <c r="H490" s="44">
        <v>0.9154</v>
      </c>
      <c r="I490" s="44">
        <v>0.9923</v>
      </c>
      <c r="J490" s="44">
        <v>8.0</v>
      </c>
      <c r="K490" s="44">
        <v>4.0</v>
      </c>
      <c r="L490" s="44">
        <v>1.0</v>
      </c>
      <c r="M490" s="45">
        <v>75.54</v>
      </c>
      <c r="N490" s="46" t="s">
        <v>764</v>
      </c>
    </row>
    <row r="491" ht="15.75" customHeight="1">
      <c r="A491" s="43" t="s">
        <v>1796</v>
      </c>
      <c r="B491" s="43" t="s">
        <v>577</v>
      </c>
      <c r="C491" s="43" t="s">
        <v>422</v>
      </c>
      <c r="D491" s="43" t="s">
        <v>688</v>
      </c>
      <c r="E491" s="43" t="s">
        <v>797</v>
      </c>
      <c r="F491" s="43" t="s">
        <v>798</v>
      </c>
      <c r="G491" s="44">
        <v>2023.0</v>
      </c>
      <c r="H491" s="44">
        <v>0.0294</v>
      </c>
      <c r="I491" s="44">
        <v>0.0358</v>
      </c>
      <c r="J491" s="44">
        <v>2.0</v>
      </c>
      <c r="K491" s="44">
        <v>1.0</v>
      </c>
      <c r="L491" s="44">
        <v>1.0</v>
      </c>
      <c r="M491" s="45">
        <v>0.1637</v>
      </c>
      <c r="N491" s="46" t="s">
        <v>764</v>
      </c>
    </row>
    <row r="492" ht="15.75" customHeight="1">
      <c r="A492" s="43" t="s">
        <v>1797</v>
      </c>
      <c r="B492" s="43" t="s">
        <v>577</v>
      </c>
      <c r="C492" s="43" t="s">
        <v>372</v>
      </c>
      <c r="D492" s="43" t="s">
        <v>673</v>
      </c>
      <c r="E492" s="43" t="s">
        <v>842</v>
      </c>
      <c r="F492" s="43" t="s">
        <v>751</v>
      </c>
      <c r="G492" s="44">
        <v>2024.0</v>
      </c>
      <c r="H492" s="44">
        <v>0.3282</v>
      </c>
      <c r="I492" s="44">
        <v>0.4188</v>
      </c>
      <c r="J492" s="44">
        <v>4.0</v>
      </c>
      <c r="K492" s="44">
        <v>3.0</v>
      </c>
      <c r="L492" s="44">
        <v>1.0</v>
      </c>
      <c r="M492" s="45">
        <v>22.63</v>
      </c>
      <c r="N492" s="46" t="s">
        <v>764</v>
      </c>
    </row>
    <row r="493" ht="15.75" customHeight="1">
      <c r="A493" s="43" t="s">
        <v>1798</v>
      </c>
      <c r="B493" s="43" t="s">
        <v>581</v>
      </c>
      <c r="C493" s="43" t="s">
        <v>503</v>
      </c>
      <c r="D493" s="43" t="s">
        <v>745</v>
      </c>
      <c r="E493" s="43" t="s">
        <v>749</v>
      </c>
      <c r="F493" s="43" t="s">
        <v>751</v>
      </c>
      <c r="G493" s="44">
        <v>2024.0</v>
      </c>
      <c r="H493" s="44">
        <v>0.0247</v>
      </c>
      <c r="I493" s="44">
        <v>0.0331</v>
      </c>
      <c r="J493" s="44">
        <v>2.0</v>
      </c>
      <c r="K493" s="44">
        <v>2.0</v>
      </c>
      <c r="L493" s="44">
        <v>1.0</v>
      </c>
      <c r="M493" s="45">
        <v>2.02</v>
      </c>
      <c r="N493" s="46" t="s">
        <v>764</v>
      </c>
    </row>
    <row r="494" ht="15.75" customHeight="1">
      <c r="A494" s="43" t="s">
        <v>1800</v>
      </c>
      <c r="B494" s="43" t="s">
        <v>581</v>
      </c>
      <c r="C494" s="43" t="s">
        <v>489</v>
      </c>
      <c r="D494" s="43" t="s">
        <v>721</v>
      </c>
      <c r="E494" s="43" t="s">
        <v>784</v>
      </c>
      <c r="F494" s="43" t="s">
        <v>751</v>
      </c>
      <c r="G494" s="44">
        <v>2024.0</v>
      </c>
      <c r="H494" s="44">
        <v>0.1168</v>
      </c>
      <c r="I494" s="44">
        <v>0.1495</v>
      </c>
      <c r="J494" s="44">
        <v>2.0</v>
      </c>
      <c r="K494" s="44">
        <v>2.0</v>
      </c>
      <c r="L494" s="44">
        <v>1.0</v>
      </c>
      <c r="M494" s="45">
        <v>15.5</v>
      </c>
      <c r="N494" s="46" t="s">
        <v>764</v>
      </c>
    </row>
    <row r="495" ht="15.75" customHeight="1">
      <c r="A495" s="43" t="s">
        <v>1802</v>
      </c>
      <c r="B495" s="43" t="s">
        <v>605</v>
      </c>
      <c r="C495" s="43" t="s">
        <v>483</v>
      </c>
      <c r="D495" s="43" t="s">
        <v>803</v>
      </c>
      <c r="E495" s="43" t="s">
        <v>817</v>
      </c>
      <c r="F495" s="43" t="s">
        <v>798</v>
      </c>
      <c r="G495" s="44">
        <v>2023.0</v>
      </c>
      <c r="H495" s="44">
        <v>0.0794</v>
      </c>
      <c r="I495" s="44">
        <v>0.1027</v>
      </c>
      <c r="J495" s="44">
        <v>4.0</v>
      </c>
      <c r="K495" s="44">
        <v>3.0</v>
      </c>
      <c r="L495" s="44">
        <v>1.0</v>
      </c>
      <c r="M495" s="45">
        <v>0.4145</v>
      </c>
      <c r="N495" s="46" t="s">
        <v>764</v>
      </c>
    </row>
    <row r="496" ht="15.75" customHeight="1">
      <c r="A496" s="43" t="s">
        <v>1803</v>
      </c>
      <c r="B496" s="43" t="s">
        <v>605</v>
      </c>
      <c r="C496" s="43" t="s">
        <v>279</v>
      </c>
      <c r="D496" s="43" t="s">
        <v>956</v>
      </c>
      <c r="E496" s="43" t="s">
        <v>842</v>
      </c>
      <c r="F496" s="43" t="s">
        <v>751</v>
      </c>
      <c r="G496" s="44">
        <v>2024.0</v>
      </c>
      <c r="H496" s="44">
        <v>0.3259</v>
      </c>
      <c r="I496" s="44">
        <v>0.4233</v>
      </c>
      <c r="J496" s="44">
        <v>5.0</v>
      </c>
      <c r="K496" s="44">
        <v>3.0</v>
      </c>
      <c r="L496" s="44">
        <v>1.0</v>
      </c>
      <c r="M496" s="45">
        <v>25.15</v>
      </c>
      <c r="N496" s="46" t="s">
        <v>764</v>
      </c>
    </row>
    <row r="497" ht="15.75" customHeight="1">
      <c r="A497" s="43" t="s">
        <v>1805</v>
      </c>
      <c r="B497" s="43" t="s">
        <v>581</v>
      </c>
      <c r="C497" s="43" t="s">
        <v>436</v>
      </c>
      <c r="D497" s="43" t="s">
        <v>793</v>
      </c>
      <c r="E497" s="43" t="s">
        <v>749</v>
      </c>
      <c r="F497" s="43" t="s">
        <v>751</v>
      </c>
      <c r="G497" s="44">
        <v>2024.0</v>
      </c>
      <c r="H497" s="44">
        <v>0.0125</v>
      </c>
      <c r="I497" s="44">
        <v>0.0158</v>
      </c>
      <c r="J497" s="44">
        <v>2.0</v>
      </c>
      <c r="K497" s="44">
        <v>2.0</v>
      </c>
      <c r="L497" s="44">
        <v>1.0</v>
      </c>
      <c r="M497" s="45">
        <v>0.9</v>
      </c>
      <c r="N497" s="46" t="s">
        <v>764</v>
      </c>
    </row>
    <row r="498" ht="15.75" customHeight="1">
      <c r="A498" s="43" t="s">
        <v>1807</v>
      </c>
      <c r="B498" s="43" t="s">
        <v>581</v>
      </c>
      <c r="C498" s="43" t="s">
        <v>123</v>
      </c>
      <c r="D498" s="43" t="s">
        <v>782</v>
      </c>
      <c r="E498" s="43" t="s">
        <v>842</v>
      </c>
      <c r="F498" s="43" t="s">
        <v>751</v>
      </c>
      <c r="G498" s="44">
        <v>2024.0</v>
      </c>
      <c r="H498" s="44">
        <v>1.707</v>
      </c>
      <c r="I498" s="44">
        <v>1.8748</v>
      </c>
      <c r="J498" s="44">
        <v>15.0</v>
      </c>
      <c r="K498" s="44">
        <v>11.0</v>
      </c>
      <c r="L498" s="44">
        <v>2.0</v>
      </c>
      <c r="M498" s="45">
        <v>147.24</v>
      </c>
      <c r="N498" s="46" t="s">
        <v>764</v>
      </c>
    </row>
    <row r="499" ht="15.75" customHeight="1">
      <c r="A499" s="43" t="s">
        <v>1809</v>
      </c>
      <c r="B499" s="43" t="s">
        <v>596</v>
      </c>
      <c r="C499" s="43" t="s">
        <v>507</v>
      </c>
      <c r="D499" s="43" t="s">
        <v>864</v>
      </c>
      <c r="E499" s="43" t="s">
        <v>817</v>
      </c>
      <c r="F499" s="43" t="s">
        <v>798</v>
      </c>
      <c r="G499" s="44">
        <v>2023.0</v>
      </c>
      <c r="H499" s="44">
        <v>0.0303</v>
      </c>
      <c r="I499" s="44">
        <v>0.0349</v>
      </c>
      <c r="J499" s="44">
        <v>2.0</v>
      </c>
      <c r="K499" s="44">
        <v>1.0</v>
      </c>
      <c r="L499" s="44">
        <v>1.0</v>
      </c>
      <c r="M499" s="45">
        <v>0.207</v>
      </c>
      <c r="N499" s="46" t="s">
        <v>764</v>
      </c>
    </row>
    <row r="500" ht="15.75" customHeight="1">
      <c r="A500" s="43" t="s">
        <v>1810</v>
      </c>
      <c r="B500" s="43" t="s">
        <v>577</v>
      </c>
      <c r="C500" s="43" t="s">
        <v>457</v>
      </c>
      <c r="D500" s="43" t="s">
        <v>621</v>
      </c>
      <c r="E500" s="43" t="s">
        <v>797</v>
      </c>
      <c r="F500" s="43" t="s">
        <v>798</v>
      </c>
      <c r="G500" s="44">
        <v>2023.0</v>
      </c>
      <c r="H500" s="44">
        <v>0.0872</v>
      </c>
      <c r="I500" s="44">
        <v>0.0993</v>
      </c>
      <c r="J500" s="44">
        <v>2.0</v>
      </c>
      <c r="K500" s="44">
        <v>1.0</v>
      </c>
      <c r="L500" s="44">
        <v>1.0</v>
      </c>
      <c r="M500" s="45">
        <v>0.4239</v>
      </c>
      <c r="N500" s="46" t="s">
        <v>764</v>
      </c>
    </row>
    <row r="501" ht="15.75" customHeight="1">
      <c r="A501" s="43" t="s">
        <v>1812</v>
      </c>
      <c r="B501" s="43" t="s">
        <v>581</v>
      </c>
      <c r="C501" s="43" t="s">
        <v>430</v>
      </c>
      <c r="D501" s="43" t="s">
        <v>741</v>
      </c>
      <c r="E501" s="43" t="s">
        <v>817</v>
      </c>
      <c r="F501" s="43" t="s">
        <v>798</v>
      </c>
      <c r="G501" s="44">
        <v>2023.0</v>
      </c>
      <c r="H501" s="44">
        <v>0.0388</v>
      </c>
      <c r="I501" s="44">
        <v>0.0444</v>
      </c>
      <c r="J501" s="44">
        <v>2.0</v>
      </c>
      <c r="K501" s="44">
        <v>2.0</v>
      </c>
      <c r="L501" s="44">
        <v>1.0</v>
      </c>
      <c r="M501" s="45">
        <v>0.1771</v>
      </c>
      <c r="N501" s="46" t="s">
        <v>764</v>
      </c>
    </row>
    <row r="502" ht="15.75" customHeight="1">
      <c r="A502" s="43" t="s">
        <v>1814</v>
      </c>
      <c r="B502" s="43" t="s">
        <v>581</v>
      </c>
      <c r="C502" s="43" t="s">
        <v>436</v>
      </c>
      <c r="D502" s="43" t="s">
        <v>793</v>
      </c>
      <c r="E502" s="43" t="s">
        <v>817</v>
      </c>
      <c r="F502" s="43" t="s">
        <v>798</v>
      </c>
      <c r="G502" s="44">
        <v>2023.0</v>
      </c>
      <c r="H502" s="44">
        <v>0.0337</v>
      </c>
      <c r="I502" s="44">
        <v>0.0454</v>
      </c>
      <c r="J502" s="44">
        <v>2.0</v>
      </c>
      <c r="K502" s="44">
        <v>1.0</v>
      </c>
      <c r="L502" s="44">
        <v>1.0</v>
      </c>
      <c r="M502" s="45">
        <v>0.1553</v>
      </c>
      <c r="N502" s="46" t="s">
        <v>764</v>
      </c>
    </row>
    <row r="503" ht="15.75" customHeight="1">
      <c r="A503" s="43" t="s">
        <v>1816</v>
      </c>
      <c r="B503" s="43" t="s">
        <v>577</v>
      </c>
      <c r="C503" s="43" t="s">
        <v>237</v>
      </c>
      <c r="D503" s="43" t="s">
        <v>669</v>
      </c>
      <c r="E503" s="43" t="s">
        <v>836</v>
      </c>
      <c r="F503" s="43" t="s">
        <v>798</v>
      </c>
      <c r="G503" s="44">
        <v>2023.0</v>
      </c>
      <c r="H503" s="44">
        <v>0.1524</v>
      </c>
      <c r="I503" s="44">
        <v>0.1888</v>
      </c>
      <c r="J503" s="44">
        <v>3.0</v>
      </c>
      <c r="K503" s="44">
        <v>2.0</v>
      </c>
      <c r="L503" s="44">
        <v>1.0</v>
      </c>
      <c r="M503" s="45">
        <v>1.8631</v>
      </c>
      <c r="N503" s="46" t="s">
        <v>764</v>
      </c>
    </row>
    <row r="504" ht="15.75" customHeight="1">
      <c r="A504" s="43" t="s">
        <v>1818</v>
      </c>
      <c r="B504" s="43" t="s">
        <v>596</v>
      </c>
      <c r="C504" s="43" t="s">
        <v>507</v>
      </c>
      <c r="D504" s="43" t="s">
        <v>864</v>
      </c>
      <c r="E504" s="43" t="s">
        <v>749</v>
      </c>
      <c r="F504" s="43" t="s">
        <v>751</v>
      </c>
      <c r="G504" s="44">
        <v>2024.0</v>
      </c>
      <c r="H504" s="44">
        <v>0.0048</v>
      </c>
      <c r="I504" s="44">
        <v>0.0054</v>
      </c>
      <c r="J504" s="44">
        <v>2.0</v>
      </c>
      <c r="K504" s="44">
        <v>2.0</v>
      </c>
      <c r="L504" s="44">
        <v>1.0</v>
      </c>
      <c r="M504" s="45">
        <v>0.41</v>
      </c>
      <c r="N504" s="46" t="s">
        <v>764</v>
      </c>
    </row>
    <row r="505" ht="15.75" customHeight="1">
      <c r="A505" s="43" t="s">
        <v>1820</v>
      </c>
      <c r="B505" s="43" t="s">
        <v>577</v>
      </c>
      <c r="C505" s="43" t="s">
        <v>51</v>
      </c>
      <c r="D505" s="43" t="s">
        <v>641</v>
      </c>
      <c r="E505" s="43" t="s">
        <v>817</v>
      </c>
      <c r="F505" s="43" t="s">
        <v>798</v>
      </c>
      <c r="G505" s="44">
        <v>2023.0</v>
      </c>
      <c r="H505" s="44">
        <v>0.0882</v>
      </c>
      <c r="I505" s="44">
        <v>0.1086</v>
      </c>
      <c r="J505" s="44">
        <v>5.0</v>
      </c>
      <c r="K505" s="44">
        <v>4.0</v>
      </c>
      <c r="L505" s="44">
        <v>1.0</v>
      </c>
      <c r="M505" s="45">
        <v>0.4361</v>
      </c>
      <c r="N505" s="46" t="s">
        <v>764</v>
      </c>
    </row>
    <row r="506" ht="15.75" customHeight="1">
      <c r="A506" s="43" t="s">
        <v>1822</v>
      </c>
      <c r="B506" s="43" t="s">
        <v>577</v>
      </c>
      <c r="C506" s="43" t="s">
        <v>499</v>
      </c>
      <c r="D506" s="43" t="s">
        <v>651</v>
      </c>
      <c r="E506" s="43" t="s">
        <v>817</v>
      </c>
      <c r="F506" s="43" t="s">
        <v>798</v>
      </c>
      <c r="G506" s="44">
        <v>2023.0</v>
      </c>
      <c r="H506" s="44">
        <v>0.0914</v>
      </c>
      <c r="I506" s="44">
        <v>0.1164</v>
      </c>
      <c r="J506" s="44">
        <v>2.0</v>
      </c>
      <c r="K506" s="44">
        <v>1.0</v>
      </c>
      <c r="L506" s="44">
        <v>1.0</v>
      </c>
      <c r="M506" s="45">
        <v>0.4024</v>
      </c>
      <c r="N506" s="46" t="s">
        <v>764</v>
      </c>
    </row>
    <row r="507" ht="15.75" customHeight="1">
      <c r="A507" s="43" t="s">
        <v>1823</v>
      </c>
      <c r="B507" s="43" t="s">
        <v>577</v>
      </c>
      <c r="C507" s="43" t="s">
        <v>463</v>
      </c>
      <c r="D507" s="43" t="s">
        <v>662</v>
      </c>
      <c r="E507" s="43" t="s">
        <v>784</v>
      </c>
      <c r="F507" s="43" t="s">
        <v>751</v>
      </c>
      <c r="G507" s="44">
        <v>2024.0</v>
      </c>
      <c r="H507" s="44">
        <v>1.1912</v>
      </c>
      <c r="I507" s="44">
        <v>1.3891</v>
      </c>
      <c r="J507" s="44">
        <v>14.0</v>
      </c>
      <c r="K507" s="44">
        <v>9.0</v>
      </c>
      <c r="L507" s="44">
        <v>2.0</v>
      </c>
      <c r="M507" s="45">
        <v>97.95</v>
      </c>
      <c r="N507" s="46" t="s">
        <v>764</v>
      </c>
    </row>
    <row r="508" ht="15.75" customHeight="1">
      <c r="A508" s="43" t="s">
        <v>1825</v>
      </c>
      <c r="B508" s="43" t="s">
        <v>581</v>
      </c>
      <c r="C508" s="43" t="s">
        <v>503</v>
      </c>
      <c r="D508" s="43" t="s">
        <v>745</v>
      </c>
      <c r="E508" s="43" t="s">
        <v>826</v>
      </c>
      <c r="F508" s="43" t="s">
        <v>751</v>
      </c>
      <c r="G508" s="44">
        <v>2024.0</v>
      </c>
      <c r="H508" s="44">
        <v>2.136</v>
      </c>
      <c r="I508" s="44">
        <v>2.5832</v>
      </c>
      <c r="J508" s="44">
        <v>19.0</v>
      </c>
      <c r="K508" s="44">
        <v>14.0</v>
      </c>
      <c r="L508" s="44">
        <v>2.0</v>
      </c>
      <c r="M508" s="45">
        <v>146.71</v>
      </c>
      <c r="N508" s="46" t="s">
        <v>764</v>
      </c>
    </row>
    <row r="509" ht="15.75" customHeight="1">
      <c r="A509" s="43" t="s">
        <v>1827</v>
      </c>
      <c r="B509" s="43" t="s">
        <v>596</v>
      </c>
      <c r="C509" s="43" t="s">
        <v>211</v>
      </c>
      <c r="D509" s="43" t="s">
        <v>868</v>
      </c>
      <c r="E509" s="43" t="s">
        <v>784</v>
      </c>
      <c r="F509" s="43" t="s">
        <v>751</v>
      </c>
      <c r="G509" s="44">
        <v>2024.0</v>
      </c>
      <c r="H509" s="44">
        <v>1.9433</v>
      </c>
      <c r="I509" s="44">
        <v>2.4903</v>
      </c>
      <c r="J509" s="44">
        <v>18.0</v>
      </c>
      <c r="K509" s="44">
        <v>13.0</v>
      </c>
      <c r="L509" s="44">
        <v>2.0</v>
      </c>
      <c r="M509" s="45">
        <v>141.06</v>
      </c>
      <c r="N509" s="46" t="s">
        <v>764</v>
      </c>
    </row>
    <row r="510" ht="15.75" customHeight="1">
      <c r="A510" s="43" t="s">
        <v>1829</v>
      </c>
      <c r="B510" s="43" t="s">
        <v>596</v>
      </c>
      <c r="C510" s="43" t="s">
        <v>392</v>
      </c>
      <c r="D510" s="43" t="s">
        <v>838</v>
      </c>
      <c r="E510" s="43" t="s">
        <v>817</v>
      </c>
      <c r="F510" s="43" t="s">
        <v>798</v>
      </c>
      <c r="G510" s="44">
        <v>2023.0</v>
      </c>
      <c r="H510" s="44">
        <v>0.1558</v>
      </c>
      <c r="I510" s="44">
        <v>0.1815</v>
      </c>
      <c r="J510" s="44">
        <v>4.0</v>
      </c>
      <c r="K510" s="44">
        <v>3.0</v>
      </c>
      <c r="L510" s="44">
        <v>1.0</v>
      </c>
      <c r="M510" s="45">
        <v>0.6898</v>
      </c>
      <c r="N510" s="46" t="s">
        <v>764</v>
      </c>
    </row>
    <row r="511" ht="15.75" customHeight="1">
      <c r="A511" s="43" t="s">
        <v>1830</v>
      </c>
      <c r="B511" s="43" t="s">
        <v>577</v>
      </c>
      <c r="C511" s="43" t="s">
        <v>328</v>
      </c>
      <c r="D511" s="43" t="s">
        <v>699</v>
      </c>
      <c r="E511" s="43" t="s">
        <v>784</v>
      </c>
      <c r="F511" s="43" t="s">
        <v>751</v>
      </c>
      <c r="G511" s="44">
        <v>2024.0</v>
      </c>
      <c r="H511" s="44">
        <v>0.3725</v>
      </c>
      <c r="I511" s="44">
        <v>0.4385</v>
      </c>
      <c r="J511" s="44">
        <v>2.0</v>
      </c>
      <c r="K511" s="44">
        <v>1.0</v>
      </c>
      <c r="L511" s="44">
        <v>1.0</v>
      </c>
      <c r="M511" s="45">
        <v>33.17</v>
      </c>
      <c r="N511" s="46" t="s">
        <v>764</v>
      </c>
    </row>
    <row r="512" ht="15.75" customHeight="1">
      <c r="A512" s="43" t="s">
        <v>1832</v>
      </c>
      <c r="B512" s="43" t="s">
        <v>577</v>
      </c>
      <c r="C512" s="43" t="s">
        <v>185</v>
      </c>
      <c r="D512" s="43" t="s">
        <v>695</v>
      </c>
      <c r="E512" s="43" t="s">
        <v>749</v>
      </c>
      <c r="F512" s="43" t="s">
        <v>751</v>
      </c>
      <c r="G512" s="44">
        <v>2024.0</v>
      </c>
      <c r="H512" s="44">
        <v>0.0206</v>
      </c>
      <c r="I512" s="44">
        <v>0.0273</v>
      </c>
      <c r="J512" s="44">
        <v>2.0</v>
      </c>
      <c r="K512" s="44">
        <v>2.0</v>
      </c>
      <c r="L512" s="44">
        <v>1.0</v>
      </c>
      <c r="M512" s="71">
        <v>1.88</v>
      </c>
      <c r="N512" s="72" t="s">
        <v>764</v>
      </c>
    </row>
    <row r="513" ht="15.75" customHeight="1"/>
    <row r="514" ht="15.75" customHeight="1"/>
    <row r="515" ht="15.75" customHeight="1"/>
    <row r="516" ht="15.75" customHeight="1"/>
    <row r="517" ht="15.75" customHeight="1">
      <c r="A517" s="25"/>
    </row>
    <row r="518" ht="15.75" customHeight="1">
      <c r="A518" s="25"/>
    </row>
    <row r="519" ht="15.75" customHeight="1">
      <c r="A519" s="25"/>
    </row>
    <row r="520" ht="15.75" customHeight="1">
      <c r="A520" s="25"/>
    </row>
    <row r="521" ht="15.75" customHeight="1">
      <c r="A521" s="25"/>
    </row>
    <row r="522" ht="15.75" customHeight="1">
      <c r="A522" s="25"/>
    </row>
    <row r="523" ht="15.75" customHeight="1">
      <c r="A523" s="25"/>
    </row>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1" width="23.5"/>
    <col customWidth="1" min="12" max="12" width="45.88"/>
    <col customWidth="1" min="13" max="19" width="23.5"/>
  </cols>
  <sheetData>
    <row r="1" ht="15.75" customHeight="1">
      <c r="A1" s="22" t="s">
        <v>539</v>
      </c>
      <c r="B1" s="22" t="s">
        <v>540</v>
      </c>
      <c r="C1" s="22" t="s">
        <v>541</v>
      </c>
      <c r="D1" s="22" t="s">
        <v>542</v>
      </c>
      <c r="E1" s="22" t="s">
        <v>543</v>
      </c>
      <c r="F1" s="22" t="s">
        <v>544</v>
      </c>
      <c r="G1" s="22" t="s">
        <v>545</v>
      </c>
      <c r="H1" s="22" t="s">
        <v>10</v>
      </c>
      <c r="I1" s="22" t="s">
        <v>546</v>
      </c>
      <c r="J1" s="22" t="s">
        <v>547</v>
      </c>
      <c r="L1" s="7"/>
      <c r="M1" s="29">
        <v>2020.0</v>
      </c>
      <c r="N1" s="29">
        <v>2021.0</v>
      </c>
      <c r="O1" s="29">
        <v>2022.0</v>
      </c>
      <c r="P1" s="29">
        <v>2023.0</v>
      </c>
      <c r="Q1" s="29">
        <v>2024.0</v>
      </c>
      <c r="R1" s="29">
        <v>2025.0</v>
      </c>
      <c r="S1" s="29" t="s">
        <v>837</v>
      </c>
    </row>
    <row r="2" ht="15.75" customHeight="1">
      <c r="A2" s="25" t="s">
        <v>548</v>
      </c>
      <c r="B2" s="25" t="s">
        <v>38</v>
      </c>
      <c r="C2" s="26">
        <v>43831.0</v>
      </c>
      <c r="D2" s="27" t="s">
        <v>41</v>
      </c>
      <c r="E2" s="21">
        <v>10.0</v>
      </c>
      <c r="F2" s="21">
        <v>45000.0</v>
      </c>
      <c r="G2" s="21">
        <f t="shared" ref="G2:G793" si="1">E2*F2</f>
        <v>450000</v>
      </c>
      <c r="H2" s="21" t="s">
        <v>549</v>
      </c>
      <c r="I2" s="21" t="s">
        <v>550</v>
      </c>
      <c r="J2" s="25" t="s">
        <v>71</v>
      </c>
      <c r="L2" s="55" t="s">
        <v>41</v>
      </c>
      <c r="M2" s="7">
        <f>sum(E2:E13)</f>
        <v>191</v>
      </c>
      <c r="N2" s="7">
        <f>sum(E134:E145)</f>
        <v>211</v>
      </c>
      <c r="O2" s="7">
        <f>SUM(E266:E277)</f>
        <v>348</v>
      </c>
      <c r="P2" s="7">
        <f>SUM(E398:E409)</f>
        <v>345</v>
      </c>
      <c r="Q2" s="7">
        <f>SUM(E530:E541)</f>
        <v>410</v>
      </c>
      <c r="R2" s="7">
        <f>SUM(E662:E673)</f>
        <v>533</v>
      </c>
      <c r="S2" s="38">
        <f t="shared" ref="S2:S12" si="2">SUM(M2:R2)</f>
        <v>2038</v>
      </c>
    </row>
    <row r="3" ht="15.75" customHeight="1">
      <c r="A3" s="25" t="s">
        <v>551</v>
      </c>
      <c r="B3" s="25" t="s">
        <v>38</v>
      </c>
      <c r="C3" s="26">
        <v>43862.0</v>
      </c>
      <c r="D3" s="27" t="s">
        <v>41</v>
      </c>
      <c r="E3" s="21">
        <v>13.0</v>
      </c>
      <c r="F3" s="21">
        <v>45000.0</v>
      </c>
      <c r="G3" s="21">
        <f t="shared" si="1"/>
        <v>585000</v>
      </c>
      <c r="H3" s="21" t="s">
        <v>549</v>
      </c>
      <c r="I3" s="21" t="s">
        <v>550</v>
      </c>
      <c r="J3" s="25" t="s">
        <v>71</v>
      </c>
      <c r="L3" s="55" t="s">
        <v>42</v>
      </c>
      <c r="M3" s="7">
        <f>sum(E14:E25)</f>
        <v>37</v>
      </c>
      <c r="N3" s="7">
        <f>sum(E146:E157)</f>
        <v>42</v>
      </c>
      <c r="O3" s="7">
        <f>SUM(E278:E289)</f>
        <v>59</v>
      </c>
      <c r="P3" s="7">
        <f>SUM(E410:E421)</f>
        <v>88</v>
      </c>
      <c r="Q3" s="7">
        <f>SUM(E542:E553)</f>
        <v>71</v>
      </c>
      <c r="R3" s="7">
        <f>SUM(E674:E685)</f>
        <v>120</v>
      </c>
      <c r="S3" s="38">
        <f t="shared" si="2"/>
        <v>417</v>
      </c>
    </row>
    <row r="4" ht="15.75" customHeight="1">
      <c r="A4" s="25" t="s">
        <v>552</v>
      </c>
      <c r="B4" s="25" t="s">
        <v>38</v>
      </c>
      <c r="C4" s="26">
        <v>43891.0</v>
      </c>
      <c r="D4" s="27" t="s">
        <v>41</v>
      </c>
      <c r="E4" s="21">
        <v>14.0</v>
      </c>
      <c r="F4" s="21">
        <v>45000.0</v>
      </c>
      <c r="G4" s="21">
        <f t="shared" si="1"/>
        <v>630000</v>
      </c>
      <c r="H4" s="21" t="s">
        <v>549</v>
      </c>
      <c r="I4" s="21" t="s">
        <v>550</v>
      </c>
      <c r="J4" s="25" t="s">
        <v>71</v>
      </c>
      <c r="L4" s="55" t="s">
        <v>84</v>
      </c>
      <c r="M4" s="7">
        <f>sum(E26:E37)</f>
        <v>87</v>
      </c>
      <c r="N4" s="7">
        <f>sum(E158:E169)</f>
        <v>100</v>
      </c>
      <c r="O4" s="7">
        <f>SUM(E290:E301)</f>
        <v>153</v>
      </c>
      <c r="P4" s="7">
        <f>SUM(E422:E433)</f>
        <v>140</v>
      </c>
      <c r="Q4" s="7">
        <f>SUM(E554:E565)</f>
        <v>240</v>
      </c>
      <c r="R4" s="7">
        <f>SUM(E686:E697)</f>
        <v>330</v>
      </c>
      <c r="S4" s="38">
        <f t="shared" si="2"/>
        <v>1050</v>
      </c>
    </row>
    <row r="5" ht="15.75" customHeight="1">
      <c r="A5" s="25" t="s">
        <v>553</v>
      </c>
      <c r="B5" s="25" t="s">
        <v>38</v>
      </c>
      <c r="C5" s="26">
        <v>43922.0</v>
      </c>
      <c r="D5" s="27" t="s">
        <v>41</v>
      </c>
      <c r="E5" s="21">
        <v>13.0</v>
      </c>
      <c r="F5" s="21">
        <v>45000.0</v>
      </c>
      <c r="G5" s="21">
        <f t="shared" si="1"/>
        <v>585000</v>
      </c>
      <c r="H5" s="21" t="s">
        <v>549</v>
      </c>
      <c r="I5" s="21" t="s">
        <v>550</v>
      </c>
      <c r="J5" s="25" t="s">
        <v>71</v>
      </c>
      <c r="L5" s="55" t="s">
        <v>99</v>
      </c>
      <c r="M5" s="7">
        <f>sum(E38:E49)</f>
        <v>8</v>
      </c>
      <c r="N5" s="7">
        <f>sum(E170:E181)</f>
        <v>10</v>
      </c>
      <c r="O5" s="7">
        <f>SUM(E302:E313)</f>
        <v>12</v>
      </c>
      <c r="P5" s="7">
        <f>SUM(E434:E445)</f>
        <v>14</v>
      </c>
      <c r="Q5" s="7">
        <f>SUM(E566:E577)</f>
        <v>39</v>
      </c>
      <c r="R5" s="7">
        <f>SUM(E698:E709)</f>
        <v>18</v>
      </c>
      <c r="S5" s="38">
        <f t="shared" si="2"/>
        <v>101</v>
      </c>
    </row>
    <row r="6" ht="15.75" customHeight="1">
      <c r="A6" s="25" t="s">
        <v>554</v>
      </c>
      <c r="B6" s="25" t="s">
        <v>38</v>
      </c>
      <c r="C6" s="26">
        <v>43952.0</v>
      </c>
      <c r="D6" s="27" t="s">
        <v>41</v>
      </c>
      <c r="E6" s="21">
        <v>15.0</v>
      </c>
      <c r="F6" s="21">
        <v>45000.0</v>
      </c>
      <c r="G6" s="21">
        <f t="shared" si="1"/>
        <v>675000</v>
      </c>
      <c r="H6" s="21" t="s">
        <v>549</v>
      </c>
      <c r="I6" s="21" t="s">
        <v>550</v>
      </c>
      <c r="J6" s="25" t="s">
        <v>71</v>
      </c>
      <c r="L6" s="55" t="s">
        <v>112</v>
      </c>
      <c r="M6" s="7">
        <f>sum(E50:E61)</f>
        <v>14</v>
      </c>
      <c r="N6" s="7">
        <f>sum(E182:E193)</f>
        <v>16</v>
      </c>
      <c r="O6" s="7">
        <f>SUM(E314:E325)</f>
        <v>19</v>
      </c>
      <c r="P6" s="7">
        <f>SUM(E446:E457)</f>
        <v>22</v>
      </c>
      <c r="Q6" s="7">
        <f>SUM(E578:E589)</f>
        <v>31</v>
      </c>
      <c r="R6" s="7">
        <f>SUM(E710:E721)</f>
        <v>54</v>
      </c>
      <c r="S6" s="38">
        <f t="shared" si="2"/>
        <v>156</v>
      </c>
    </row>
    <row r="7" ht="15.75" customHeight="1">
      <c r="A7" s="25" t="s">
        <v>555</v>
      </c>
      <c r="B7" s="25" t="s">
        <v>38</v>
      </c>
      <c r="C7" s="26">
        <v>43983.0</v>
      </c>
      <c r="D7" s="27" t="s">
        <v>41</v>
      </c>
      <c r="E7" s="21">
        <v>13.0</v>
      </c>
      <c r="F7" s="21">
        <v>45000.0</v>
      </c>
      <c r="G7" s="21">
        <f t="shared" si="1"/>
        <v>585000</v>
      </c>
      <c r="H7" s="21" t="s">
        <v>549</v>
      </c>
      <c r="I7" s="21" t="s">
        <v>550</v>
      </c>
      <c r="J7" s="25" t="s">
        <v>71</v>
      </c>
      <c r="L7" s="55" t="s">
        <v>125</v>
      </c>
      <c r="M7" s="7">
        <f>sum(E62:E73)</f>
        <v>9</v>
      </c>
      <c r="N7" s="7">
        <f>sum(E194:E205)</f>
        <v>11</v>
      </c>
      <c r="O7" s="7">
        <f>SUM(E326:E337)</f>
        <v>13</v>
      </c>
      <c r="P7" s="7">
        <f>SUM(E458:E469)</f>
        <v>17</v>
      </c>
      <c r="Q7" s="7">
        <f>SUM(E590:E601)</f>
        <v>26</v>
      </c>
      <c r="R7" s="7">
        <f>SUM(E722:E733)</f>
        <v>33</v>
      </c>
      <c r="S7" s="38">
        <f t="shared" si="2"/>
        <v>109</v>
      </c>
    </row>
    <row r="8" ht="15.75" customHeight="1">
      <c r="A8" s="25" t="s">
        <v>556</v>
      </c>
      <c r="B8" s="25" t="s">
        <v>38</v>
      </c>
      <c r="C8" s="26">
        <v>44013.0</v>
      </c>
      <c r="D8" s="27" t="s">
        <v>41</v>
      </c>
      <c r="E8" s="21">
        <v>14.0</v>
      </c>
      <c r="F8" s="21">
        <v>45000.0</v>
      </c>
      <c r="G8" s="21">
        <f t="shared" si="1"/>
        <v>630000</v>
      </c>
      <c r="H8" s="21" t="s">
        <v>549</v>
      </c>
      <c r="I8" s="21" t="s">
        <v>550</v>
      </c>
      <c r="J8" s="25" t="s">
        <v>71</v>
      </c>
      <c r="L8" s="55" t="s">
        <v>140</v>
      </c>
      <c r="M8" s="7">
        <f>sum(E74:E85)</f>
        <v>3</v>
      </c>
      <c r="N8" s="7">
        <f>sum(E206:E217)</f>
        <v>4</v>
      </c>
      <c r="O8" s="7">
        <f>SUM(E206:E217)</f>
        <v>4</v>
      </c>
      <c r="P8" s="7">
        <f>SUM(E470:E481)</f>
        <v>5</v>
      </c>
      <c r="Q8" s="7">
        <f>SUM(E602:E613)</f>
        <v>9</v>
      </c>
      <c r="R8" s="7">
        <f>SUM(E734:E745)</f>
        <v>13</v>
      </c>
      <c r="S8" s="38">
        <f t="shared" si="2"/>
        <v>38</v>
      </c>
    </row>
    <row r="9" ht="15.75" customHeight="1">
      <c r="A9" s="25" t="s">
        <v>557</v>
      </c>
      <c r="B9" s="25" t="s">
        <v>38</v>
      </c>
      <c r="C9" s="26">
        <v>44044.0</v>
      </c>
      <c r="D9" s="27" t="s">
        <v>41</v>
      </c>
      <c r="E9" s="21">
        <v>20.0</v>
      </c>
      <c r="F9" s="21">
        <v>45000.0</v>
      </c>
      <c r="G9" s="21">
        <f t="shared" si="1"/>
        <v>900000</v>
      </c>
      <c r="H9" s="21" t="s">
        <v>549</v>
      </c>
      <c r="I9" s="21" t="s">
        <v>550</v>
      </c>
      <c r="J9" s="25" t="s">
        <v>71</v>
      </c>
      <c r="L9" s="55" t="s">
        <v>151</v>
      </c>
      <c r="M9" s="7">
        <f>SUM(E86:E97)</f>
        <v>3</v>
      </c>
      <c r="N9" s="7">
        <f>sum(E218:E229)</f>
        <v>3</v>
      </c>
      <c r="O9" s="7">
        <f>SUM(E350:E361)</f>
        <v>4</v>
      </c>
      <c r="P9" s="7">
        <f>SUM(E482:E493)</f>
        <v>4</v>
      </c>
      <c r="Q9" s="7">
        <f>SUM(E614:E625)</f>
        <v>9</v>
      </c>
      <c r="R9" s="7">
        <f>SUM(E746:E757)</f>
        <v>9</v>
      </c>
      <c r="S9" s="38">
        <f t="shared" si="2"/>
        <v>32</v>
      </c>
    </row>
    <row r="10" ht="15.75" customHeight="1">
      <c r="A10" s="25" t="s">
        <v>561</v>
      </c>
      <c r="B10" s="25" t="s">
        <v>38</v>
      </c>
      <c r="C10" s="26">
        <v>44075.0</v>
      </c>
      <c r="D10" s="27" t="s">
        <v>41</v>
      </c>
      <c r="E10" s="21">
        <v>13.0</v>
      </c>
      <c r="F10" s="21">
        <v>45000.0</v>
      </c>
      <c r="G10" s="21">
        <f t="shared" si="1"/>
        <v>585000</v>
      </c>
      <c r="H10" s="21" t="s">
        <v>549</v>
      </c>
      <c r="I10" s="21" t="s">
        <v>550</v>
      </c>
      <c r="J10" s="25" t="s">
        <v>71</v>
      </c>
      <c r="L10" s="55" t="s">
        <v>165</v>
      </c>
      <c r="M10" s="7">
        <f>sum(E98:E109)</f>
        <v>2</v>
      </c>
      <c r="N10" s="7">
        <f>sum(E230:E241)</f>
        <v>3</v>
      </c>
      <c r="O10" s="7">
        <f>SUM(E362:E373)</f>
        <v>4</v>
      </c>
      <c r="P10" s="7">
        <f>SUM(E494:E505)</f>
        <v>4</v>
      </c>
      <c r="Q10" s="7">
        <f>SUM(E626:E637)</f>
        <v>8</v>
      </c>
      <c r="R10" s="7">
        <f>SUM(E758:E769)</f>
        <v>9</v>
      </c>
      <c r="S10" s="38">
        <f t="shared" si="2"/>
        <v>30</v>
      </c>
    </row>
    <row r="11" ht="15.75" customHeight="1">
      <c r="A11" s="25" t="s">
        <v>571</v>
      </c>
      <c r="B11" s="25" t="s">
        <v>38</v>
      </c>
      <c r="C11" s="26">
        <v>44105.0</v>
      </c>
      <c r="D11" s="27" t="s">
        <v>41</v>
      </c>
      <c r="E11" s="21">
        <v>25.0</v>
      </c>
      <c r="F11" s="21">
        <v>45000.0</v>
      </c>
      <c r="G11" s="21">
        <f t="shared" si="1"/>
        <v>1125000</v>
      </c>
      <c r="H11" s="21" t="s">
        <v>549</v>
      </c>
      <c r="I11" s="21" t="s">
        <v>550</v>
      </c>
      <c r="J11" s="25" t="s">
        <v>71</v>
      </c>
      <c r="L11" s="55" t="s">
        <v>176</v>
      </c>
      <c r="M11" s="7">
        <f>sum(E110:E121)</f>
        <v>13</v>
      </c>
      <c r="N11" s="7">
        <f>sum(E242:E253)</f>
        <v>16</v>
      </c>
      <c r="O11" s="7">
        <f>SUM(E374:E385)</f>
        <v>19</v>
      </c>
      <c r="P11" s="7">
        <f>SUM(E506:E517)</f>
        <v>32</v>
      </c>
      <c r="Q11" s="7">
        <f>SUM(E638:E649)</f>
        <v>31</v>
      </c>
      <c r="R11" s="7">
        <f>SUM(E770:E781)</f>
        <v>48</v>
      </c>
      <c r="S11" s="38">
        <f t="shared" si="2"/>
        <v>159</v>
      </c>
    </row>
    <row r="12" ht="15.75" customHeight="1">
      <c r="A12" s="25" t="s">
        <v>578</v>
      </c>
      <c r="B12" s="25" t="s">
        <v>38</v>
      </c>
      <c r="C12" s="26">
        <v>44136.0</v>
      </c>
      <c r="D12" s="27" t="s">
        <v>41</v>
      </c>
      <c r="E12" s="21">
        <v>27.0</v>
      </c>
      <c r="F12" s="21">
        <v>45000.0</v>
      </c>
      <c r="G12" s="21">
        <f t="shared" si="1"/>
        <v>1215000</v>
      </c>
      <c r="H12" s="21" t="s">
        <v>549</v>
      </c>
      <c r="I12" s="21" t="s">
        <v>550</v>
      </c>
      <c r="J12" s="25" t="s">
        <v>71</v>
      </c>
      <c r="L12" s="55" t="s">
        <v>189</v>
      </c>
      <c r="M12" s="7">
        <f>sum(E122:E133)</f>
        <v>5</v>
      </c>
      <c r="N12" s="7">
        <f>sum(E254:E265)</f>
        <v>8</v>
      </c>
      <c r="O12" s="7">
        <f>SUM(E386:E397)</f>
        <v>7</v>
      </c>
      <c r="P12" s="7">
        <f>SUM(E518:E529)</f>
        <v>8</v>
      </c>
      <c r="Q12" s="7">
        <f>SUM(E650:E661)</f>
        <v>13</v>
      </c>
      <c r="R12" s="7">
        <f>SUM(E782:E793)</f>
        <v>18</v>
      </c>
      <c r="S12" s="38">
        <f t="shared" si="2"/>
        <v>59</v>
      </c>
    </row>
    <row r="13" ht="15.75" customHeight="1">
      <c r="A13" s="25" t="s">
        <v>585</v>
      </c>
      <c r="B13" s="25" t="s">
        <v>38</v>
      </c>
      <c r="C13" s="26">
        <v>44166.0</v>
      </c>
      <c r="D13" s="27" t="s">
        <v>41</v>
      </c>
      <c r="E13" s="21">
        <v>14.0</v>
      </c>
      <c r="F13" s="21">
        <v>45000.0</v>
      </c>
      <c r="G13" s="21">
        <f t="shared" si="1"/>
        <v>630000</v>
      </c>
      <c r="H13" s="21" t="s">
        <v>549</v>
      </c>
      <c r="I13" s="21" t="s">
        <v>550</v>
      </c>
      <c r="J13" s="25" t="s">
        <v>71</v>
      </c>
      <c r="L13" s="65" t="s">
        <v>837</v>
      </c>
      <c r="M13" s="38">
        <f t="shared" ref="M13:R13" si="3">SUM(M2:M12)</f>
        <v>372</v>
      </c>
      <c r="N13" s="38">
        <f t="shared" si="3"/>
        <v>424</v>
      </c>
      <c r="O13" s="38">
        <f t="shared" si="3"/>
        <v>642</v>
      </c>
      <c r="P13" s="38">
        <f t="shared" si="3"/>
        <v>679</v>
      </c>
      <c r="Q13" s="38">
        <f t="shared" si="3"/>
        <v>887</v>
      </c>
      <c r="R13" s="38">
        <f t="shared" si="3"/>
        <v>1185</v>
      </c>
      <c r="S13" s="7"/>
    </row>
    <row r="14" ht="15.75" customHeight="1">
      <c r="A14" s="25" t="s">
        <v>593</v>
      </c>
      <c r="B14" s="25" t="s">
        <v>40</v>
      </c>
      <c r="C14" s="26">
        <v>43831.0</v>
      </c>
      <c r="D14" s="27" t="s">
        <v>42</v>
      </c>
      <c r="E14" s="21">
        <v>3.0</v>
      </c>
      <c r="F14" s="21">
        <v>45500.0</v>
      </c>
      <c r="G14" s="21">
        <f t="shared" si="1"/>
        <v>136500</v>
      </c>
      <c r="H14" s="21" t="s">
        <v>549</v>
      </c>
      <c r="I14" s="21" t="s">
        <v>550</v>
      </c>
      <c r="J14" s="25" t="s">
        <v>71</v>
      </c>
    </row>
    <row r="15" ht="15.75" customHeight="1">
      <c r="A15" s="25" t="s">
        <v>604</v>
      </c>
      <c r="B15" s="25" t="s">
        <v>40</v>
      </c>
      <c r="C15" s="26">
        <v>43862.0</v>
      </c>
      <c r="D15" s="27" t="s">
        <v>42</v>
      </c>
      <c r="E15" s="21">
        <v>2.0</v>
      </c>
      <c r="F15" s="21">
        <v>45500.0</v>
      </c>
      <c r="G15" s="21">
        <f t="shared" si="1"/>
        <v>91000</v>
      </c>
      <c r="H15" s="21" t="s">
        <v>549</v>
      </c>
      <c r="I15" s="21" t="s">
        <v>550</v>
      </c>
      <c r="J15" s="25" t="s">
        <v>71</v>
      </c>
      <c r="L15" s="34" t="s">
        <v>1096</v>
      </c>
    </row>
    <row r="16" ht="15.75" customHeight="1">
      <c r="A16" s="25" t="s">
        <v>612</v>
      </c>
      <c r="B16" s="25" t="s">
        <v>40</v>
      </c>
      <c r="C16" s="26">
        <v>43891.0</v>
      </c>
      <c r="D16" s="27" t="s">
        <v>42</v>
      </c>
      <c r="E16" s="21">
        <v>3.0</v>
      </c>
      <c r="F16" s="21">
        <v>45500.0</v>
      </c>
      <c r="G16" s="21">
        <f t="shared" si="1"/>
        <v>136500</v>
      </c>
      <c r="H16" s="21" t="s">
        <v>549</v>
      </c>
      <c r="I16" s="21" t="s">
        <v>550</v>
      </c>
      <c r="J16" s="25" t="s">
        <v>71</v>
      </c>
    </row>
    <row r="17" ht="15.75" customHeight="1">
      <c r="A17" s="25" t="s">
        <v>613</v>
      </c>
      <c r="B17" s="25" t="s">
        <v>40</v>
      </c>
      <c r="C17" s="26">
        <v>43922.0</v>
      </c>
      <c r="D17" s="27" t="s">
        <v>42</v>
      </c>
      <c r="E17" s="21">
        <v>3.0</v>
      </c>
      <c r="F17" s="21">
        <v>45500.0</v>
      </c>
      <c r="G17" s="21">
        <f t="shared" si="1"/>
        <v>136500</v>
      </c>
      <c r="H17" s="21" t="s">
        <v>549</v>
      </c>
      <c r="I17" s="21" t="s">
        <v>550</v>
      </c>
      <c r="J17" s="25" t="s">
        <v>71</v>
      </c>
    </row>
    <row r="18" ht="15.75" customHeight="1">
      <c r="A18" s="25" t="s">
        <v>614</v>
      </c>
      <c r="B18" s="25" t="s">
        <v>40</v>
      </c>
      <c r="C18" s="26">
        <v>43952.0</v>
      </c>
      <c r="D18" s="27" t="s">
        <v>42</v>
      </c>
      <c r="E18" s="21">
        <v>5.0</v>
      </c>
      <c r="F18" s="21">
        <v>45500.0</v>
      </c>
      <c r="G18" s="21">
        <f t="shared" si="1"/>
        <v>227500</v>
      </c>
      <c r="H18" s="21" t="s">
        <v>549</v>
      </c>
      <c r="I18" s="21" t="s">
        <v>550</v>
      </c>
      <c r="J18" s="25" t="s">
        <v>71</v>
      </c>
    </row>
    <row r="19" ht="15.75" customHeight="1">
      <c r="A19" s="25" t="s">
        <v>615</v>
      </c>
      <c r="B19" s="25" t="s">
        <v>40</v>
      </c>
      <c r="C19" s="26">
        <v>43983.0</v>
      </c>
      <c r="D19" s="27" t="s">
        <v>42</v>
      </c>
      <c r="E19" s="21">
        <v>2.0</v>
      </c>
      <c r="F19" s="21">
        <v>45500.0</v>
      </c>
      <c r="G19" s="21">
        <f t="shared" si="1"/>
        <v>91000</v>
      </c>
      <c r="H19" s="21" t="s">
        <v>549</v>
      </c>
      <c r="I19" s="21" t="s">
        <v>550</v>
      </c>
      <c r="J19" s="25" t="s">
        <v>71</v>
      </c>
    </row>
    <row r="20" ht="15.75" customHeight="1">
      <c r="A20" s="25" t="s">
        <v>616</v>
      </c>
      <c r="B20" s="25" t="s">
        <v>40</v>
      </c>
      <c r="C20" s="26">
        <v>44013.0</v>
      </c>
      <c r="D20" s="27" t="s">
        <v>42</v>
      </c>
      <c r="E20" s="21">
        <v>3.0</v>
      </c>
      <c r="F20" s="21">
        <v>45500.0</v>
      </c>
      <c r="G20" s="21">
        <f t="shared" si="1"/>
        <v>136500</v>
      </c>
      <c r="H20" s="21" t="s">
        <v>549</v>
      </c>
      <c r="I20" s="21" t="s">
        <v>550</v>
      </c>
      <c r="J20" s="25" t="s">
        <v>71</v>
      </c>
    </row>
    <row r="21" ht="15.75" customHeight="1">
      <c r="A21" s="25" t="s">
        <v>617</v>
      </c>
      <c r="B21" s="25" t="s">
        <v>40</v>
      </c>
      <c r="C21" s="26">
        <v>44044.0</v>
      </c>
      <c r="D21" s="27" t="s">
        <v>42</v>
      </c>
      <c r="E21" s="21">
        <v>2.0</v>
      </c>
      <c r="F21" s="21">
        <v>45500.0</v>
      </c>
      <c r="G21" s="21">
        <f t="shared" si="1"/>
        <v>91000</v>
      </c>
      <c r="H21" s="21" t="s">
        <v>549</v>
      </c>
      <c r="I21" s="21" t="s">
        <v>550</v>
      </c>
      <c r="J21" s="25" t="s">
        <v>71</v>
      </c>
    </row>
    <row r="22" ht="15.75" customHeight="1">
      <c r="A22" s="25" t="s">
        <v>619</v>
      </c>
      <c r="B22" s="25" t="s">
        <v>40</v>
      </c>
      <c r="C22" s="26">
        <v>44075.0</v>
      </c>
      <c r="D22" s="27" t="s">
        <v>42</v>
      </c>
      <c r="E22" s="21">
        <v>3.0</v>
      </c>
      <c r="F22" s="21">
        <v>45500.0</v>
      </c>
      <c r="G22" s="21">
        <f t="shared" si="1"/>
        <v>136500</v>
      </c>
      <c r="H22" s="21" t="s">
        <v>549</v>
      </c>
      <c r="I22" s="21" t="s">
        <v>550</v>
      </c>
      <c r="J22" s="25" t="s">
        <v>71</v>
      </c>
    </row>
    <row r="23" ht="15.75" customHeight="1">
      <c r="A23" s="25" t="s">
        <v>620</v>
      </c>
      <c r="B23" s="25" t="s">
        <v>40</v>
      </c>
      <c r="C23" s="26">
        <v>44105.0</v>
      </c>
      <c r="D23" s="27" t="s">
        <v>42</v>
      </c>
      <c r="E23" s="21">
        <v>5.0</v>
      </c>
      <c r="F23" s="21">
        <v>45500.0</v>
      </c>
      <c r="G23" s="21">
        <f t="shared" si="1"/>
        <v>227500</v>
      </c>
      <c r="H23" s="21" t="s">
        <v>549</v>
      </c>
      <c r="I23" s="21" t="s">
        <v>550</v>
      </c>
      <c r="J23" s="25" t="s">
        <v>71</v>
      </c>
    </row>
    <row r="24" ht="15.75" customHeight="1">
      <c r="A24" s="25" t="s">
        <v>622</v>
      </c>
      <c r="B24" s="25" t="s">
        <v>40</v>
      </c>
      <c r="C24" s="26">
        <v>44136.0</v>
      </c>
      <c r="D24" s="27" t="s">
        <v>42</v>
      </c>
      <c r="E24" s="21">
        <v>3.0</v>
      </c>
      <c r="F24" s="21">
        <v>45500.0</v>
      </c>
      <c r="G24" s="21">
        <f t="shared" si="1"/>
        <v>136500</v>
      </c>
      <c r="H24" s="21" t="s">
        <v>549</v>
      </c>
      <c r="I24" s="21" t="s">
        <v>550</v>
      </c>
      <c r="J24" s="25" t="s">
        <v>71</v>
      </c>
    </row>
    <row r="25" ht="15.75" customHeight="1">
      <c r="A25" s="25" t="s">
        <v>624</v>
      </c>
      <c r="B25" s="25" t="s">
        <v>40</v>
      </c>
      <c r="C25" s="26">
        <v>44166.0</v>
      </c>
      <c r="D25" s="27" t="s">
        <v>42</v>
      </c>
      <c r="E25" s="21">
        <v>3.0</v>
      </c>
      <c r="F25" s="21">
        <v>45500.0</v>
      </c>
      <c r="G25" s="21">
        <f t="shared" si="1"/>
        <v>136500</v>
      </c>
      <c r="H25" s="21" t="s">
        <v>549</v>
      </c>
      <c r="I25" s="21" t="s">
        <v>550</v>
      </c>
      <c r="J25" s="25" t="s">
        <v>71</v>
      </c>
    </row>
    <row r="26" ht="15.75" customHeight="1">
      <c r="A26" s="25" t="s">
        <v>629</v>
      </c>
      <c r="B26" s="25" t="s">
        <v>82</v>
      </c>
      <c r="C26" s="26">
        <v>43831.0</v>
      </c>
      <c r="D26" s="27" t="s">
        <v>84</v>
      </c>
      <c r="E26" s="21">
        <v>7.0</v>
      </c>
      <c r="F26" s="21">
        <v>45000.0</v>
      </c>
      <c r="G26" s="21">
        <f t="shared" si="1"/>
        <v>315000</v>
      </c>
      <c r="H26" s="21" t="s">
        <v>549</v>
      </c>
      <c r="I26" s="21" t="s">
        <v>550</v>
      </c>
      <c r="J26" s="25" t="s">
        <v>71</v>
      </c>
    </row>
    <row r="27" ht="15.75" customHeight="1">
      <c r="A27" s="25" t="s">
        <v>633</v>
      </c>
      <c r="B27" s="25" t="s">
        <v>82</v>
      </c>
      <c r="C27" s="26">
        <v>43862.0</v>
      </c>
      <c r="D27" s="27" t="s">
        <v>84</v>
      </c>
      <c r="E27" s="21">
        <v>6.0</v>
      </c>
      <c r="F27" s="21">
        <v>45000.0</v>
      </c>
      <c r="G27" s="21">
        <f t="shared" si="1"/>
        <v>270000</v>
      </c>
      <c r="H27" s="21" t="s">
        <v>549</v>
      </c>
      <c r="I27" s="21" t="s">
        <v>550</v>
      </c>
      <c r="J27" s="25" t="s">
        <v>71</v>
      </c>
    </row>
    <row r="28" ht="15.75" customHeight="1">
      <c r="A28" s="25" t="s">
        <v>638</v>
      </c>
      <c r="B28" s="25" t="s">
        <v>82</v>
      </c>
      <c r="C28" s="26">
        <v>43891.0</v>
      </c>
      <c r="D28" s="27" t="s">
        <v>84</v>
      </c>
      <c r="E28" s="21">
        <v>7.0</v>
      </c>
      <c r="F28" s="21">
        <v>45000.0</v>
      </c>
      <c r="G28" s="21">
        <f t="shared" si="1"/>
        <v>315000</v>
      </c>
      <c r="H28" s="21" t="s">
        <v>549</v>
      </c>
      <c r="I28" s="21" t="s">
        <v>550</v>
      </c>
      <c r="J28" s="25" t="s">
        <v>71</v>
      </c>
    </row>
    <row r="29" ht="15.75" customHeight="1">
      <c r="A29" s="25" t="s">
        <v>643</v>
      </c>
      <c r="B29" s="25" t="s">
        <v>82</v>
      </c>
      <c r="C29" s="26">
        <v>43922.0</v>
      </c>
      <c r="D29" s="27" t="s">
        <v>84</v>
      </c>
      <c r="E29" s="21">
        <v>10.0</v>
      </c>
      <c r="F29" s="21">
        <v>45000.0</v>
      </c>
      <c r="G29" s="21">
        <f t="shared" si="1"/>
        <v>450000</v>
      </c>
      <c r="H29" s="21" t="s">
        <v>549</v>
      </c>
      <c r="I29" s="21" t="s">
        <v>550</v>
      </c>
      <c r="J29" s="25" t="s">
        <v>71</v>
      </c>
    </row>
    <row r="30" ht="15.75" customHeight="1">
      <c r="A30" s="25" t="s">
        <v>648</v>
      </c>
      <c r="B30" s="25" t="s">
        <v>82</v>
      </c>
      <c r="C30" s="26">
        <v>43952.0</v>
      </c>
      <c r="D30" s="27" t="s">
        <v>84</v>
      </c>
      <c r="E30" s="21">
        <v>7.0</v>
      </c>
      <c r="F30" s="21">
        <v>45000.0</v>
      </c>
      <c r="G30" s="21">
        <f t="shared" si="1"/>
        <v>315000</v>
      </c>
      <c r="H30" s="21" t="s">
        <v>549</v>
      </c>
      <c r="I30" s="21" t="s">
        <v>550</v>
      </c>
      <c r="J30" s="25" t="s">
        <v>71</v>
      </c>
    </row>
    <row r="31" ht="15.75" customHeight="1">
      <c r="A31" s="25" t="s">
        <v>654</v>
      </c>
      <c r="B31" s="25" t="s">
        <v>82</v>
      </c>
      <c r="C31" s="26">
        <v>43983.0</v>
      </c>
      <c r="D31" s="27" t="s">
        <v>84</v>
      </c>
      <c r="E31" s="21">
        <v>6.0</v>
      </c>
      <c r="F31" s="21">
        <v>45000.0</v>
      </c>
      <c r="G31" s="21">
        <f t="shared" si="1"/>
        <v>270000</v>
      </c>
      <c r="H31" s="21" t="s">
        <v>549</v>
      </c>
      <c r="I31" s="21" t="s">
        <v>550</v>
      </c>
      <c r="J31" s="25" t="s">
        <v>71</v>
      </c>
    </row>
    <row r="32" ht="15.75" customHeight="1">
      <c r="A32" s="25" t="s">
        <v>659</v>
      </c>
      <c r="B32" s="25" t="s">
        <v>82</v>
      </c>
      <c r="C32" s="26">
        <v>44013.0</v>
      </c>
      <c r="D32" s="27" t="s">
        <v>84</v>
      </c>
      <c r="E32" s="21">
        <v>7.0</v>
      </c>
      <c r="F32" s="21">
        <v>45000.0</v>
      </c>
      <c r="G32" s="21">
        <f t="shared" si="1"/>
        <v>315000</v>
      </c>
      <c r="H32" s="21" t="s">
        <v>549</v>
      </c>
      <c r="I32" s="21" t="s">
        <v>550</v>
      </c>
      <c r="J32" s="25" t="s">
        <v>71</v>
      </c>
    </row>
    <row r="33" ht="15.75" customHeight="1">
      <c r="A33" s="25" t="s">
        <v>665</v>
      </c>
      <c r="B33" s="25" t="s">
        <v>82</v>
      </c>
      <c r="C33" s="26">
        <v>44044.0</v>
      </c>
      <c r="D33" s="27" t="s">
        <v>84</v>
      </c>
      <c r="E33" s="21">
        <v>6.0</v>
      </c>
      <c r="F33" s="21">
        <v>45000.0</v>
      </c>
      <c r="G33" s="21">
        <f t="shared" si="1"/>
        <v>270000</v>
      </c>
      <c r="H33" s="21" t="s">
        <v>549</v>
      </c>
      <c r="I33" s="21" t="s">
        <v>550</v>
      </c>
      <c r="J33" s="25" t="s">
        <v>71</v>
      </c>
    </row>
    <row r="34" ht="15.75" customHeight="1">
      <c r="A34" s="25" t="s">
        <v>670</v>
      </c>
      <c r="B34" s="25" t="s">
        <v>82</v>
      </c>
      <c r="C34" s="26">
        <v>44075.0</v>
      </c>
      <c r="D34" s="27" t="s">
        <v>84</v>
      </c>
      <c r="E34" s="21">
        <v>7.0</v>
      </c>
      <c r="F34" s="21">
        <v>45000.0</v>
      </c>
      <c r="G34" s="21">
        <f t="shared" si="1"/>
        <v>315000</v>
      </c>
      <c r="H34" s="21" t="s">
        <v>549</v>
      </c>
      <c r="I34" s="21" t="s">
        <v>550</v>
      </c>
      <c r="J34" s="25" t="s">
        <v>71</v>
      </c>
    </row>
    <row r="35" ht="15.75" customHeight="1">
      <c r="A35" s="25" t="s">
        <v>676</v>
      </c>
      <c r="B35" s="25" t="s">
        <v>82</v>
      </c>
      <c r="C35" s="26">
        <v>44105.0</v>
      </c>
      <c r="D35" s="27" t="s">
        <v>84</v>
      </c>
      <c r="E35" s="21">
        <v>7.0</v>
      </c>
      <c r="F35" s="21">
        <v>45000.0</v>
      </c>
      <c r="G35" s="21">
        <f t="shared" si="1"/>
        <v>315000</v>
      </c>
      <c r="H35" s="21" t="s">
        <v>549</v>
      </c>
      <c r="I35" s="21" t="s">
        <v>550</v>
      </c>
      <c r="J35" s="25" t="s">
        <v>71</v>
      </c>
    </row>
    <row r="36" ht="15.75" customHeight="1">
      <c r="A36" s="25" t="s">
        <v>681</v>
      </c>
      <c r="B36" s="25" t="s">
        <v>82</v>
      </c>
      <c r="C36" s="26">
        <v>44136.0</v>
      </c>
      <c r="D36" s="27" t="s">
        <v>84</v>
      </c>
      <c r="E36" s="21">
        <v>7.0</v>
      </c>
      <c r="F36" s="21">
        <v>45000.0</v>
      </c>
      <c r="G36" s="21">
        <f t="shared" si="1"/>
        <v>315000</v>
      </c>
      <c r="H36" s="21" t="s">
        <v>549</v>
      </c>
      <c r="I36" s="21" t="s">
        <v>550</v>
      </c>
      <c r="J36" s="25" t="s">
        <v>71</v>
      </c>
    </row>
    <row r="37" ht="15.75" customHeight="1">
      <c r="A37" s="25" t="s">
        <v>687</v>
      </c>
      <c r="B37" s="25" t="s">
        <v>82</v>
      </c>
      <c r="C37" s="26">
        <v>44166.0</v>
      </c>
      <c r="D37" s="27" t="s">
        <v>84</v>
      </c>
      <c r="E37" s="21">
        <v>10.0</v>
      </c>
      <c r="F37" s="21">
        <v>45000.0</v>
      </c>
      <c r="G37" s="21">
        <f t="shared" si="1"/>
        <v>450000</v>
      </c>
      <c r="H37" s="21" t="s">
        <v>549</v>
      </c>
      <c r="I37" s="21" t="s">
        <v>550</v>
      </c>
      <c r="J37" s="25" t="s">
        <v>71</v>
      </c>
    </row>
    <row r="38" ht="15.75" customHeight="1">
      <c r="A38" s="25" t="s">
        <v>692</v>
      </c>
      <c r="B38" s="25" t="s">
        <v>97</v>
      </c>
      <c r="C38" s="26">
        <v>43831.0</v>
      </c>
      <c r="D38" s="27" t="s">
        <v>99</v>
      </c>
      <c r="E38" s="21">
        <v>1.0</v>
      </c>
      <c r="F38" s="21">
        <v>36000.0</v>
      </c>
      <c r="G38" s="21">
        <f t="shared" si="1"/>
        <v>36000</v>
      </c>
      <c r="H38" s="21" t="s">
        <v>424</v>
      </c>
      <c r="I38" s="21" t="s">
        <v>550</v>
      </c>
      <c r="J38" s="25" t="s">
        <v>71</v>
      </c>
    </row>
    <row r="39" ht="15.75" customHeight="1">
      <c r="A39" s="25" t="s">
        <v>698</v>
      </c>
      <c r="B39" s="25" t="s">
        <v>97</v>
      </c>
      <c r="C39" s="26">
        <v>43862.0</v>
      </c>
      <c r="D39" s="27" t="s">
        <v>99</v>
      </c>
      <c r="E39" s="21">
        <v>0.0</v>
      </c>
      <c r="F39" s="21">
        <v>36000.0</v>
      </c>
      <c r="G39" s="21">
        <f t="shared" si="1"/>
        <v>0</v>
      </c>
      <c r="H39" s="21" t="s">
        <v>424</v>
      </c>
      <c r="I39" s="21" t="s">
        <v>550</v>
      </c>
      <c r="J39" s="25" t="s">
        <v>71</v>
      </c>
    </row>
    <row r="40" ht="15.75" customHeight="1">
      <c r="A40" s="25" t="s">
        <v>702</v>
      </c>
      <c r="B40" s="25" t="s">
        <v>97</v>
      </c>
      <c r="C40" s="26">
        <v>43891.0</v>
      </c>
      <c r="D40" s="27" t="s">
        <v>99</v>
      </c>
      <c r="E40" s="21">
        <v>1.0</v>
      </c>
      <c r="F40" s="21">
        <v>36000.0</v>
      </c>
      <c r="G40" s="21">
        <f t="shared" si="1"/>
        <v>36000</v>
      </c>
      <c r="H40" s="21" t="s">
        <v>424</v>
      </c>
      <c r="I40" s="21" t="s">
        <v>550</v>
      </c>
      <c r="J40" s="25" t="s">
        <v>71</v>
      </c>
    </row>
    <row r="41" ht="15.75" customHeight="1">
      <c r="A41" s="25" t="s">
        <v>704</v>
      </c>
      <c r="B41" s="25" t="s">
        <v>97</v>
      </c>
      <c r="C41" s="26">
        <v>43922.0</v>
      </c>
      <c r="D41" s="27" t="s">
        <v>99</v>
      </c>
      <c r="E41" s="21">
        <v>0.0</v>
      </c>
      <c r="F41" s="21">
        <v>36000.0</v>
      </c>
      <c r="G41" s="21">
        <f t="shared" si="1"/>
        <v>0</v>
      </c>
      <c r="H41" s="21" t="s">
        <v>424</v>
      </c>
      <c r="I41" s="21" t="s">
        <v>550</v>
      </c>
      <c r="J41" s="25" t="s">
        <v>71</v>
      </c>
    </row>
    <row r="42" ht="15.75" customHeight="1">
      <c r="A42" s="25" t="s">
        <v>706</v>
      </c>
      <c r="B42" s="25" t="s">
        <v>97</v>
      </c>
      <c r="C42" s="26">
        <v>43952.0</v>
      </c>
      <c r="D42" s="27" t="s">
        <v>99</v>
      </c>
      <c r="E42" s="21">
        <v>1.0</v>
      </c>
      <c r="F42" s="21">
        <v>36000.0</v>
      </c>
      <c r="G42" s="21">
        <f t="shared" si="1"/>
        <v>36000</v>
      </c>
      <c r="H42" s="21" t="s">
        <v>424</v>
      </c>
      <c r="I42" s="21" t="s">
        <v>550</v>
      </c>
      <c r="J42" s="25" t="s">
        <v>71</v>
      </c>
    </row>
    <row r="43" ht="15.75" customHeight="1">
      <c r="A43" s="25" t="s">
        <v>708</v>
      </c>
      <c r="B43" s="25" t="s">
        <v>97</v>
      </c>
      <c r="C43" s="26">
        <v>43983.0</v>
      </c>
      <c r="D43" s="27" t="s">
        <v>99</v>
      </c>
      <c r="E43" s="21">
        <v>0.0</v>
      </c>
      <c r="F43" s="21">
        <v>36000.0</v>
      </c>
      <c r="G43" s="21">
        <f t="shared" si="1"/>
        <v>0</v>
      </c>
      <c r="H43" s="21" t="s">
        <v>424</v>
      </c>
      <c r="I43" s="21" t="s">
        <v>550</v>
      </c>
      <c r="J43" s="25" t="s">
        <v>71</v>
      </c>
    </row>
    <row r="44" ht="15.75" customHeight="1">
      <c r="A44" s="25" t="s">
        <v>713</v>
      </c>
      <c r="B44" s="25" t="s">
        <v>97</v>
      </c>
      <c r="C44" s="26">
        <v>44013.0</v>
      </c>
      <c r="D44" s="27" t="s">
        <v>99</v>
      </c>
      <c r="E44" s="21">
        <v>1.0</v>
      </c>
      <c r="F44" s="21">
        <v>36000.0</v>
      </c>
      <c r="G44" s="21">
        <f t="shared" si="1"/>
        <v>36000</v>
      </c>
      <c r="H44" s="21" t="s">
        <v>424</v>
      </c>
      <c r="I44" s="21" t="s">
        <v>550</v>
      </c>
      <c r="J44" s="25" t="s">
        <v>71</v>
      </c>
    </row>
    <row r="45" ht="15.75" customHeight="1">
      <c r="A45" s="25" t="s">
        <v>717</v>
      </c>
      <c r="B45" s="25" t="s">
        <v>97</v>
      </c>
      <c r="C45" s="26">
        <v>44044.0</v>
      </c>
      <c r="D45" s="27" t="s">
        <v>99</v>
      </c>
      <c r="E45" s="21">
        <v>0.0</v>
      </c>
      <c r="F45" s="21">
        <v>36000.0</v>
      </c>
      <c r="G45" s="21">
        <f t="shared" si="1"/>
        <v>0</v>
      </c>
      <c r="H45" s="21" t="s">
        <v>424</v>
      </c>
      <c r="I45" s="21" t="s">
        <v>550</v>
      </c>
      <c r="J45" s="25" t="s">
        <v>71</v>
      </c>
    </row>
    <row r="46" ht="15.75" customHeight="1">
      <c r="A46" s="25" t="s">
        <v>723</v>
      </c>
      <c r="B46" s="25" t="s">
        <v>97</v>
      </c>
      <c r="C46" s="26">
        <v>44075.0</v>
      </c>
      <c r="D46" s="27" t="s">
        <v>99</v>
      </c>
      <c r="E46" s="21">
        <v>1.0</v>
      </c>
      <c r="F46" s="21">
        <v>36000.0</v>
      </c>
      <c r="G46" s="21">
        <f t="shared" si="1"/>
        <v>36000</v>
      </c>
      <c r="H46" s="21" t="s">
        <v>424</v>
      </c>
      <c r="I46" s="21" t="s">
        <v>550</v>
      </c>
      <c r="J46" s="25" t="s">
        <v>71</v>
      </c>
    </row>
    <row r="47" ht="15.75" customHeight="1">
      <c r="A47" s="25" t="s">
        <v>734</v>
      </c>
      <c r="B47" s="25" t="s">
        <v>97</v>
      </c>
      <c r="C47" s="26">
        <v>44105.0</v>
      </c>
      <c r="D47" s="27" t="s">
        <v>99</v>
      </c>
      <c r="E47" s="21">
        <v>1.0</v>
      </c>
      <c r="F47" s="21">
        <v>36000.0</v>
      </c>
      <c r="G47" s="21">
        <f t="shared" si="1"/>
        <v>36000</v>
      </c>
      <c r="H47" s="21" t="s">
        <v>424</v>
      </c>
      <c r="I47" s="21" t="s">
        <v>550</v>
      </c>
      <c r="J47" s="25" t="s">
        <v>71</v>
      </c>
    </row>
    <row r="48" ht="15.75" customHeight="1">
      <c r="A48" s="25" t="s">
        <v>740</v>
      </c>
      <c r="B48" s="25" t="s">
        <v>97</v>
      </c>
      <c r="C48" s="26">
        <v>44136.0</v>
      </c>
      <c r="D48" s="27" t="s">
        <v>99</v>
      </c>
      <c r="E48" s="21">
        <v>1.0</v>
      </c>
      <c r="F48" s="21">
        <v>36000.0</v>
      </c>
      <c r="G48" s="21">
        <f t="shared" si="1"/>
        <v>36000</v>
      </c>
      <c r="H48" s="21" t="s">
        <v>424</v>
      </c>
      <c r="I48" s="21" t="s">
        <v>550</v>
      </c>
      <c r="J48" s="25" t="s">
        <v>71</v>
      </c>
    </row>
    <row r="49" ht="15.75" customHeight="1">
      <c r="A49" s="25" t="s">
        <v>747</v>
      </c>
      <c r="B49" s="25" t="s">
        <v>97</v>
      </c>
      <c r="C49" s="26">
        <v>44166.0</v>
      </c>
      <c r="D49" s="27" t="s">
        <v>99</v>
      </c>
      <c r="E49" s="21">
        <v>1.0</v>
      </c>
      <c r="F49" s="21">
        <v>36000.0</v>
      </c>
      <c r="G49" s="21">
        <f t="shared" si="1"/>
        <v>36000</v>
      </c>
      <c r="H49" s="21" t="s">
        <v>424</v>
      </c>
      <c r="I49" s="21" t="s">
        <v>550</v>
      </c>
      <c r="J49" s="25" t="s">
        <v>71</v>
      </c>
    </row>
    <row r="50" ht="15.75" customHeight="1">
      <c r="A50" s="25" t="s">
        <v>754</v>
      </c>
      <c r="B50" s="25" t="s">
        <v>110</v>
      </c>
      <c r="C50" s="26">
        <v>43831.0</v>
      </c>
      <c r="D50" s="27" t="s">
        <v>112</v>
      </c>
      <c r="E50" s="21">
        <v>1.0</v>
      </c>
      <c r="F50" s="21">
        <v>30000.0</v>
      </c>
      <c r="G50" s="21">
        <f t="shared" si="1"/>
        <v>30000</v>
      </c>
      <c r="H50" s="21" t="s">
        <v>758</v>
      </c>
      <c r="I50" s="21" t="s">
        <v>550</v>
      </c>
      <c r="J50" s="25" t="s">
        <v>71</v>
      </c>
    </row>
    <row r="51" ht="15.75" customHeight="1">
      <c r="A51" s="25" t="s">
        <v>761</v>
      </c>
      <c r="B51" s="25" t="s">
        <v>110</v>
      </c>
      <c r="C51" s="26">
        <v>43862.0</v>
      </c>
      <c r="D51" s="27" t="s">
        <v>112</v>
      </c>
      <c r="E51" s="21">
        <v>1.0</v>
      </c>
      <c r="F51" s="21">
        <v>30000.0</v>
      </c>
      <c r="G51" s="21">
        <f t="shared" si="1"/>
        <v>30000</v>
      </c>
      <c r="H51" s="21" t="s">
        <v>758</v>
      </c>
      <c r="I51" s="21" t="s">
        <v>550</v>
      </c>
      <c r="J51" s="25" t="s">
        <v>71</v>
      </c>
    </row>
    <row r="52" ht="15.75" customHeight="1">
      <c r="A52" s="25" t="s">
        <v>768</v>
      </c>
      <c r="B52" s="25" t="s">
        <v>110</v>
      </c>
      <c r="C52" s="26">
        <v>43891.0</v>
      </c>
      <c r="D52" s="27" t="s">
        <v>112</v>
      </c>
      <c r="E52" s="21">
        <v>1.0</v>
      </c>
      <c r="F52" s="21">
        <v>30000.0</v>
      </c>
      <c r="G52" s="21">
        <f t="shared" si="1"/>
        <v>30000</v>
      </c>
      <c r="H52" s="21" t="s">
        <v>758</v>
      </c>
      <c r="I52" s="21" t="s">
        <v>550</v>
      </c>
      <c r="J52" s="25" t="s">
        <v>71</v>
      </c>
    </row>
    <row r="53" ht="15.75" customHeight="1">
      <c r="A53" s="25" t="s">
        <v>772</v>
      </c>
      <c r="B53" s="25" t="s">
        <v>110</v>
      </c>
      <c r="C53" s="26">
        <v>43922.0</v>
      </c>
      <c r="D53" s="27" t="s">
        <v>112</v>
      </c>
      <c r="E53" s="21">
        <v>1.0</v>
      </c>
      <c r="F53" s="21">
        <v>30000.0</v>
      </c>
      <c r="G53" s="21">
        <f t="shared" si="1"/>
        <v>30000</v>
      </c>
      <c r="H53" s="21" t="s">
        <v>758</v>
      </c>
      <c r="I53" s="21" t="s">
        <v>550</v>
      </c>
      <c r="J53" s="25" t="s">
        <v>71</v>
      </c>
    </row>
    <row r="54" ht="15.75" customHeight="1">
      <c r="A54" s="25" t="s">
        <v>778</v>
      </c>
      <c r="B54" s="25" t="s">
        <v>110</v>
      </c>
      <c r="C54" s="26">
        <v>43952.0</v>
      </c>
      <c r="D54" s="27" t="s">
        <v>112</v>
      </c>
      <c r="E54" s="21">
        <v>1.0</v>
      </c>
      <c r="F54" s="21">
        <v>30000.0</v>
      </c>
      <c r="G54" s="21">
        <f t="shared" si="1"/>
        <v>30000</v>
      </c>
      <c r="H54" s="21" t="s">
        <v>758</v>
      </c>
      <c r="I54" s="21" t="s">
        <v>550</v>
      </c>
      <c r="J54" s="25" t="s">
        <v>71</v>
      </c>
    </row>
    <row r="55" ht="15.75" customHeight="1">
      <c r="A55" s="25" t="s">
        <v>787</v>
      </c>
      <c r="B55" s="25" t="s">
        <v>110</v>
      </c>
      <c r="C55" s="26">
        <v>43983.0</v>
      </c>
      <c r="D55" s="27" t="s">
        <v>112</v>
      </c>
      <c r="E55" s="21">
        <v>2.0</v>
      </c>
      <c r="F55" s="21">
        <v>30000.0</v>
      </c>
      <c r="G55" s="21">
        <f t="shared" si="1"/>
        <v>60000</v>
      </c>
      <c r="H55" s="21" t="s">
        <v>758</v>
      </c>
      <c r="I55" s="21" t="s">
        <v>550</v>
      </c>
      <c r="J55" s="25" t="s">
        <v>71</v>
      </c>
    </row>
    <row r="56" ht="15.75" customHeight="1">
      <c r="A56" s="25" t="s">
        <v>792</v>
      </c>
      <c r="B56" s="25" t="s">
        <v>110</v>
      </c>
      <c r="C56" s="26">
        <v>44013.0</v>
      </c>
      <c r="D56" s="27" t="s">
        <v>112</v>
      </c>
      <c r="E56" s="21">
        <v>1.0</v>
      </c>
      <c r="F56" s="21">
        <v>30000.0</v>
      </c>
      <c r="G56" s="21">
        <f t="shared" si="1"/>
        <v>30000</v>
      </c>
      <c r="H56" s="21" t="s">
        <v>758</v>
      </c>
      <c r="I56" s="21" t="s">
        <v>550</v>
      </c>
      <c r="J56" s="25" t="s">
        <v>71</v>
      </c>
    </row>
    <row r="57" ht="15.75" customHeight="1">
      <c r="A57" s="25" t="s">
        <v>800</v>
      </c>
      <c r="B57" s="25" t="s">
        <v>110</v>
      </c>
      <c r="C57" s="26">
        <v>44044.0</v>
      </c>
      <c r="D57" s="27" t="s">
        <v>112</v>
      </c>
      <c r="E57" s="21">
        <v>1.0</v>
      </c>
      <c r="F57" s="21">
        <v>30000.0</v>
      </c>
      <c r="G57" s="21">
        <f t="shared" si="1"/>
        <v>30000</v>
      </c>
      <c r="H57" s="21" t="s">
        <v>758</v>
      </c>
      <c r="I57" s="21" t="s">
        <v>550</v>
      </c>
      <c r="J57" s="25" t="s">
        <v>71</v>
      </c>
    </row>
    <row r="58" ht="15.75" customHeight="1">
      <c r="A58" s="25" t="s">
        <v>806</v>
      </c>
      <c r="B58" s="25" t="s">
        <v>110</v>
      </c>
      <c r="C58" s="26">
        <v>44075.0</v>
      </c>
      <c r="D58" s="27" t="s">
        <v>112</v>
      </c>
      <c r="E58" s="21">
        <v>2.0</v>
      </c>
      <c r="F58" s="21">
        <v>30000.0</v>
      </c>
      <c r="G58" s="21">
        <f t="shared" si="1"/>
        <v>60000</v>
      </c>
      <c r="H58" s="21" t="s">
        <v>758</v>
      </c>
      <c r="I58" s="21" t="s">
        <v>550</v>
      </c>
      <c r="J58" s="25" t="s">
        <v>71</v>
      </c>
    </row>
    <row r="59" ht="15.75" customHeight="1">
      <c r="A59" s="25" t="s">
        <v>810</v>
      </c>
      <c r="B59" s="25" t="s">
        <v>110</v>
      </c>
      <c r="C59" s="26">
        <v>44105.0</v>
      </c>
      <c r="D59" s="27" t="s">
        <v>112</v>
      </c>
      <c r="E59" s="21">
        <v>1.0</v>
      </c>
      <c r="F59" s="21">
        <v>30000.0</v>
      </c>
      <c r="G59" s="21">
        <f t="shared" si="1"/>
        <v>30000</v>
      </c>
      <c r="H59" s="21" t="s">
        <v>758</v>
      </c>
      <c r="I59" s="21" t="s">
        <v>550</v>
      </c>
      <c r="J59" s="25" t="s">
        <v>71</v>
      </c>
    </row>
    <row r="60" ht="15.75" customHeight="1">
      <c r="A60" s="25" t="s">
        <v>816</v>
      </c>
      <c r="B60" s="25" t="s">
        <v>110</v>
      </c>
      <c r="C60" s="26">
        <v>44136.0</v>
      </c>
      <c r="D60" s="27" t="s">
        <v>112</v>
      </c>
      <c r="E60" s="21">
        <v>1.0</v>
      </c>
      <c r="F60" s="21">
        <v>30000.0</v>
      </c>
      <c r="G60" s="21">
        <f t="shared" si="1"/>
        <v>30000</v>
      </c>
      <c r="H60" s="21" t="s">
        <v>758</v>
      </c>
      <c r="I60" s="21" t="s">
        <v>550</v>
      </c>
      <c r="J60" s="25" t="s">
        <v>71</v>
      </c>
    </row>
    <row r="61" ht="15.75" customHeight="1">
      <c r="A61" s="25" t="s">
        <v>819</v>
      </c>
      <c r="B61" s="25" t="s">
        <v>110</v>
      </c>
      <c r="C61" s="26">
        <v>44166.0</v>
      </c>
      <c r="D61" s="27" t="s">
        <v>112</v>
      </c>
      <c r="E61" s="21">
        <v>1.0</v>
      </c>
      <c r="F61" s="21">
        <v>30000.0</v>
      </c>
      <c r="G61" s="21">
        <f t="shared" si="1"/>
        <v>30000</v>
      </c>
      <c r="H61" s="21" t="s">
        <v>758</v>
      </c>
      <c r="I61" s="21" t="s">
        <v>550</v>
      </c>
      <c r="J61" s="25" t="s">
        <v>71</v>
      </c>
    </row>
    <row r="62" ht="15.75" customHeight="1">
      <c r="A62" s="25" t="s">
        <v>824</v>
      </c>
      <c r="B62" s="25" t="s">
        <v>124</v>
      </c>
      <c r="C62" s="26">
        <v>43831.0</v>
      </c>
      <c r="D62" s="27" t="s">
        <v>125</v>
      </c>
      <c r="E62" s="21">
        <v>1.0</v>
      </c>
      <c r="F62" s="21">
        <v>49500.0</v>
      </c>
      <c r="G62" s="21">
        <f t="shared" si="1"/>
        <v>49500</v>
      </c>
      <c r="H62" s="21" t="s">
        <v>549</v>
      </c>
      <c r="I62" s="21" t="s">
        <v>550</v>
      </c>
      <c r="J62" s="25" t="s">
        <v>71</v>
      </c>
    </row>
    <row r="63" ht="15.75" customHeight="1">
      <c r="A63" s="25" t="s">
        <v>827</v>
      </c>
      <c r="B63" s="25" t="s">
        <v>124</v>
      </c>
      <c r="C63" s="26">
        <v>43862.0</v>
      </c>
      <c r="D63" s="27" t="s">
        <v>125</v>
      </c>
      <c r="E63" s="21">
        <v>0.0</v>
      </c>
      <c r="F63" s="21">
        <v>49500.0</v>
      </c>
      <c r="G63" s="21">
        <f t="shared" si="1"/>
        <v>0</v>
      </c>
      <c r="H63" s="21" t="s">
        <v>549</v>
      </c>
      <c r="I63" s="21" t="s">
        <v>550</v>
      </c>
      <c r="J63" s="25" t="s">
        <v>71</v>
      </c>
    </row>
    <row r="64" ht="15.75" customHeight="1">
      <c r="A64" s="25" t="s">
        <v>831</v>
      </c>
      <c r="B64" s="25" t="s">
        <v>124</v>
      </c>
      <c r="C64" s="26">
        <v>43891.0</v>
      </c>
      <c r="D64" s="27" t="s">
        <v>125</v>
      </c>
      <c r="E64" s="21">
        <v>1.0</v>
      </c>
      <c r="F64" s="21">
        <v>49500.0</v>
      </c>
      <c r="G64" s="21">
        <f t="shared" si="1"/>
        <v>49500</v>
      </c>
      <c r="H64" s="21" t="s">
        <v>549</v>
      </c>
      <c r="I64" s="21" t="s">
        <v>550</v>
      </c>
      <c r="J64" s="25" t="s">
        <v>71</v>
      </c>
    </row>
    <row r="65" ht="15.75" customHeight="1">
      <c r="A65" s="25" t="s">
        <v>834</v>
      </c>
      <c r="B65" s="25" t="s">
        <v>124</v>
      </c>
      <c r="C65" s="26">
        <v>43922.0</v>
      </c>
      <c r="D65" s="27" t="s">
        <v>125</v>
      </c>
      <c r="E65" s="21">
        <v>1.0</v>
      </c>
      <c r="F65" s="21">
        <v>49500.0</v>
      </c>
      <c r="G65" s="21">
        <f t="shared" si="1"/>
        <v>49500</v>
      </c>
      <c r="H65" s="21" t="s">
        <v>549</v>
      </c>
      <c r="I65" s="21" t="s">
        <v>550</v>
      </c>
      <c r="J65" s="25" t="s">
        <v>71</v>
      </c>
    </row>
    <row r="66" ht="15.75" customHeight="1">
      <c r="A66" s="25" t="s">
        <v>839</v>
      </c>
      <c r="B66" s="25" t="s">
        <v>124</v>
      </c>
      <c r="C66" s="26">
        <v>43952.0</v>
      </c>
      <c r="D66" s="27" t="s">
        <v>125</v>
      </c>
      <c r="E66" s="21">
        <v>1.0</v>
      </c>
      <c r="F66" s="21">
        <v>49500.0</v>
      </c>
      <c r="G66" s="21">
        <f t="shared" si="1"/>
        <v>49500</v>
      </c>
      <c r="H66" s="21" t="s">
        <v>549</v>
      </c>
      <c r="I66" s="21" t="s">
        <v>550</v>
      </c>
      <c r="J66" s="25" t="s">
        <v>71</v>
      </c>
    </row>
    <row r="67" ht="15.75" customHeight="1">
      <c r="A67" s="25" t="s">
        <v>845</v>
      </c>
      <c r="B67" s="25" t="s">
        <v>124</v>
      </c>
      <c r="C67" s="26">
        <v>43983.0</v>
      </c>
      <c r="D67" s="27" t="s">
        <v>125</v>
      </c>
      <c r="E67" s="21">
        <v>0.0</v>
      </c>
      <c r="F67" s="21">
        <v>49500.0</v>
      </c>
      <c r="G67" s="21">
        <f t="shared" si="1"/>
        <v>0</v>
      </c>
      <c r="H67" s="21" t="s">
        <v>549</v>
      </c>
      <c r="I67" s="21" t="s">
        <v>550</v>
      </c>
      <c r="J67" s="25" t="s">
        <v>71</v>
      </c>
    </row>
    <row r="68" ht="15.75" customHeight="1">
      <c r="A68" s="25" t="s">
        <v>851</v>
      </c>
      <c r="B68" s="25" t="s">
        <v>124</v>
      </c>
      <c r="C68" s="26">
        <v>44013.0</v>
      </c>
      <c r="D68" s="27" t="s">
        <v>125</v>
      </c>
      <c r="E68" s="21">
        <v>1.0</v>
      </c>
      <c r="F68" s="21">
        <v>49500.0</v>
      </c>
      <c r="G68" s="21">
        <f t="shared" si="1"/>
        <v>49500</v>
      </c>
      <c r="H68" s="21" t="s">
        <v>549</v>
      </c>
      <c r="I68" s="21" t="s">
        <v>550</v>
      </c>
      <c r="J68" s="25" t="s">
        <v>71</v>
      </c>
    </row>
    <row r="69" ht="15.75" customHeight="1">
      <c r="A69" s="25" t="s">
        <v>856</v>
      </c>
      <c r="B69" s="25" t="s">
        <v>124</v>
      </c>
      <c r="C69" s="26">
        <v>44044.0</v>
      </c>
      <c r="D69" s="27" t="s">
        <v>125</v>
      </c>
      <c r="E69" s="21">
        <v>0.0</v>
      </c>
      <c r="F69" s="21">
        <v>49500.0</v>
      </c>
      <c r="G69" s="21">
        <f t="shared" si="1"/>
        <v>0</v>
      </c>
      <c r="H69" s="21" t="s">
        <v>549</v>
      </c>
      <c r="I69" s="21" t="s">
        <v>550</v>
      </c>
      <c r="J69" s="25" t="s">
        <v>71</v>
      </c>
    </row>
    <row r="70" ht="15.75" customHeight="1">
      <c r="A70" s="25" t="s">
        <v>861</v>
      </c>
      <c r="B70" s="25" t="s">
        <v>124</v>
      </c>
      <c r="C70" s="26">
        <v>44075.0</v>
      </c>
      <c r="D70" s="27" t="s">
        <v>125</v>
      </c>
      <c r="E70" s="21">
        <v>1.0</v>
      </c>
      <c r="F70" s="21">
        <v>49500.0</v>
      </c>
      <c r="G70" s="21">
        <f t="shared" si="1"/>
        <v>49500</v>
      </c>
      <c r="H70" s="21" t="s">
        <v>549</v>
      </c>
      <c r="I70" s="21" t="s">
        <v>550</v>
      </c>
      <c r="J70" s="25" t="s">
        <v>71</v>
      </c>
    </row>
    <row r="71" ht="15.75" customHeight="1">
      <c r="A71" s="25" t="s">
        <v>867</v>
      </c>
      <c r="B71" s="25" t="s">
        <v>124</v>
      </c>
      <c r="C71" s="26">
        <v>44105.0</v>
      </c>
      <c r="D71" s="27" t="s">
        <v>125</v>
      </c>
      <c r="E71" s="21">
        <v>1.0</v>
      </c>
      <c r="F71" s="21">
        <v>49500.0</v>
      </c>
      <c r="G71" s="21">
        <f t="shared" si="1"/>
        <v>49500</v>
      </c>
      <c r="H71" s="21" t="s">
        <v>549</v>
      </c>
      <c r="I71" s="21" t="s">
        <v>550</v>
      </c>
      <c r="J71" s="25" t="s">
        <v>71</v>
      </c>
    </row>
    <row r="72" ht="15.75" customHeight="1">
      <c r="A72" s="25" t="s">
        <v>875</v>
      </c>
      <c r="B72" s="25" t="s">
        <v>124</v>
      </c>
      <c r="C72" s="26">
        <v>44136.0</v>
      </c>
      <c r="D72" s="27" t="s">
        <v>125</v>
      </c>
      <c r="E72" s="21">
        <v>1.0</v>
      </c>
      <c r="F72" s="21">
        <v>49500.0</v>
      </c>
      <c r="G72" s="21">
        <f t="shared" si="1"/>
        <v>49500</v>
      </c>
      <c r="H72" s="21" t="s">
        <v>549</v>
      </c>
      <c r="I72" s="21" t="s">
        <v>550</v>
      </c>
      <c r="J72" s="25" t="s">
        <v>71</v>
      </c>
    </row>
    <row r="73" ht="15.75" customHeight="1">
      <c r="A73" s="25" t="s">
        <v>880</v>
      </c>
      <c r="B73" s="25" t="s">
        <v>124</v>
      </c>
      <c r="C73" s="26">
        <v>44166.0</v>
      </c>
      <c r="D73" s="27" t="s">
        <v>125</v>
      </c>
      <c r="E73" s="21">
        <v>1.0</v>
      </c>
      <c r="F73" s="21">
        <v>49500.0</v>
      </c>
      <c r="G73" s="21">
        <f t="shared" si="1"/>
        <v>49500</v>
      </c>
      <c r="H73" s="21" t="s">
        <v>549</v>
      </c>
      <c r="I73" s="21" t="s">
        <v>550</v>
      </c>
      <c r="J73" s="25" t="s">
        <v>71</v>
      </c>
    </row>
    <row r="74" ht="15.75" customHeight="1">
      <c r="A74" s="25" t="s">
        <v>883</v>
      </c>
      <c r="B74" s="25" t="s">
        <v>139</v>
      </c>
      <c r="C74" s="26">
        <v>43831.0</v>
      </c>
      <c r="D74" s="27" t="s">
        <v>140</v>
      </c>
      <c r="E74" s="21">
        <v>0.0</v>
      </c>
      <c r="F74" s="21">
        <v>30000.0</v>
      </c>
      <c r="G74" s="21">
        <f t="shared" si="1"/>
        <v>0</v>
      </c>
      <c r="H74" s="21" t="s">
        <v>758</v>
      </c>
      <c r="I74" s="21" t="s">
        <v>550</v>
      </c>
      <c r="J74" s="25" t="s">
        <v>71</v>
      </c>
    </row>
    <row r="75" ht="15.75" customHeight="1">
      <c r="A75" s="25" t="s">
        <v>886</v>
      </c>
      <c r="B75" s="25" t="s">
        <v>139</v>
      </c>
      <c r="C75" s="26">
        <v>43862.0</v>
      </c>
      <c r="D75" s="27" t="s">
        <v>140</v>
      </c>
      <c r="E75" s="21">
        <v>0.0</v>
      </c>
      <c r="F75" s="21">
        <v>30000.0</v>
      </c>
      <c r="G75" s="21">
        <f t="shared" si="1"/>
        <v>0</v>
      </c>
      <c r="H75" s="21" t="s">
        <v>758</v>
      </c>
      <c r="I75" s="21" t="s">
        <v>550</v>
      </c>
      <c r="J75" s="25" t="s">
        <v>71</v>
      </c>
    </row>
    <row r="76" ht="15.75" customHeight="1">
      <c r="A76" s="25" t="s">
        <v>890</v>
      </c>
      <c r="B76" s="25" t="s">
        <v>139</v>
      </c>
      <c r="C76" s="26">
        <v>43891.0</v>
      </c>
      <c r="D76" s="27" t="s">
        <v>140</v>
      </c>
      <c r="E76" s="21">
        <v>1.0</v>
      </c>
      <c r="F76" s="21">
        <v>30000.0</v>
      </c>
      <c r="G76" s="21">
        <f t="shared" si="1"/>
        <v>30000</v>
      </c>
      <c r="H76" s="21" t="s">
        <v>758</v>
      </c>
      <c r="I76" s="21" t="s">
        <v>550</v>
      </c>
      <c r="J76" s="25" t="s">
        <v>71</v>
      </c>
    </row>
    <row r="77" ht="15.75" customHeight="1">
      <c r="A77" s="25" t="s">
        <v>897</v>
      </c>
      <c r="B77" s="25" t="s">
        <v>139</v>
      </c>
      <c r="C77" s="26">
        <v>43922.0</v>
      </c>
      <c r="D77" s="27" t="s">
        <v>140</v>
      </c>
      <c r="E77" s="21">
        <v>0.0</v>
      </c>
      <c r="F77" s="21">
        <v>30000.0</v>
      </c>
      <c r="G77" s="21">
        <f t="shared" si="1"/>
        <v>0</v>
      </c>
      <c r="H77" s="21" t="s">
        <v>758</v>
      </c>
      <c r="I77" s="21" t="s">
        <v>550</v>
      </c>
      <c r="J77" s="25" t="s">
        <v>71</v>
      </c>
    </row>
    <row r="78" ht="15.75" customHeight="1">
      <c r="A78" s="25" t="s">
        <v>904</v>
      </c>
      <c r="B78" s="25" t="s">
        <v>139</v>
      </c>
      <c r="C78" s="26">
        <v>43952.0</v>
      </c>
      <c r="D78" s="27" t="s">
        <v>140</v>
      </c>
      <c r="E78" s="21">
        <v>0.0</v>
      </c>
      <c r="F78" s="21">
        <v>30000.0</v>
      </c>
      <c r="G78" s="21">
        <f t="shared" si="1"/>
        <v>0</v>
      </c>
      <c r="H78" s="21" t="s">
        <v>758</v>
      </c>
      <c r="I78" s="21" t="s">
        <v>550</v>
      </c>
      <c r="J78" s="25" t="s">
        <v>71</v>
      </c>
    </row>
    <row r="79" ht="15.75" customHeight="1">
      <c r="A79" s="25" t="s">
        <v>910</v>
      </c>
      <c r="B79" s="25" t="s">
        <v>139</v>
      </c>
      <c r="C79" s="26">
        <v>43983.0</v>
      </c>
      <c r="D79" s="27" t="s">
        <v>140</v>
      </c>
      <c r="E79" s="21">
        <v>0.0</v>
      </c>
      <c r="F79" s="21">
        <v>30000.0</v>
      </c>
      <c r="G79" s="21">
        <f t="shared" si="1"/>
        <v>0</v>
      </c>
      <c r="H79" s="21" t="s">
        <v>758</v>
      </c>
      <c r="I79" s="21" t="s">
        <v>550</v>
      </c>
      <c r="J79" s="25" t="s">
        <v>71</v>
      </c>
    </row>
    <row r="80" ht="15.75" customHeight="1">
      <c r="A80" s="25" t="s">
        <v>913</v>
      </c>
      <c r="B80" s="25" t="s">
        <v>139</v>
      </c>
      <c r="C80" s="26">
        <v>44013.0</v>
      </c>
      <c r="D80" s="27" t="s">
        <v>140</v>
      </c>
      <c r="E80" s="21">
        <v>1.0</v>
      </c>
      <c r="F80" s="21">
        <v>30000.0</v>
      </c>
      <c r="G80" s="21">
        <f t="shared" si="1"/>
        <v>30000</v>
      </c>
      <c r="H80" s="21" t="s">
        <v>758</v>
      </c>
      <c r="I80" s="21" t="s">
        <v>550</v>
      </c>
      <c r="J80" s="25" t="s">
        <v>71</v>
      </c>
    </row>
    <row r="81" ht="15.75" customHeight="1">
      <c r="A81" s="25" t="s">
        <v>915</v>
      </c>
      <c r="B81" s="25" t="s">
        <v>139</v>
      </c>
      <c r="C81" s="26">
        <v>44044.0</v>
      </c>
      <c r="D81" s="27" t="s">
        <v>140</v>
      </c>
      <c r="E81" s="21">
        <v>0.0</v>
      </c>
      <c r="F81" s="21">
        <v>30000.0</v>
      </c>
      <c r="G81" s="21">
        <f t="shared" si="1"/>
        <v>0</v>
      </c>
      <c r="H81" s="21" t="s">
        <v>758</v>
      </c>
      <c r="I81" s="21" t="s">
        <v>550</v>
      </c>
      <c r="J81" s="25" t="s">
        <v>71</v>
      </c>
    </row>
    <row r="82" ht="15.75" customHeight="1">
      <c r="A82" s="25" t="s">
        <v>918</v>
      </c>
      <c r="B82" s="25" t="s">
        <v>139</v>
      </c>
      <c r="C82" s="26">
        <v>44075.0</v>
      </c>
      <c r="D82" s="27" t="s">
        <v>140</v>
      </c>
      <c r="E82" s="21">
        <v>0.0</v>
      </c>
      <c r="F82" s="21">
        <v>30000.0</v>
      </c>
      <c r="G82" s="21">
        <f t="shared" si="1"/>
        <v>0</v>
      </c>
      <c r="H82" s="21" t="s">
        <v>758</v>
      </c>
      <c r="I82" s="21" t="s">
        <v>550</v>
      </c>
      <c r="J82" s="25" t="s">
        <v>71</v>
      </c>
    </row>
    <row r="83" ht="15.75" customHeight="1">
      <c r="A83" s="25" t="s">
        <v>923</v>
      </c>
      <c r="B83" s="25" t="s">
        <v>139</v>
      </c>
      <c r="C83" s="26">
        <v>44105.0</v>
      </c>
      <c r="D83" s="27" t="s">
        <v>140</v>
      </c>
      <c r="E83" s="21">
        <v>1.0</v>
      </c>
      <c r="F83" s="21">
        <v>30000.0</v>
      </c>
      <c r="G83" s="21">
        <f t="shared" si="1"/>
        <v>30000</v>
      </c>
      <c r="H83" s="21" t="s">
        <v>758</v>
      </c>
      <c r="I83" s="21" t="s">
        <v>550</v>
      </c>
      <c r="J83" s="25" t="s">
        <v>71</v>
      </c>
    </row>
    <row r="84" ht="15.75" customHeight="1">
      <c r="A84" s="25" t="s">
        <v>926</v>
      </c>
      <c r="B84" s="25" t="s">
        <v>139</v>
      </c>
      <c r="C84" s="26">
        <v>44136.0</v>
      </c>
      <c r="D84" s="27" t="s">
        <v>140</v>
      </c>
      <c r="E84" s="21">
        <v>0.0</v>
      </c>
      <c r="F84" s="21">
        <v>30000.0</v>
      </c>
      <c r="G84" s="21">
        <f t="shared" si="1"/>
        <v>0</v>
      </c>
      <c r="H84" s="21" t="s">
        <v>758</v>
      </c>
      <c r="I84" s="21" t="s">
        <v>550</v>
      </c>
      <c r="J84" s="25" t="s">
        <v>71</v>
      </c>
    </row>
    <row r="85" ht="15.75" customHeight="1">
      <c r="A85" s="25" t="s">
        <v>928</v>
      </c>
      <c r="B85" s="25" t="s">
        <v>139</v>
      </c>
      <c r="C85" s="26">
        <v>44166.0</v>
      </c>
      <c r="D85" s="27" t="s">
        <v>140</v>
      </c>
      <c r="E85" s="21">
        <v>0.0</v>
      </c>
      <c r="F85" s="21">
        <v>30000.0</v>
      </c>
      <c r="G85" s="21">
        <f t="shared" si="1"/>
        <v>0</v>
      </c>
      <c r="H85" s="21" t="s">
        <v>758</v>
      </c>
      <c r="I85" s="21" t="s">
        <v>550</v>
      </c>
      <c r="J85" s="25" t="s">
        <v>71</v>
      </c>
    </row>
    <row r="86" ht="15.75" customHeight="1">
      <c r="A86" s="25" t="s">
        <v>930</v>
      </c>
      <c r="B86" s="25" t="s">
        <v>150</v>
      </c>
      <c r="C86" s="26">
        <v>43831.0</v>
      </c>
      <c r="D86" s="27" t="s">
        <v>151</v>
      </c>
      <c r="E86" s="21">
        <v>0.0</v>
      </c>
      <c r="F86" s="21">
        <v>30000.0</v>
      </c>
      <c r="G86" s="21">
        <f t="shared" si="1"/>
        <v>0</v>
      </c>
      <c r="H86" s="21" t="s">
        <v>758</v>
      </c>
      <c r="I86" s="21" t="s">
        <v>550</v>
      </c>
      <c r="J86" s="25" t="s">
        <v>71</v>
      </c>
    </row>
    <row r="87" ht="15.75" customHeight="1">
      <c r="A87" s="25" t="s">
        <v>935</v>
      </c>
      <c r="B87" s="25" t="s">
        <v>150</v>
      </c>
      <c r="C87" s="26">
        <v>43862.0</v>
      </c>
      <c r="D87" s="27" t="s">
        <v>151</v>
      </c>
      <c r="E87" s="21">
        <v>0.0</v>
      </c>
      <c r="F87" s="21">
        <v>30000.0</v>
      </c>
      <c r="G87" s="21">
        <f t="shared" si="1"/>
        <v>0</v>
      </c>
      <c r="H87" s="21" t="s">
        <v>758</v>
      </c>
      <c r="I87" s="21" t="s">
        <v>550</v>
      </c>
      <c r="J87" s="25" t="s">
        <v>71</v>
      </c>
    </row>
    <row r="88" ht="15.75" customHeight="1">
      <c r="A88" s="25" t="s">
        <v>938</v>
      </c>
      <c r="B88" s="25" t="s">
        <v>150</v>
      </c>
      <c r="C88" s="26">
        <v>43891.0</v>
      </c>
      <c r="D88" s="27" t="s">
        <v>151</v>
      </c>
      <c r="E88" s="21">
        <v>1.0</v>
      </c>
      <c r="F88" s="21">
        <v>30000.0</v>
      </c>
      <c r="G88" s="21">
        <f t="shared" si="1"/>
        <v>30000</v>
      </c>
      <c r="H88" s="21" t="s">
        <v>758</v>
      </c>
      <c r="I88" s="21" t="s">
        <v>550</v>
      </c>
      <c r="J88" s="25" t="s">
        <v>71</v>
      </c>
    </row>
    <row r="89" ht="15.75" customHeight="1">
      <c r="A89" s="25" t="s">
        <v>940</v>
      </c>
      <c r="B89" s="25" t="s">
        <v>150</v>
      </c>
      <c r="C89" s="26">
        <v>43922.0</v>
      </c>
      <c r="D89" s="27" t="s">
        <v>151</v>
      </c>
      <c r="E89" s="21">
        <v>0.0</v>
      </c>
      <c r="F89" s="21">
        <v>30000.0</v>
      </c>
      <c r="G89" s="21">
        <f t="shared" si="1"/>
        <v>0</v>
      </c>
      <c r="H89" s="21" t="s">
        <v>758</v>
      </c>
      <c r="I89" s="21" t="s">
        <v>550</v>
      </c>
      <c r="J89" s="25" t="s">
        <v>71</v>
      </c>
    </row>
    <row r="90" ht="15.75" customHeight="1">
      <c r="A90" s="25" t="s">
        <v>944</v>
      </c>
      <c r="B90" s="25" t="s">
        <v>150</v>
      </c>
      <c r="C90" s="26">
        <v>43952.0</v>
      </c>
      <c r="D90" s="27" t="s">
        <v>151</v>
      </c>
      <c r="E90" s="21">
        <v>0.0</v>
      </c>
      <c r="F90" s="21">
        <v>30000.0</v>
      </c>
      <c r="G90" s="21">
        <f t="shared" si="1"/>
        <v>0</v>
      </c>
      <c r="H90" s="21" t="s">
        <v>758</v>
      </c>
      <c r="I90" s="21" t="s">
        <v>550</v>
      </c>
      <c r="J90" s="25" t="s">
        <v>71</v>
      </c>
    </row>
    <row r="91" ht="15.75" customHeight="1">
      <c r="A91" s="25" t="s">
        <v>949</v>
      </c>
      <c r="B91" s="25" t="s">
        <v>150</v>
      </c>
      <c r="C91" s="26">
        <v>43983.0</v>
      </c>
      <c r="D91" s="27" t="s">
        <v>151</v>
      </c>
      <c r="E91" s="21">
        <v>0.0</v>
      </c>
      <c r="F91" s="21">
        <v>30000.0</v>
      </c>
      <c r="G91" s="21">
        <f t="shared" si="1"/>
        <v>0</v>
      </c>
      <c r="H91" s="21" t="s">
        <v>758</v>
      </c>
      <c r="I91" s="21" t="s">
        <v>550</v>
      </c>
      <c r="J91" s="25" t="s">
        <v>71</v>
      </c>
    </row>
    <row r="92" ht="15.75" customHeight="1">
      <c r="A92" s="25" t="s">
        <v>954</v>
      </c>
      <c r="B92" s="25" t="s">
        <v>150</v>
      </c>
      <c r="C92" s="26">
        <v>44013.0</v>
      </c>
      <c r="D92" s="27" t="s">
        <v>151</v>
      </c>
      <c r="E92" s="21">
        <v>1.0</v>
      </c>
      <c r="F92" s="21">
        <v>30000.0</v>
      </c>
      <c r="G92" s="21">
        <f t="shared" si="1"/>
        <v>30000</v>
      </c>
      <c r="H92" s="21" t="s">
        <v>758</v>
      </c>
      <c r="I92" s="21" t="s">
        <v>550</v>
      </c>
      <c r="J92" s="25" t="s">
        <v>71</v>
      </c>
    </row>
    <row r="93" ht="15.75" customHeight="1">
      <c r="A93" s="25" t="s">
        <v>960</v>
      </c>
      <c r="B93" s="25" t="s">
        <v>150</v>
      </c>
      <c r="C93" s="26">
        <v>44044.0</v>
      </c>
      <c r="D93" s="27" t="s">
        <v>151</v>
      </c>
      <c r="E93" s="21">
        <v>0.0</v>
      </c>
      <c r="F93" s="21">
        <v>30000.0</v>
      </c>
      <c r="G93" s="21">
        <f t="shared" si="1"/>
        <v>0</v>
      </c>
      <c r="H93" s="21" t="s">
        <v>758</v>
      </c>
      <c r="I93" s="21" t="s">
        <v>550</v>
      </c>
      <c r="J93" s="25" t="s">
        <v>71</v>
      </c>
    </row>
    <row r="94" ht="15.75" customHeight="1">
      <c r="A94" s="25" t="s">
        <v>965</v>
      </c>
      <c r="B94" s="25" t="s">
        <v>150</v>
      </c>
      <c r="C94" s="26">
        <v>44075.0</v>
      </c>
      <c r="D94" s="27" t="s">
        <v>151</v>
      </c>
      <c r="E94" s="21">
        <v>0.0</v>
      </c>
      <c r="F94" s="21">
        <v>30000.0</v>
      </c>
      <c r="G94" s="21">
        <f t="shared" si="1"/>
        <v>0</v>
      </c>
      <c r="H94" s="21" t="s">
        <v>758</v>
      </c>
      <c r="I94" s="21" t="s">
        <v>550</v>
      </c>
      <c r="J94" s="25" t="s">
        <v>71</v>
      </c>
    </row>
    <row r="95" ht="15.75" customHeight="1">
      <c r="A95" s="25" t="s">
        <v>974</v>
      </c>
      <c r="B95" s="25" t="s">
        <v>150</v>
      </c>
      <c r="C95" s="26">
        <v>44105.0</v>
      </c>
      <c r="D95" s="27" t="s">
        <v>151</v>
      </c>
      <c r="E95" s="21">
        <v>1.0</v>
      </c>
      <c r="F95" s="21">
        <v>30000.0</v>
      </c>
      <c r="G95" s="21">
        <f t="shared" si="1"/>
        <v>30000</v>
      </c>
      <c r="H95" s="21" t="s">
        <v>758</v>
      </c>
      <c r="I95" s="21" t="s">
        <v>550</v>
      </c>
      <c r="J95" s="25" t="s">
        <v>71</v>
      </c>
    </row>
    <row r="96" ht="15.75" customHeight="1">
      <c r="A96" s="25" t="s">
        <v>977</v>
      </c>
      <c r="B96" s="25" t="s">
        <v>150</v>
      </c>
      <c r="C96" s="26">
        <v>44136.0</v>
      </c>
      <c r="D96" s="27" t="s">
        <v>151</v>
      </c>
      <c r="E96" s="21">
        <v>0.0</v>
      </c>
      <c r="F96" s="21">
        <v>30000.0</v>
      </c>
      <c r="G96" s="21">
        <f t="shared" si="1"/>
        <v>0</v>
      </c>
      <c r="H96" s="21" t="s">
        <v>758</v>
      </c>
      <c r="I96" s="21" t="s">
        <v>550</v>
      </c>
      <c r="J96" s="25" t="s">
        <v>71</v>
      </c>
    </row>
    <row r="97" ht="15.75" customHeight="1">
      <c r="A97" s="25" t="s">
        <v>980</v>
      </c>
      <c r="B97" s="25" t="s">
        <v>150</v>
      </c>
      <c r="C97" s="26">
        <v>44166.0</v>
      </c>
      <c r="D97" s="27" t="s">
        <v>151</v>
      </c>
      <c r="E97" s="21">
        <v>0.0</v>
      </c>
      <c r="F97" s="21">
        <v>30000.0</v>
      </c>
      <c r="G97" s="21">
        <f t="shared" si="1"/>
        <v>0</v>
      </c>
      <c r="H97" s="21" t="s">
        <v>758</v>
      </c>
      <c r="I97" s="21" t="s">
        <v>550</v>
      </c>
      <c r="J97" s="25" t="s">
        <v>71</v>
      </c>
    </row>
    <row r="98" ht="15.75" customHeight="1">
      <c r="A98" s="25" t="s">
        <v>981</v>
      </c>
      <c r="B98" s="25" t="s">
        <v>163</v>
      </c>
      <c r="C98" s="26">
        <v>43831.0</v>
      </c>
      <c r="D98" s="27" t="s">
        <v>165</v>
      </c>
      <c r="E98" s="21">
        <v>0.0</v>
      </c>
      <c r="F98" s="21">
        <v>49500.0</v>
      </c>
      <c r="G98" s="21">
        <f t="shared" si="1"/>
        <v>0</v>
      </c>
      <c r="H98" s="21" t="s">
        <v>549</v>
      </c>
      <c r="I98" s="21" t="s">
        <v>550</v>
      </c>
      <c r="J98" s="25" t="s">
        <v>71</v>
      </c>
    </row>
    <row r="99" ht="15.75" customHeight="1">
      <c r="A99" s="25" t="s">
        <v>984</v>
      </c>
      <c r="B99" s="25" t="s">
        <v>163</v>
      </c>
      <c r="C99" s="26">
        <v>43862.0</v>
      </c>
      <c r="D99" s="27" t="s">
        <v>165</v>
      </c>
      <c r="E99" s="21">
        <v>0.0</v>
      </c>
      <c r="F99" s="21">
        <v>49500.0</v>
      </c>
      <c r="G99" s="21">
        <f t="shared" si="1"/>
        <v>0</v>
      </c>
      <c r="H99" s="21" t="s">
        <v>549</v>
      </c>
      <c r="I99" s="21" t="s">
        <v>550</v>
      </c>
      <c r="J99" s="25" t="s">
        <v>71</v>
      </c>
    </row>
    <row r="100" ht="15.75" customHeight="1">
      <c r="A100" s="25" t="s">
        <v>986</v>
      </c>
      <c r="B100" s="25" t="s">
        <v>163</v>
      </c>
      <c r="C100" s="26">
        <v>43891.0</v>
      </c>
      <c r="D100" s="27" t="s">
        <v>165</v>
      </c>
      <c r="E100" s="21">
        <v>1.0</v>
      </c>
      <c r="F100" s="21">
        <v>49500.0</v>
      </c>
      <c r="G100" s="21">
        <f t="shared" si="1"/>
        <v>49500</v>
      </c>
      <c r="H100" s="21" t="s">
        <v>549</v>
      </c>
      <c r="I100" s="21" t="s">
        <v>550</v>
      </c>
      <c r="J100" s="25" t="s">
        <v>71</v>
      </c>
    </row>
    <row r="101" ht="15.75" customHeight="1">
      <c r="A101" s="25" t="s">
        <v>988</v>
      </c>
      <c r="B101" s="25" t="s">
        <v>163</v>
      </c>
      <c r="C101" s="26">
        <v>43922.0</v>
      </c>
      <c r="D101" s="27" t="s">
        <v>165</v>
      </c>
      <c r="E101" s="21">
        <v>0.0</v>
      </c>
      <c r="F101" s="21">
        <v>49500.0</v>
      </c>
      <c r="G101" s="21">
        <f t="shared" si="1"/>
        <v>0</v>
      </c>
      <c r="H101" s="21" t="s">
        <v>549</v>
      </c>
      <c r="I101" s="21" t="s">
        <v>550</v>
      </c>
      <c r="J101" s="25" t="s">
        <v>71</v>
      </c>
    </row>
    <row r="102" ht="15.75" customHeight="1">
      <c r="A102" s="25" t="s">
        <v>990</v>
      </c>
      <c r="B102" s="25" t="s">
        <v>163</v>
      </c>
      <c r="C102" s="26">
        <v>43952.0</v>
      </c>
      <c r="D102" s="27" t="s">
        <v>165</v>
      </c>
      <c r="E102" s="21">
        <v>0.0</v>
      </c>
      <c r="F102" s="21">
        <v>49500.0</v>
      </c>
      <c r="G102" s="21">
        <f t="shared" si="1"/>
        <v>0</v>
      </c>
      <c r="H102" s="21" t="s">
        <v>549</v>
      </c>
      <c r="I102" s="21" t="s">
        <v>550</v>
      </c>
      <c r="J102" s="25" t="s">
        <v>71</v>
      </c>
    </row>
    <row r="103" ht="15.75" customHeight="1">
      <c r="A103" s="25" t="s">
        <v>992</v>
      </c>
      <c r="B103" s="25" t="s">
        <v>163</v>
      </c>
      <c r="C103" s="26">
        <v>43983.0</v>
      </c>
      <c r="D103" s="27" t="s">
        <v>165</v>
      </c>
      <c r="E103" s="21">
        <v>0.0</v>
      </c>
      <c r="F103" s="21">
        <v>49500.0</v>
      </c>
      <c r="G103" s="21">
        <f t="shared" si="1"/>
        <v>0</v>
      </c>
      <c r="H103" s="21" t="s">
        <v>549</v>
      </c>
      <c r="I103" s="21" t="s">
        <v>550</v>
      </c>
      <c r="J103" s="25" t="s">
        <v>71</v>
      </c>
    </row>
    <row r="104" ht="15.75" customHeight="1">
      <c r="A104" s="25" t="s">
        <v>995</v>
      </c>
      <c r="B104" s="25" t="s">
        <v>163</v>
      </c>
      <c r="C104" s="26">
        <v>44013.0</v>
      </c>
      <c r="D104" s="27" t="s">
        <v>165</v>
      </c>
      <c r="E104" s="21">
        <v>0.0</v>
      </c>
      <c r="F104" s="21">
        <v>49500.0</v>
      </c>
      <c r="G104" s="21">
        <f t="shared" si="1"/>
        <v>0</v>
      </c>
      <c r="H104" s="21" t="s">
        <v>549</v>
      </c>
      <c r="I104" s="21" t="s">
        <v>550</v>
      </c>
      <c r="J104" s="25" t="s">
        <v>71</v>
      </c>
    </row>
    <row r="105" ht="15.75" customHeight="1">
      <c r="A105" s="25" t="s">
        <v>997</v>
      </c>
      <c r="B105" s="25" t="s">
        <v>163</v>
      </c>
      <c r="C105" s="26">
        <v>44044.0</v>
      </c>
      <c r="D105" s="27" t="s">
        <v>165</v>
      </c>
      <c r="E105" s="21">
        <v>0.0</v>
      </c>
      <c r="F105" s="21">
        <v>49500.0</v>
      </c>
      <c r="G105" s="21">
        <f t="shared" si="1"/>
        <v>0</v>
      </c>
      <c r="H105" s="21" t="s">
        <v>549</v>
      </c>
      <c r="I105" s="21" t="s">
        <v>550</v>
      </c>
      <c r="J105" s="25" t="s">
        <v>71</v>
      </c>
    </row>
    <row r="106" ht="15.75" customHeight="1">
      <c r="A106" s="25" t="s">
        <v>999</v>
      </c>
      <c r="B106" s="25" t="s">
        <v>163</v>
      </c>
      <c r="C106" s="26">
        <v>44075.0</v>
      </c>
      <c r="D106" s="27" t="s">
        <v>165</v>
      </c>
      <c r="E106" s="21">
        <v>0.0</v>
      </c>
      <c r="F106" s="21">
        <v>49500.0</v>
      </c>
      <c r="G106" s="21">
        <f t="shared" si="1"/>
        <v>0</v>
      </c>
      <c r="H106" s="21" t="s">
        <v>549</v>
      </c>
      <c r="I106" s="21" t="s">
        <v>550</v>
      </c>
      <c r="J106" s="25" t="s">
        <v>71</v>
      </c>
    </row>
    <row r="107" ht="15.75" customHeight="1">
      <c r="A107" s="25" t="s">
        <v>1001</v>
      </c>
      <c r="B107" s="25" t="s">
        <v>163</v>
      </c>
      <c r="C107" s="26">
        <v>44105.0</v>
      </c>
      <c r="D107" s="27" t="s">
        <v>165</v>
      </c>
      <c r="E107" s="21">
        <v>1.0</v>
      </c>
      <c r="F107" s="21">
        <v>49500.0</v>
      </c>
      <c r="G107" s="21">
        <f t="shared" si="1"/>
        <v>49500</v>
      </c>
      <c r="H107" s="21" t="s">
        <v>549</v>
      </c>
      <c r="I107" s="21" t="s">
        <v>550</v>
      </c>
      <c r="J107" s="25" t="s">
        <v>71</v>
      </c>
    </row>
    <row r="108" ht="15.75" customHeight="1">
      <c r="A108" s="25" t="s">
        <v>1003</v>
      </c>
      <c r="B108" s="25" t="s">
        <v>163</v>
      </c>
      <c r="C108" s="26">
        <v>44136.0</v>
      </c>
      <c r="D108" s="27" t="s">
        <v>165</v>
      </c>
      <c r="E108" s="21">
        <v>0.0</v>
      </c>
      <c r="F108" s="21">
        <v>49500.0</v>
      </c>
      <c r="G108" s="21">
        <f t="shared" si="1"/>
        <v>0</v>
      </c>
      <c r="H108" s="21" t="s">
        <v>549</v>
      </c>
      <c r="I108" s="21" t="s">
        <v>550</v>
      </c>
      <c r="J108" s="25" t="s">
        <v>71</v>
      </c>
    </row>
    <row r="109" ht="15.75" customHeight="1">
      <c r="A109" s="25" t="s">
        <v>1005</v>
      </c>
      <c r="B109" s="25" t="s">
        <v>163</v>
      </c>
      <c r="C109" s="26">
        <v>44166.0</v>
      </c>
      <c r="D109" s="27" t="s">
        <v>165</v>
      </c>
      <c r="E109" s="21">
        <v>0.0</v>
      </c>
      <c r="F109" s="21">
        <v>49500.0</v>
      </c>
      <c r="G109" s="21">
        <f t="shared" si="1"/>
        <v>0</v>
      </c>
      <c r="H109" s="21" t="s">
        <v>549</v>
      </c>
      <c r="I109" s="21" t="s">
        <v>550</v>
      </c>
      <c r="J109" s="25" t="s">
        <v>71</v>
      </c>
    </row>
    <row r="110" ht="15.75" customHeight="1">
      <c r="A110" s="25" t="s">
        <v>1007</v>
      </c>
      <c r="B110" s="25" t="s">
        <v>175</v>
      </c>
      <c r="C110" s="26">
        <v>43831.0</v>
      </c>
      <c r="D110" s="27" t="s">
        <v>176</v>
      </c>
      <c r="E110" s="21">
        <v>1.0</v>
      </c>
      <c r="F110" s="21">
        <v>49500.0</v>
      </c>
      <c r="G110" s="21">
        <f t="shared" si="1"/>
        <v>49500</v>
      </c>
      <c r="H110" s="21" t="s">
        <v>549</v>
      </c>
      <c r="I110" s="21" t="s">
        <v>550</v>
      </c>
      <c r="J110" s="25" t="s">
        <v>71</v>
      </c>
    </row>
    <row r="111" ht="15.75" customHeight="1">
      <c r="A111" s="25" t="s">
        <v>1010</v>
      </c>
      <c r="B111" s="25" t="s">
        <v>175</v>
      </c>
      <c r="C111" s="26">
        <v>43862.0</v>
      </c>
      <c r="D111" s="27" t="s">
        <v>176</v>
      </c>
      <c r="E111" s="21">
        <v>1.0</v>
      </c>
      <c r="F111" s="21">
        <v>49500.0</v>
      </c>
      <c r="G111" s="21">
        <f t="shared" si="1"/>
        <v>49500</v>
      </c>
      <c r="H111" s="21" t="s">
        <v>549</v>
      </c>
      <c r="I111" s="21" t="s">
        <v>550</v>
      </c>
      <c r="J111" s="25" t="s">
        <v>71</v>
      </c>
    </row>
    <row r="112" ht="15.75" customHeight="1">
      <c r="A112" s="25" t="s">
        <v>1012</v>
      </c>
      <c r="B112" s="25" t="s">
        <v>175</v>
      </c>
      <c r="C112" s="26">
        <v>43891.0</v>
      </c>
      <c r="D112" s="27" t="s">
        <v>176</v>
      </c>
      <c r="E112" s="21">
        <v>2.0</v>
      </c>
      <c r="F112" s="21">
        <v>49500.0</v>
      </c>
      <c r="G112" s="21">
        <f t="shared" si="1"/>
        <v>99000</v>
      </c>
      <c r="H112" s="21" t="s">
        <v>549</v>
      </c>
      <c r="I112" s="21" t="s">
        <v>550</v>
      </c>
      <c r="J112" s="25" t="s">
        <v>71</v>
      </c>
    </row>
    <row r="113" ht="15.75" customHeight="1">
      <c r="A113" s="25" t="s">
        <v>1014</v>
      </c>
      <c r="B113" s="25" t="s">
        <v>175</v>
      </c>
      <c r="C113" s="26">
        <v>43922.0</v>
      </c>
      <c r="D113" s="27" t="s">
        <v>176</v>
      </c>
      <c r="E113" s="21">
        <v>1.0</v>
      </c>
      <c r="F113" s="21">
        <v>49500.0</v>
      </c>
      <c r="G113" s="21">
        <f t="shared" si="1"/>
        <v>49500</v>
      </c>
      <c r="H113" s="21" t="s">
        <v>549</v>
      </c>
      <c r="I113" s="21" t="s">
        <v>550</v>
      </c>
      <c r="J113" s="25" t="s">
        <v>71</v>
      </c>
    </row>
    <row r="114" ht="15.75" customHeight="1">
      <c r="A114" s="25" t="s">
        <v>1016</v>
      </c>
      <c r="B114" s="25" t="s">
        <v>175</v>
      </c>
      <c r="C114" s="26">
        <v>43952.0</v>
      </c>
      <c r="D114" s="27" t="s">
        <v>176</v>
      </c>
      <c r="E114" s="21">
        <v>1.0</v>
      </c>
      <c r="F114" s="21">
        <v>49500.0</v>
      </c>
      <c r="G114" s="21">
        <f t="shared" si="1"/>
        <v>49500</v>
      </c>
      <c r="H114" s="21" t="s">
        <v>549</v>
      </c>
      <c r="I114" s="21" t="s">
        <v>550</v>
      </c>
      <c r="J114" s="25" t="s">
        <v>71</v>
      </c>
    </row>
    <row r="115" ht="15.75" customHeight="1">
      <c r="A115" s="25" t="s">
        <v>1018</v>
      </c>
      <c r="B115" s="25" t="s">
        <v>175</v>
      </c>
      <c r="C115" s="26">
        <v>43983.0</v>
      </c>
      <c r="D115" s="27" t="s">
        <v>176</v>
      </c>
      <c r="E115" s="21">
        <v>1.0</v>
      </c>
      <c r="F115" s="21">
        <v>49500.0</v>
      </c>
      <c r="G115" s="21">
        <f t="shared" si="1"/>
        <v>49500</v>
      </c>
      <c r="H115" s="21" t="s">
        <v>549</v>
      </c>
      <c r="I115" s="21" t="s">
        <v>550</v>
      </c>
      <c r="J115" s="25" t="s">
        <v>71</v>
      </c>
    </row>
    <row r="116" ht="15.75" customHeight="1">
      <c r="A116" s="25" t="s">
        <v>1020</v>
      </c>
      <c r="B116" s="25" t="s">
        <v>175</v>
      </c>
      <c r="C116" s="26">
        <v>44013.0</v>
      </c>
      <c r="D116" s="27" t="s">
        <v>176</v>
      </c>
      <c r="E116" s="21">
        <v>1.0</v>
      </c>
      <c r="F116" s="21">
        <v>49500.0</v>
      </c>
      <c r="G116" s="21">
        <f t="shared" si="1"/>
        <v>49500</v>
      </c>
      <c r="H116" s="21" t="s">
        <v>549</v>
      </c>
      <c r="I116" s="21" t="s">
        <v>550</v>
      </c>
      <c r="J116" s="25" t="s">
        <v>71</v>
      </c>
    </row>
    <row r="117" ht="15.75" customHeight="1">
      <c r="A117" s="25" t="s">
        <v>1023</v>
      </c>
      <c r="B117" s="25" t="s">
        <v>175</v>
      </c>
      <c r="C117" s="26">
        <v>44044.0</v>
      </c>
      <c r="D117" s="27" t="s">
        <v>176</v>
      </c>
      <c r="E117" s="21">
        <v>1.0</v>
      </c>
      <c r="F117" s="21">
        <v>49500.0</v>
      </c>
      <c r="G117" s="21">
        <f t="shared" si="1"/>
        <v>49500</v>
      </c>
      <c r="H117" s="21" t="s">
        <v>549</v>
      </c>
      <c r="I117" s="21" t="s">
        <v>550</v>
      </c>
      <c r="J117" s="25" t="s">
        <v>71</v>
      </c>
    </row>
    <row r="118" ht="15.75" customHeight="1">
      <c r="A118" s="25" t="s">
        <v>1025</v>
      </c>
      <c r="B118" s="25" t="s">
        <v>175</v>
      </c>
      <c r="C118" s="26">
        <v>44075.0</v>
      </c>
      <c r="D118" s="27" t="s">
        <v>176</v>
      </c>
      <c r="E118" s="21">
        <v>1.0</v>
      </c>
      <c r="F118" s="21">
        <v>49500.0</v>
      </c>
      <c r="G118" s="21">
        <f t="shared" si="1"/>
        <v>49500</v>
      </c>
      <c r="H118" s="21" t="s">
        <v>549</v>
      </c>
      <c r="I118" s="21" t="s">
        <v>550</v>
      </c>
      <c r="J118" s="25" t="s">
        <v>71</v>
      </c>
    </row>
    <row r="119" ht="15.75" customHeight="1">
      <c r="A119" s="25" t="s">
        <v>1027</v>
      </c>
      <c r="B119" s="25" t="s">
        <v>175</v>
      </c>
      <c r="C119" s="26">
        <v>44105.0</v>
      </c>
      <c r="D119" s="27" t="s">
        <v>176</v>
      </c>
      <c r="E119" s="21">
        <v>1.0</v>
      </c>
      <c r="F119" s="21">
        <v>49500.0</v>
      </c>
      <c r="G119" s="21">
        <f t="shared" si="1"/>
        <v>49500</v>
      </c>
      <c r="H119" s="21" t="s">
        <v>549</v>
      </c>
      <c r="I119" s="21" t="s">
        <v>550</v>
      </c>
      <c r="J119" s="25" t="s">
        <v>71</v>
      </c>
    </row>
    <row r="120" ht="15.75" customHeight="1">
      <c r="A120" s="25" t="s">
        <v>1029</v>
      </c>
      <c r="B120" s="25" t="s">
        <v>175</v>
      </c>
      <c r="C120" s="26">
        <v>44136.0</v>
      </c>
      <c r="D120" s="27" t="s">
        <v>176</v>
      </c>
      <c r="E120" s="21">
        <v>1.0</v>
      </c>
      <c r="F120" s="21">
        <v>49500.0</v>
      </c>
      <c r="G120" s="21">
        <f t="shared" si="1"/>
        <v>49500</v>
      </c>
      <c r="H120" s="21" t="s">
        <v>549</v>
      </c>
      <c r="I120" s="21" t="s">
        <v>550</v>
      </c>
      <c r="J120" s="25" t="s">
        <v>71</v>
      </c>
    </row>
    <row r="121" ht="15.75" customHeight="1">
      <c r="A121" s="25" t="s">
        <v>1031</v>
      </c>
      <c r="B121" s="25" t="s">
        <v>175</v>
      </c>
      <c r="C121" s="26">
        <v>44166.0</v>
      </c>
      <c r="D121" s="27" t="s">
        <v>176</v>
      </c>
      <c r="E121" s="21">
        <v>1.0</v>
      </c>
      <c r="F121" s="21">
        <v>49500.0</v>
      </c>
      <c r="G121" s="21">
        <f t="shared" si="1"/>
        <v>49500</v>
      </c>
      <c r="H121" s="21" t="s">
        <v>549</v>
      </c>
      <c r="I121" s="21" t="s">
        <v>550</v>
      </c>
      <c r="J121" s="25" t="s">
        <v>71</v>
      </c>
    </row>
    <row r="122" ht="15.75" customHeight="1">
      <c r="A122" s="25" t="s">
        <v>1034</v>
      </c>
      <c r="B122" s="25" t="s">
        <v>188</v>
      </c>
      <c r="C122" s="26">
        <v>43831.0</v>
      </c>
      <c r="D122" s="27" t="s">
        <v>189</v>
      </c>
      <c r="E122" s="21">
        <v>0.0</v>
      </c>
      <c r="F122" s="21">
        <v>49500.0</v>
      </c>
      <c r="G122" s="21">
        <f t="shared" si="1"/>
        <v>0</v>
      </c>
      <c r="H122" s="21" t="s">
        <v>549</v>
      </c>
      <c r="I122" s="21" t="s">
        <v>550</v>
      </c>
      <c r="J122" s="25" t="s">
        <v>71</v>
      </c>
    </row>
    <row r="123" ht="15.75" customHeight="1">
      <c r="A123" s="25" t="s">
        <v>1036</v>
      </c>
      <c r="B123" s="25" t="s">
        <v>188</v>
      </c>
      <c r="C123" s="26">
        <v>43862.0</v>
      </c>
      <c r="D123" s="27" t="s">
        <v>189</v>
      </c>
      <c r="E123" s="21">
        <v>0.0</v>
      </c>
      <c r="F123" s="21">
        <v>49500.0</v>
      </c>
      <c r="G123" s="21">
        <f t="shared" si="1"/>
        <v>0</v>
      </c>
      <c r="H123" s="21" t="s">
        <v>549</v>
      </c>
      <c r="I123" s="21" t="s">
        <v>550</v>
      </c>
      <c r="J123" s="25" t="s">
        <v>71</v>
      </c>
    </row>
    <row r="124" ht="15.75" customHeight="1">
      <c r="A124" s="25" t="s">
        <v>1038</v>
      </c>
      <c r="B124" s="25" t="s">
        <v>188</v>
      </c>
      <c r="C124" s="26">
        <v>43891.0</v>
      </c>
      <c r="D124" s="27" t="s">
        <v>189</v>
      </c>
      <c r="E124" s="21">
        <v>1.0</v>
      </c>
      <c r="F124" s="21">
        <v>49500.0</v>
      </c>
      <c r="G124" s="21">
        <f t="shared" si="1"/>
        <v>49500</v>
      </c>
      <c r="H124" s="21" t="s">
        <v>549</v>
      </c>
      <c r="I124" s="21" t="s">
        <v>550</v>
      </c>
      <c r="J124" s="25" t="s">
        <v>71</v>
      </c>
    </row>
    <row r="125" ht="15.75" customHeight="1">
      <c r="A125" s="25" t="s">
        <v>1040</v>
      </c>
      <c r="B125" s="25" t="s">
        <v>188</v>
      </c>
      <c r="C125" s="26">
        <v>43922.0</v>
      </c>
      <c r="D125" s="27" t="s">
        <v>189</v>
      </c>
      <c r="E125" s="21">
        <v>0.0</v>
      </c>
      <c r="F125" s="21">
        <v>49500.0</v>
      </c>
      <c r="G125" s="21">
        <f t="shared" si="1"/>
        <v>0</v>
      </c>
      <c r="H125" s="21" t="s">
        <v>549</v>
      </c>
      <c r="I125" s="21" t="s">
        <v>550</v>
      </c>
      <c r="J125" s="25" t="s">
        <v>71</v>
      </c>
    </row>
    <row r="126" ht="15.75" customHeight="1">
      <c r="A126" s="25" t="s">
        <v>1042</v>
      </c>
      <c r="B126" s="25" t="s">
        <v>188</v>
      </c>
      <c r="C126" s="26">
        <v>43952.0</v>
      </c>
      <c r="D126" s="27" t="s">
        <v>189</v>
      </c>
      <c r="E126" s="21">
        <v>1.0</v>
      </c>
      <c r="F126" s="21">
        <v>49500.0</v>
      </c>
      <c r="G126" s="21">
        <f t="shared" si="1"/>
        <v>49500</v>
      </c>
      <c r="H126" s="21" t="s">
        <v>549</v>
      </c>
      <c r="I126" s="21" t="s">
        <v>550</v>
      </c>
      <c r="J126" s="25" t="s">
        <v>71</v>
      </c>
    </row>
    <row r="127" ht="15.75" customHeight="1">
      <c r="A127" s="25" t="s">
        <v>1044</v>
      </c>
      <c r="B127" s="25" t="s">
        <v>188</v>
      </c>
      <c r="C127" s="26">
        <v>43983.0</v>
      </c>
      <c r="D127" s="27" t="s">
        <v>189</v>
      </c>
      <c r="E127" s="21">
        <v>0.0</v>
      </c>
      <c r="F127" s="21">
        <v>49500.0</v>
      </c>
      <c r="G127" s="21">
        <f t="shared" si="1"/>
        <v>0</v>
      </c>
      <c r="H127" s="21" t="s">
        <v>549</v>
      </c>
      <c r="I127" s="21" t="s">
        <v>550</v>
      </c>
      <c r="J127" s="25" t="s">
        <v>71</v>
      </c>
    </row>
    <row r="128" ht="15.75" customHeight="1">
      <c r="A128" s="25" t="s">
        <v>1047</v>
      </c>
      <c r="B128" s="25" t="s">
        <v>188</v>
      </c>
      <c r="C128" s="26">
        <v>44013.0</v>
      </c>
      <c r="D128" s="27" t="s">
        <v>189</v>
      </c>
      <c r="E128" s="21">
        <v>1.0</v>
      </c>
      <c r="F128" s="21">
        <v>49500.0</v>
      </c>
      <c r="G128" s="21">
        <f t="shared" si="1"/>
        <v>49500</v>
      </c>
      <c r="H128" s="21" t="s">
        <v>549</v>
      </c>
      <c r="I128" s="21" t="s">
        <v>550</v>
      </c>
      <c r="J128" s="25" t="s">
        <v>71</v>
      </c>
    </row>
    <row r="129" ht="15.75" customHeight="1">
      <c r="A129" s="25" t="s">
        <v>1049</v>
      </c>
      <c r="B129" s="25" t="s">
        <v>188</v>
      </c>
      <c r="C129" s="26">
        <v>44044.0</v>
      </c>
      <c r="D129" s="27" t="s">
        <v>189</v>
      </c>
      <c r="E129" s="21">
        <v>0.0</v>
      </c>
      <c r="F129" s="21">
        <v>49500.0</v>
      </c>
      <c r="G129" s="21">
        <f t="shared" si="1"/>
        <v>0</v>
      </c>
      <c r="H129" s="21" t="s">
        <v>549</v>
      </c>
      <c r="I129" s="21" t="s">
        <v>550</v>
      </c>
      <c r="J129" s="25" t="s">
        <v>71</v>
      </c>
    </row>
    <row r="130" ht="15.75" customHeight="1">
      <c r="A130" s="25" t="s">
        <v>1051</v>
      </c>
      <c r="B130" s="25" t="s">
        <v>188</v>
      </c>
      <c r="C130" s="26">
        <v>44075.0</v>
      </c>
      <c r="D130" s="27" t="s">
        <v>189</v>
      </c>
      <c r="E130" s="21">
        <v>0.0</v>
      </c>
      <c r="F130" s="21">
        <v>49500.0</v>
      </c>
      <c r="G130" s="21">
        <f t="shared" si="1"/>
        <v>0</v>
      </c>
      <c r="H130" s="21" t="s">
        <v>549</v>
      </c>
      <c r="I130" s="21" t="s">
        <v>550</v>
      </c>
      <c r="J130" s="25" t="s">
        <v>71</v>
      </c>
    </row>
    <row r="131" ht="15.75" customHeight="1">
      <c r="A131" s="25" t="s">
        <v>1053</v>
      </c>
      <c r="B131" s="25" t="s">
        <v>188</v>
      </c>
      <c r="C131" s="26">
        <v>44105.0</v>
      </c>
      <c r="D131" s="27" t="s">
        <v>189</v>
      </c>
      <c r="E131" s="21">
        <v>1.0</v>
      </c>
      <c r="F131" s="21">
        <v>49500.0</v>
      </c>
      <c r="G131" s="21">
        <f t="shared" si="1"/>
        <v>49500</v>
      </c>
      <c r="H131" s="21" t="s">
        <v>549</v>
      </c>
      <c r="I131" s="21" t="s">
        <v>550</v>
      </c>
      <c r="J131" s="25" t="s">
        <v>71</v>
      </c>
    </row>
    <row r="132" ht="15.75" customHeight="1">
      <c r="A132" s="25" t="s">
        <v>1056</v>
      </c>
      <c r="B132" s="25" t="s">
        <v>188</v>
      </c>
      <c r="C132" s="26">
        <v>44136.0</v>
      </c>
      <c r="D132" s="27" t="s">
        <v>189</v>
      </c>
      <c r="E132" s="21">
        <v>0.0</v>
      </c>
      <c r="F132" s="21">
        <v>49500.0</v>
      </c>
      <c r="G132" s="21">
        <f t="shared" si="1"/>
        <v>0</v>
      </c>
      <c r="H132" s="21" t="s">
        <v>549</v>
      </c>
      <c r="I132" s="21" t="s">
        <v>550</v>
      </c>
      <c r="J132" s="25" t="s">
        <v>71</v>
      </c>
    </row>
    <row r="133" ht="15.75" customHeight="1">
      <c r="A133" s="25" t="s">
        <v>1058</v>
      </c>
      <c r="B133" s="25" t="s">
        <v>188</v>
      </c>
      <c r="C133" s="26">
        <v>44166.0</v>
      </c>
      <c r="D133" s="27" t="s">
        <v>189</v>
      </c>
      <c r="E133" s="21">
        <v>1.0</v>
      </c>
      <c r="F133" s="21">
        <v>49500.0</v>
      </c>
      <c r="G133" s="21">
        <f t="shared" si="1"/>
        <v>49500</v>
      </c>
      <c r="H133" s="21" t="s">
        <v>549</v>
      </c>
      <c r="I133" s="21" t="s">
        <v>550</v>
      </c>
      <c r="J133" s="25" t="s">
        <v>71</v>
      </c>
    </row>
    <row r="134" ht="15.75" customHeight="1">
      <c r="A134" s="25" t="s">
        <v>1060</v>
      </c>
      <c r="B134" s="25" t="s">
        <v>38</v>
      </c>
      <c r="C134" s="26">
        <v>44197.0</v>
      </c>
      <c r="D134" s="21" t="s">
        <v>41</v>
      </c>
      <c r="E134" s="21">
        <v>16.0</v>
      </c>
      <c r="F134" s="21">
        <v>45000.0</v>
      </c>
      <c r="G134" s="21">
        <f t="shared" si="1"/>
        <v>720000</v>
      </c>
      <c r="H134" s="21" t="s">
        <v>549</v>
      </c>
      <c r="I134" s="21" t="s">
        <v>550</v>
      </c>
      <c r="J134" s="25" t="s">
        <v>71</v>
      </c>
    </row>
    <row r="135" ht="15.75" customHeight="1">
      <c r="A135" s="25" t="s">
        <v>1061</v>
      </c>
      <c r="B135" s="25" t="s">
        <v>38</v>
      </c>
      <c r="C135" s="26">
        <v>44228.0</v>
      </c>
      <c r="D135" s="21" t="s">
        <v>41</v>
      </c>
      <c r="E135" s="21">
        <v>9.0</v>
      </c>
      <c r="F135" s="21">
        <v>45000.0</v>
      </c>
      <c r="G135" s="21">
        <f t="shared" si="1"/>
        <v>405000</v>
      </c>
      <c r="H135" s="21" t="s">
        <v>549</v>
      </c>
      <c r="I135" s="21" t="s">
        <v>550</v>
      </c>
      <c r="J135" s="25" t="s">
        <v>71</v>
      </c>
    </row>
    <row r="136" ht="15.75" customHeight="1">
      <c r="A136" s="25" t="s">
        <v>1062</v>
      </c>
      <c r="B136" s="25" t="s">
        <v>38</v>
      </c>
      <c r="C136" s="26">
        <v>44256.0</v>
      </c>
      <c r="D136" s="21" t="s">
        <v>41</v>
      </c>
      <c r="E136" s="21">
        <v>17.0</v>
      </c>
      <c r="F136" s="21">
        <v>45000.0</v>
      </c>
      <c r="G136" s="21">
        <f t="shared" si="1"/>
        <v>765000</v>
      </c>
      <c r="H136" s="21" t="s">
        <v>549</v>
      </c>
      <c r="I136" s="21" t="s">
        <v>550</v>
      </c>
      <c r="J136" s="25" t="s">
        <v>71</v>
      </c>
    </row>
    <row r="137" ht="15.75" customHeight="1">
      <c r="A137" s="25" t="s">
        <v>1063</v>
      </c>
      <c r="B137" s="25" t="s">
        <v>38</v>
      </c>
      <c r="C137" s="26">
        <v>44287.0</v>
      </c>
      <c r="D137" s="21" t="s">
        <v>41</v>
      </c>
      <c r="E137" s="21">
        <v>16.0</v>
      </c>
      <c r="F137" s="21">
        <v>45000.0</v>
      </c>
      <c r="G137" s="21">
        <f t="shared" si="1"/>
        <v>720000</v>
      </c>
      <c r="H137" s="21" t="s">
        <v>549</v>
      </c>
      <c r="I137" s="21" t="s">
        <v>550</v>
      </c>
      <c r="J137" s="25" t="s">
        <v>71</v>
      </c>
    </row>
    <row r="138" ht="15.75" customHeight="1">
      <c r="A138" s="25" t="s">
        <v>1066</v>
      </c>
      <c r="B138" s="25" t="s">
        <v>38</v>
      </c>
      <c r="C138" s="26">
        <v>44317.0</v>
      </c>
      <c r="D138" s="21" t="s">
        <v>41</v>
      </c>
      <c r="E138" s="21">
        <v>9.0</v>
      </c>
      <c r="F138" s="21">
        <v>45000.0</v>
      </c>
      <c r="G138" s="21">
        <f t="shared" si="1"/>
        <v>405000</v>
      </c>
      <c r="H138" s="21" t="s">
        <v>549</v>
      </c>
      <c r="I138" s="21" t="s">
        <v>550</v>
      </c>
      <c r="J138" s="25" t="s">
        <v>71</v>
      </c>
    </row>
    <row r="139" ht="15.75" customHeight="1">
      <c r="A139" s="25" t="s">
        <v>1068</v>
      </c>
      <c r="B139" s="25" t="s">
        <v>38</v>
      </c>
      <c r="C139" s="26">
        <v>44348.0</v>
      </c>
      <c r="D139" s="21" t="s">
        <v>41</v>
      </c>
      <c r="E139" s="21">
        <v>23.0</v>
      </c>
      <c r="F139" s="21">
        <v>45000.0</v>
      </c>
      <c r="G139" s="21">
        <f t="shared" si="1"/>
        <v>1035000</v>
      </c>
      <c r="H139" s="21" t="s">
        <v>549</v>
      </c>
      <c r="I139" s="21" t="s">
        <v>550</v>
      </c>
      <c r="J139" s="25" t="s">
        <v>71</v>
      </c>
    </row>
    <row r="140" ht="15.75" customHeight="1">
      <c r="A140" s="25" t="s">
        <v>1070</v>
      </c>
      <c r="B140" s="25" t="s">
        <v>38</v>
      </c>
      <c r="C140" s="26">
        <v>44378.0</v>
      </c>
      <c r="D140" s="21" t="s">
        <v>41</v>
      </c>
      <c r="E140" s="21">
        <v>35.0</v>
      </c>
      <c r="F140" s="21">
        <v>45000.0</v>
      </c>
      <c r="G140" s="21">
        <f t="shared" si="1"/>
        <v>1575000</v>
      </c>
      <c r="H140" s="21" t="s">
        <v>549</v>
      </c>
      <c r="I140" s="21" t="s">
        <v>550</v>
      </c>
      <c r="J140" s="25" t="s">
        <v>71</v>
      </c>
    </row>
    <row r="141" ht="15.75" customHeight="1">
      <c r="A141" s="25" t="s">
        <v>1073</v>
      </c>
      <c r="B141" s="25" t="s">
        <v>38</v>
      </c>
      <c r="C141" s="26">
        <v>44409.0</v>
      </c>
      <c r="D141" s="21" t="s">
        <v>41</v>
      </c>
      <c r="E141" s="21">
        <v>7.0</v>
      </c>
      <c r="F141" s="21">
        <v>45000.0</v>
      </c>
      <c r="G141" s="21">
        <f t="shared" si="1"/>
        <v>315000</v>
      </c>
      <c r="H141" s="21" t="s">
        <v>549</v>
      </c>
      <c r="I141" s="21" t="s">
        <v>550</v>
      </c>
      <c r="J141" s="25" t="s">
        <v>71</v>
      </c>
    </row>
    <row r="142" ht="15.75" customHeight="1">
      <c r="A142" s="25" t="s">
        <v>1075</v>
      </c>
      <c r="B142" s="25" t="s">
        <v>38</v>
      </c>
      <c r="C142" s="26">
        <v>44440.0</v>
      </c>
      <c r="D142" s="21" t="s">
        <v>41</v>
      </c>
      <c r="E142" s="21">
        <v>15.0</v>
      </c>
      <c r="F142" s="21">
        <v>45000.0</v>
      </c>
      <c r="G142" s="21">
        <f t="shared" si="1"/>
        <v>675000</v>
      </c>
      <c r="H142" s="21" t="s">
        <v>549</v>
      </c>
      <c r="I142" s="21" t="s">
        <v>550</v>
      </c>
      <c r="J142" s="25" t="s">
        <v>71</v>
      </c>
    </row>
    <row r="143" ht="15.75" customHeight="1">
      <c r="A143" s="25" t="s">
        <v>1077</v>
      </c>
      <c r="B143" s="25" t="s">
        <v>38</v>
      </c>
      <c r="C143" s="26">
        <v>44470.0</v>
      </c>
      <c r="D143" s="21" t="s">
        <v>41</v>
      </c>
      <c r="E143" s="21">
        <v>20.0</v>
      </c>
      <c r="F143" s="21">
        <v>45000.0</v>
      </c>
      <c r="G143" s="21">
        <f t="shared" si="1"/>
        <v>900000</v>
      </c>
      <c r="H143" s="21" t="s">
        <v>549</v>
      </c>
      <c r="I143" s="21" t="s">
        <v>550</v>
      </c>
      <c r="J143" s="25" t="s">
        <v>71</v>
      </c>
    </row>
    <row r="144" ht="15.75" customHeight="1">
      <c r="A144" s="25" t="s">
        <v>1079</v>
      </c>
      <c r="B144" s="25" t="s">
        <v>38</v>
      </c>
      <c r="C144" s="26">
        <v>44501.0</v>
      </c>
      <c r="D144" s="21" t="s">
        <v>41</v>
      </c>
      <c r="E144" s="21">
        <v>27.0</v>
      </c>
      <c r="F144" s="21">
        <v>45000.0</v>
      </c>
      <c r="G144" s="21">
        <f t="shared" si="1"/>
        <v>1215000</v>
      </c>
      <c r="H144" s="21" t="s">
        <v>549</v>
      </c>
      <c r="I144" s="21" t="s">
        <v>550</v>
      </c>
      <c r="J144" s="25" t="s">
        <v>71</v>
      </c>
    </row>
    <row r="145" ht="15.75" customHeight="1">
      <c r="A145" s="25" t="s">
        <v>1082</v>
      </c>
      <c r="B145" s="25" t="s">
        <v>38</v>
      </c>
      <c r="C145" s="26">
        <v>44531.0</v>
      </c>
      <c r="D145" s="21" t="s">
        <v>41</v>
      </c>
      <c r="E145" s="21">
        <v>17.0</v>
      </c>
      <c r="F145" s="21">
        <v>45000.0</v>
      </c>
      <c r="G145" s="21">
        <f t="shared" si="1"/>
        <v>765000</v>
      </c>
      <c r="H145" s="21" t="s">
        <v>549</v>
      </c>
      <c r="I145" s="21" t="s">
        <v>550</v>
      </c>
      <c r="J145" s="25" t="s">
        <v>71</v>
      </c>
    </row>
    <row r="146" ht="15.75" customHeight="1">
      <c r="A146" s="25" t="s">
        <v>1084</v>
      </c>
      <c r="B146" s="25" t="s">
        <v>40</v>
      </c>
      <c r="C146" s="26">
        <v>44197.0</v>
      </c>
      <c r="D146" s="21" t="s">
        <v>42</v>
      </c>
      <c r="E146" s="21">
        <v>1.0</v>
      </c>
      <c r="F146" s="21">
        <v>45500.0</v>
      </c>
      <c r="G146" s="21">
        <f t="shared" si="1"/>
        <v>45500</v>
      </c>
      <c r="H146" s="21" t="s">
        <v>549</v>
      </c>
      <c r="I146" s="21" t="s">
        <v>550</v>
      </c>
      <c r="J146" s="25" t="s">
        <v>71</v>
      </c>
    </row>
    <row r="147" ht="15.75" customHeight="1">
      <c r="A147" s="25" t="s">
        <v>1086</v>
      </c>
      <c r="B147" s="25" t="s">
        <v>40</v>
      </c>
      <c r="C147" s="26">
        <v>44228.0</v>
      </c>
      <c r="D147" s="21" t="s">
        <v>42</v>
      </c>
      <c r="E147" s="21">
        <v>2.0</v>
      </c>
      <c r="F147" s="21">
        <v>45500.0</v>
      </c>
      <c r="G147" s="21">
        <f t="shared" si="1"/>
        <v>91000</v>
      </c>
      <c r="H147" s="21" t="s">
        <v>549</v>
      </c>
      <c r="I147" s="21" t="s">
        <v>550</v>
      </c>
      <c r="J147" s="25" t="s">
        <v>71</v>
      </c>
    </row>
    <row r="148" ht="15.75" customHeight="1">
      <c r="A148" s="25" t="s">
        <v>1088</v>
      </c>
      <c r="B148" s="25" t="s">
        <v>40</v>
      </c>
      <c r="C148" s="26">
        <v>44256.0</v>
      </c>
      <c r="D148" s="21" t="s">
        <v>42</v>
      </c>
      <c r="E148" s="21">
        <v>6.0</v>
      </c>
      <c r="F148" s="21">
        <v>45500.0</v>
      </c>
      <c r="G148" s="21">
        <f t="shared" si="1"/>
        <v>273000</v>
      </c>
      <c r="H148" s="21" t="s">
        <v>549</v>
      </c>
      <c r="I148" s="21" t="s">
        <v>550</v>
      </c>
      <c r="J148" s="25" t="s">
        <v>71</v>
      </c>
    </row>
    <row r="149" ht="15.75" customHeight="1">
      <c r="A149" s="25" t="s">
        <v>1091</v>
      </c>
      <c r="B149" s="25" t="s">
        <v>40</v>
      </c>
      <c r="C149" s="26">
        <v>44287.0</v>
      </c>
      <c r="D149" s="21" t="s">
        <v>42</v>
      </c>
      <c r="E149" s="21">
        <v>4.0</v>
      </c>
      <c r="F149" s="21">
        <v>45500.0</v>
      </c>
      <c r="G149" s="21">
        <f t="shared" si="1"/>
        <v>182000</v>
      </c>
      <c r="H149" s="21" t="s">
        <v>549</v>
      </c>
      <c r="I149" s="21" t="s">
        <v>550</v>
      </c>
      <c r="J149" s="25" t="s">
        <v>71</v>
      </c>
    </row>
    <row r="150" ht="15.75" customHeight="1">
      <c r="A150" s="25" t="s">
        <v>1093</v>
      </c>
      <c r="B150" s="25" t="s">
        <v>40</v>
      </c>
      <c r="C150" s="26">
        <v>44317.0</v>
      </c>
      <c r="D150" s="21" t="s">
        <v>42</v>
      </c>
      <c r="E150" s="21">
        <v>1.0</v>
      </c>
      <c r="F150" s="21">
        <v>45500.0</v>
      </c>
      <c r="G150" s="21">
        <f t="shared" si="1"/>
        <v>45500</v>
      </c>
      <c r="H150" s="21" t="s">
        <v>549</v>
      </c>
      <c r="I150" s="21" t="s">
        <v>550</v>
      </c>
      <c r="J150" s="25" t="s">
        <v>71</v>
      </c>
    </row>
    <row r="151" ht="15.75" customHeight="1">
      <c r="A151" s="25" t="s">
        <v>1097</v>
      </c>
      <c r="B151" s="25" t="s">
        <v>40</v>
      </c>
      <c r="C151" s="26">
        <v>44348.0</v>
      </c>
      <c r="D151" s="21" t="s">
        <v>42</v>
      </c>
      <c r="E151" s="21">
        <v>1.0</v>
      </c>
      <c r="F151" s="21">
        <v>45500.0</v>
      </c>
      <c r="G151" s="21">
        <f t="shared" si="1"/>
        <v>45500</v>
      </c>
      <c r="H151" s="21" t="s">
        <v>549</v>
      </c>
      <c r="I151" s="21" t="s">
        <v>550</v>
      </c>
      <c r="J151" s="25" t="s">
        <v>71</v>
      </c>
    </row>
    <row r="152" ht="15.75" customHeight="1">
      <c r="A152" s="25" t="s">
        <v>1099</v>
      </c>
      <c r="B152" s="25" t="s">
        <v>40</v>
      </c>
      <c r="C152" s="26">
        <v>44378.0</v>
      </c>
      <c r="D152" s="21" t="s">
        <v>42</v>
      </c>
      <c r="E152" s="21">
        <v>1.0</v>
      </c>
      <c r="F152" s="21">
        <v>45500.0</v>
      </c>
      <c r="G152" s="21">
        <f t="shared" si="1"/>
        <v>45500</v>
      </c>
      <c r="H152" s="21" t="s">
        <v>549</v>
      </c>
      <c r="I152" s="21" t="s">
        <v>550</v>
      </c>
      <c r="J152" s="25" t="s">
        <v>71</v>
      </c>
    </row>
    <row r="153" ht="15.75" customHeight="1">
      <c r="A153" s="25" t="s">
        <v>1101</v>
      </c>
      <c r="B153" s="25" t="s">
        <v>40</v>
      </c>
      <c r="C153" s="26">
        <v>44409.0</v>
      </c>
      <c r="D153" s="21" t="s">
        <v>42</v>
      </c>
      <c r="E153" s="21">
        <v>4.0</v>
      </c>
      <c r="F153" s="21">
        <v>45500.0</v>
      </c>
      <c r="G153" s="21">
        <f t="shared" si="1"/>
        <v>182000</v>
      </c>
      <c r="H153" s="21" t="s">
        <v>549</v>
      </c>
      <c r="I153" s="21" t="s">
        <v>550</v>
      </c>
      <c r="J153" s="25" t="s">
        <v>71</v>
      </c>
    </row>
    <row r="154" ht="15.75" customHeight="1">
      <c r="A154" s="25" t="s">
        <v>1103</v>
      </c>
      <c r="B154" s="25" t="s">
        <v>40</v>
      </c>
      <c r="C154" s="26">
        <v>44440.0</v>
      </c>
      <c r="D154" s="21" t="s">
        <v>42</v>
      </c>
      <c r="E154" s="21">
        <v>3.0</v>
      </c>
      <c r="F154" s="21">
        <v>45500.0</v>
      </c>
      <c r="G154" s="21">
        <f t="shared" si="1"/>
        <v>136500</v>
      </c>
      <c r="H154" s="21" t="s">
        <v>549</v>
      </c>
      <c r="I154" s="21" t="s">
        <v>550</v>
      </c>
      <c r="J154" s="25" t="s">
        <v>71</v>
      </c>
    </row>
    <row r="155" ht="15.75" customHeight="1">
      <c r="A155" s="25" t="s">
        <v>1106</v>
      </c>
      <c r="B155" s="25" t="s">
        <v>40</v>
      </c>
      <c r="C155" s="26">
        <v>44470.0</v>
      </c>
      <c r="D155" s="21" t="s">
        <v>42</v>
      </c>
      <c r="E155" s="21">
        <v>6.0</v>
      </c>
      <c r="F155" s="21">
        <v>45500.0</v>
      </c>
      <c r="G155" s="21">
        <f t="shared" si="1"/>
        <v>273000</v>
      </c>
      <c r="H155" s="21" t="s">
        <v>549</v>
      </c>
      <c r="I155" s="21" t="s">
        <v>550</v>
      </c>
      <c r="J155" s="25" t="s">
        <v>71</v>
      </c>
    </row>
    <row r="156" ht="15.75" customHeight="1">
      <c r="A156" s="25" t="s">
        <v>1108</v>
      </c>
      <c r="B156" s="25" t="s">
        <v>40</v>
      </c>
      <c r="C156" s="26">
        <v>44501.0</v>
      </c>
      <c r="D156" s="21" t="s">
        <v>42</v>
      </c>
      <c r="E156" s="21">
        <v>4.0</v>
      </c>
      <c r="F156" s="21">
        <v>45500.0</v>
      </c>
      <c r="G156" s="21">
        <f t="shared" si="1"/>
        <v>182000</v>
      </c>
      <c r="H156" s="21" t="s">
        <v>549</v>
      </c>
      <c r="I156" s="21" t="s">
        <v>550</v>
      </c>
      <c r="J156" s="25" t="s">
        <v>71</v>
      </c>
    </row>
    <row r="157" ht="15.75" customHeight="1">
      <c r="A157" s="25" t="s">
        <v>1110</v>
      </c>
      <c r="B157" s="25" t="s">
        <v>40</v>
      </c>
      <c r="C157" s="26">
        <v>44531.0</v>
      </c>
      <c r="D157" s="21" t="s">
        <v>42</v>
      </c>
      <c r="E157" s="21">
        <v>9.0</v>
      </c>
      <c r="F157" s="21">
        <v>45500.0</v>
      </c>
      <c r="G157" s="21">
        <f t="shared" si="1"/>
        <v>409500</v>
      </c>
      <c r="H157" s="21" t="s">
        <v>549</v>
      </c>
      <c r="I157" s="21" t="s">
        <v>550</v>
      </c>
      <c r="J157" s="25" t="s">
        <v>71</v>
      </c>
    </row>
    <row r="158" ht="15.75" customHeight="1">
      <c r="A158" s="25" t="s">
        <v>1113</v>
      </c>
      <c r="B158" s="25" t="s">
        <v>82</v>
      </c>
      <c r="C158" s="26">
        <v>44197.0</v>
      </c>
      <c r="D158" s="21" t="s">
        <v>84</v>
      </c>
      <c r="E158" s="21">
        <v>12.0</v>
      </c>
      <c r="F158" s="21">
        <v>45000.0</v>
      </c>
      <c r="G158" s="21">
        <f t="shared" si="1"/>
        <v>540000</v>
      </c>
      <c r="H158" s="21" t="s">
        <v>549</v>
      </c>
      <c r="I158" s="21" t="s">
        <v>550</v>
      </c>
      <c r="J158" s="25" t="s">
        <v>71</v>
      </c>
    </row>
    <row r="159" ht="15.75" customHeight="1">
      <c r="A159" s="25" t="s">
        <v>1115</v>
      </c>
      <c r="B159" s="25" t="s">
        <v>82</v>
      </c>
      <c r="C159" s="26">
        <v>44228.0</v>
      </c>
      <c r="D159" s="21" t="s">
        <v>84</v>
      </c>
      <c r="E159" s="21">
        <v>6.0</v>
      </c>
      <c r="F159" s="21">
        <v>45000.0</v>
      </c>
      <c r="G159" s="21">
        <f t="shared" si="1"/>
        <v>270000</v>
      </c>
      <c r="H159" s="21" t="s">
        <v>549</v>
      </c>
      <c r="I159" s="21" t="s">
        <v>550</v>
      </c>
      <c r="J159" s="25" t="s">
        <v>71</v>
      </c>
    </row>
    <row r="160" ht="15.75" customHeight="1">
      <c r="A160" s="25" t="s">
        <v>1117</v>
      </c>
      <c r="B160" s="25" t="s">
        <v>82</v>
      </c>
      <c r="C160" s="26">
        <v>44256.0</v>
      </c>
      <c r="D160" s="21" t="s">
        <v>84</v>
      </c>
      <c r="E160" s="21">
        <v>7.0</v>
      </c>
      <c r="F160" s="21">
        <v>45000.0</v>
      </c>
      <c r="G160" s="21">
        <f t="shared" si="1"/>
        <v>315000</v>
      </c>
      <c r="H160" s="21" t="s">
        <v>549</v>
      </c>
      <c r="I160" s="21" t="s">
        <v>550</v>
      </c>
      <c r="J160" s="25" t="s">
        <v>71</v>
      </c>
    </row>
    <row r="161" ht="15.75" customHeight="1">
      <c r="A161" s="25" t="s">
        <v>1119</v>
      </c>
      <c r="B161" s="25" t="s">
        <v>82</v>
      </c>
      <c r="C161" s="26">
        <v>44287.0</v>
      </c>
      <c r="D161" s="21" t="s">
        <v>84</v>
      </c>
      <c r="E161" s="21">
        <v>6.0</v>
      </c>
      <c r="F161" s="21">
        <v>45000.0</v>
      </c>
      <c r="G161" s="21">
        <f t="shared" si="1"/>
        <v>270000</v>
      </c>
      <c r="H161" s="21" t="s">
        <v>549</v>
      </c>
      <c r="I161" s="21" t="s">
        <v>550</v>
      </c>
      <c r="J161" s="25" t="s">
        <v>71</v>
      </c>
    </row>
    <row r="162" ht="15.75" customHeight="1">
      <c r="A162" s="25" t="s">
        <v>1121</v>
      </c>
      <c r="B162" s="25" t="s">
        <v>82</v>
      </c>
      <c r="C162" s="26">
        <v>44317.0</v>
      </c>
      <c r="D162" s="21" t="s">
        <v>84</v>
      </c>
      <c r="E162" s="21">
        <v>14.0</v>
      </c>
      <c r="F162" s="21">
        <v>45000.0</v>
      </c>
      <c r="G162" s="21">
        <f t="shared" si="1"/>
        <v>630000</v>
      </c>
      <c r="H162" s="21" t="s">
        <v>549</v>
      </c>
      <c r="I162" s="21" t="s">
        <v>550</v>
      </c>
      <c r="J162" s="25" t="s">
        <v>71</v>
      </c>
    </row>
    <row r="163" ht="15.75" customHeight="1">
      <c r="A163" s="25" t="s">
        <v>1124</v>
      </c>
      <c r="B163" s="25" t="s">
        <v>82</v>
      </c>
      <c r="C163" s="26">
        <v>44348.0</v>
      </c>
      <c r="D163" s="21" t="s">
        <v>84</v>
      </c>
      <c r="E163" s="21">
        <v>16.0</v>
      </c>
      <c r="F163" s="21">
        <v>45000.0</v>
      </c>
      <c r="G163" s="21">
        <f t="shared" si="1"/>
        <v>720000</v>
      </c>
      <c r="H163" s="21" t="s">
        <v>549</v>
      </c>
      <c r="I163" s="21" t="s">
        <v>550</v>
      </c>
      <c r="J163" s="25" t="s">
        <v>71</v>
      </c>
    </row>
    <row r="164" ht="15.75" customHeight="1">
      <c r="A164" s="25" t="s">
        <v>1126</v>
      </c>
      <c r="B164" s="25" t="s">
        <v>82</v>
      </c>
      <c r="C164" s="26">
        <v>44378.0</v>
      </c>
      <c r="D164" s="21" t="s">
        <v>84</v>
      </c>
      <c r="E164" s="21">
        <v>8.0</v>
      </c>
      <c r="F164" s="21">
        <v>45000.0</v>
      </c>
      <c r="G164" s="21">
        <f t="shared" si="1"/>
        <v>360000</v>
      </c>
      <c r="H164" s="21" t="s">
        <v>549</v>
      </c>
      <c r="I164" s="21" t="s">
        <v>550</v>
      </c>
      <c r="J164" s="25" t="s">
        <v>71</v>
      </c>
    </row>
    <row r="165" ht="15.75" customHeight="1">
      <c r="A165" s="25" t="s">
        <v>1128</v>
      </c>
      <c r="B165" s="25" t="s">
        <v>82</v>
      </c>
      <c r="C165" s="26">
        <v>44409.0</v>
      </c>
      <c r="D165" s="21" t="s">
        <v>84</v>
      </c>
      <c r="E165" s="21">
        <v>10.0</v>
      </c>
      <c r="F165" s="21">
        <v>45000.0</v>
      </c>
      <c r="G165" s="21">
        <f t="shared" si="1"/>
        <v>450000</v>
      </c>
      <c r="H165" s="21" t="s">
        <v>549</v>
      </c>
      <c r="I165" s="21" t="s">
        <v>550</v>
      </c>
      <c r="J165" s="25" t="s">
        <v>71</v>
      </c>
    </row>
    <row r="166" ht="15.75" customHeight="1">
      <c r="A166" s="25" t="s">
        <v>1130</v>
      </c>
      <c r="B166" s="25" t="s">
        <v>82</v>
      </c>
      <c r="C166" s="26">
        <v>44440.0</v>
      </c>
      <c r="D166" s="21" t="s">
        <v>84</v>
      </c>
      <c r="E166" s="21">
        <v>10.0</v>
      </c>
      <c r="F166" s="21">
        <v>45000.0</v>
      </c>
      <c r="G166" s="21">
        <f t="shared" si="1"/>
        <v>450000</v>
      </c>
      <c r="H166" s="21" t="s">
        <v>549</v>
      </c>
      <c r="I166" s="21" t="s">
        <v>550</v>
      </c>
      <c r="J166" s="25" t="s">
        <v>71</v>
      </c>
    </row>
    <row r="167" ht="15.75" customHeight="1">
      <c r="A167" s="25" t="s">
        <v>1132</v>
      </c>
      <c r="B167" s="25" t="s">
        <v>82</v>
      </c>
      <c r="C167" s="26">
        <v>44470.0</v>
      </c>
      <c r="D167" s="21" t="s">
        <v>84</v>
      </c>
      <c r="E167" s="21">
        <v>3.0</v>
      </c>
      <c r="F167" s="21">
        <v>45000.0</v>
      </c>
      <c r="G167" s="21">
        <f t="shared" si="1"/>
        <v>135000</v>
      </c>
      <c r="H167" s="21" t="s">
        <v>549</v>
      </c>
      <c r="I167" s="21" t="s">
        <v>550</v>
      </c>
      <c r="J167" s="25" t="s">
        <v>71</v>
      </c>
    </row>
    <row r="168" ht="15.75" customHeight="1">
      <c r="A168" s="25" t="s">
        <v>1134</v>
      </c>
      <c r="B168" s="25" t="s">
        <v>82</v>
      </c>
      <c r="C168" s="26">
        <v>44501.0</v>
      </c>
      <c r="D168" s="21" t="s">
        <v>84</v>
      </c>
      <c r="E168" s="21">
        <v>3.0</v>
      </c>
      <c r="F168" s="21">
        <v>45000.0</v>
      </c>
      <c r="G168" s="21">
        <f t="shared" si="1"/>
        <v>135000</v>
      </c>
      <c r="H168" s="21" t="s">
        <v>549</v>
      </c>
      <c r="I168" s="21" t="s">
        <v>550</v>
      </c>
      <c r="J168" s="25" t="s">
        <v>71</v>
      </c>
    </row>
    <row r="169" ht="15.75" customHeight="1">
      <c r="A169" s="25" t="s">
        <v>1139</v>
      </c>
      <c r="B169" s="25" t="s">
        <v>82</v>
      </c>
      <c r="C169" s="26">
        <v>44531.0</v>
      </c>
      <c r="D169" s="21" t="s">
        <v>84</v>
      </c>
      <c r="E169" s="21">
        <v>5.0</v>
      </c>
      <c r="F169" s="21">
        <v>45000.0</v>
      </c>
      <c r="G169" s="21">
        <f t="shared" si="1"/>
        <v>225000</v>
      </c>
      <c r="H169" s="21" t="s">
        <v>549</v>
      </c>
      <c r="I169" s="21" t="s">
        <v>550</v>
      </c>
      <c r="J169" s="25" t="s">
        <v>71</v>
      </c>
    </row>
    <row r="170" ht="15.75" customHeight="1">
      <c r="A170" s="25" t="s">
        <v>1141</v>
      </c>
      <c r="B170" s="25" t="s">
        <v>97</v>
      </c>
      <c r="C170" s="26">
        <v>44197.0</v>
      </c>
      <c r="D170" s="21" t="s">
        <v>99</v>
      </c>
      <c r="E170" s="21">
        <v>2.0</v>
      </c>
      <c r="F170" s="21">
        <v>36000.0</v>
      </c>
      <c r="G170" s="21">
        <f t="shared" si="1"/>
        <v>72000</v>
      </c>
      <c r="H170" s="21" t="s">
        <v>424</v>
      </c>
      <c r="I170" s="21" t="s">
        <v>550</v>
      </c>
      <c r="J170" s="25" t="s">
        <v>71</v>
      </c>
    </row>
    <row r="171" ht="15.75" customHeight="1">
      <c r="A171" s="25" t="s">
        <v>1143</v>
      </c>
      <c r="B171" s="25" t="s">
        <v>97</v>
      </c>
      <c r="C171" s="26">
        <v>44228.0</v>
      </c>
      <c r="D171" s="21" t="s">
        <v>99</v>
      </c>
      <c r="E171" s="21">
        <v>2.0</v>
      </c>
      <c r="F171" s="21">
        <v>36000.0</v>
      </c>
      <c r="G171" s="21">
        <f t="shared" si="1"/>
        <v>72000</v>
      </c>
      <c r="H171" s="21" t="s">
        <v>424</v>
      </c>
      <c r="I171" s="21" t="s">
        <v>550</v>
      </c>
      <c r="J171" s="25" t="s">
        <v>71</v>
      </c>
    </row>
    <row r="172" ht="15.75" customHeight="1">
      <c r="A172" s="25" t="s">
        <v>1148</v>
      </c>
      <c r="B172" s="25" t="s">
        <v>97</v>
      </c>
      <c r="C172" s="26">
        <v>44256.0</v>
      </c>
      <c r="D172" s="21" t="s">
        <v>99</v>
      </c>
      <c r="E172" s="21">
        <v>0.0</v>
      </c>
      <c r="F172" s="21">
        <v>36000.0</v>
      </c>
      <c r="G172" s="21">
        <f t="shared" si="1"/>
        <v>0</v>
      </c>
      <c r="H172" s="21" t="s">
        <v>424</v>
      </c>
      <c r="I172" s="21" t="s">
        <v>550</v>
      </c>
      <c r="J172" s="25" t="s">
        <v>71</v>
      </c>
    </row>
    <row r="173" ht="15.75" customHeight="1">
      <c r="A173" s="25" t="s">
        <v>1150</v>
      </c>
      <c r="B173" s="25" t="s">
        <v>97</v>
      </c>
      <c r="C173" s="26">
        <v>44287.0</v>
      </c>
      <c r="D173" s="21" t="s">
        <v>99</v>
      </c>
      <c r="E173" s="21">
        <v>0.0</v>
      </c>
      <c r="F173" s="21">
        <v>36000.0</v>
      </c>
      <c r="G173" s="21">
        <f t="shared" si="1"/>
        <v>0</v>
      </c>
      <c r="H173" s="21" t="s">
        <v>424</v>
      </c>
      <c r="I173" s="21" t="s">
        <v>550</v>
      </c>
      <c r="J173" s="25" t="s">
        <v>71</v>
      </c>
    </row>
    <row r="174" ht="15.75" customHeight="1">
      <c r="A174" s="25" t="s">
        <v>1153</v>
      </c>
      <c r="B174" s="25" t="s">
        <v>97</v>
      </c>
      <c r="C174" s="26">
        <v>44317.0</v>
      </c>
      <c r="D174" s="21" t="s">
        <v>99</v>
      </c>
      <c r="E174" s="21">
        <v>0.0</v>
      </c>
      <c r="F174" s="21">
        <v>36000.0</v>
      </c>
      <c r="G174" s="21">
        <f t="shared" si="1"/>
        <v>0</v>
      </c>
      <c r="H174" s="21" t="s">
        <v>424</v>
      </c>
      <c r="I174" s="21" t="s">
        <v>550</v>
      </c>
      <c r="J174" s="25" t="s">
        <v>71</v>
      </c>
    </row>
    <row r="175" ht="15.75" customHeight="1">
      <c r="A175" s="25" t="s">
        <v>1155</v>
      </c>
      <c r="B175" s="25" t="s">
        <v>97</v>
      </c>
      <c r="C175" s="26">
        <v>44348.0</v>
      </c>
      <c r="D175" s="21" t="s">
        <v>99</v>
      </c>
      <c r="E175" s="21">
        <v>2.0</v>
      </c>
      <c r="F175" s="21">
        <v>36000.0</v>
      </c>
      <c r="G175" s="21">
        <f t="shared" si="1"/>
        <v>72000</v>
      </c>
      <c r="H175" s="21" t="s">
        <v>424</v>
      </c>
      <c r="I175" s="21" t="s">
        <v>550</v>
      </c>
      <c r="J175" s="25" t="s">
        <v>71</v>
      </c>
    </row>
    <row r="176" ht="15.75" customHeight="1">
      <c r="A176" s="25" t="s">
        <v>1157</v>
      </c>
      <c r="B176" s="25" t="s">
        <v>97</v>
      </c>
      <c r="C176" s="26">
        <v>44378.0</v>
      </c>
      <c r="D176" s="21" t="s">
        <v>99</v>
      </c>
      <c r="E176" s="21">
        <v>0.0</v>
      </c>
      <c r="F176" s="21">
        <v>36000.0</v>
      </c>
      <c r="G176" s="21">
        <f t="shared" si="1"/>
        <v>0</v>
      </c>
      <c r="H176" s="21" t="s">
        <v>424</v>
      </c>
      <c r="I176" s="21" t="s">
        <v>550</v>
      </c>
      <c r="J176" s="25" t="s">
        <v>71</v>
      </c>
    </row>
    <row r="177" ht="15.75" customHeight="1">
      <c r="A177" s="25" t="s">
        <v>1159</v>
      </c>
      <c r="B177" s="25" t="s">
        <v>97</v>
      </c>
      <c r="C177" s="26">
        <v>44409.0</v>
      </c>
      <c r="D177" s="21" t="s">
        <v>99</v>
      </c>
      <c r="E177" s="21">
        <v>1.0</v>
      </c>
      <c r="F177" s="21">
        <v>36000.0</v>
      </c>
      <c r="G177" s="21">
        <f t="shared" si="1"/>
        <v>36000</v>
      </c>
      <c r="H177" s="21" t="s">
        <v>424</v>
      </c>
      <c r="I177" s="21" t="s">
        <v>550</v>
      </c>
      <c r="J177" s="25" t="s">
        <v>71</v>
      </c>
    </row>
    <row r="178" ht="15.75" customHeight="1">
      <c r="A178" s="25" t="s">
        <v>1161</v>
      </c>
      <c r="B178" s="25" t="s">
        <v>97</v>
      </c>
      <c r="C178" s="26">
        <v>44440.0</v>
      </c>
      <c r="D178" s="21" t="s">
        <v>99</v>
      </c>
      <c r="E178" s="21">
        <v>2.0</v>
      </c>
      <c r="F178" s="21">
        <v>36000.0</v>
      </c>
      <c r="G178" s="21">
        <f t="shared" si="1"/>
        <v>72000</v>
      </c>
      <c r="H178" s="21" t="s">
        <v>424</v>
      </c>
      <c r="I178" s="21" t="s">
        <v>550</v>
      </c>
      <c r="J178" s="25" t="s">
        <v>71</v>
      </c>
    </row>
    <row r="179" ht="15.75" customHeight="1">
      <c r="A179" s="25" t="s">
        <v>1163</v>
      </c>
      <c r="B179" s="25" t="s">
        <v>97</v>
      </c>
      <c r="C179" s="26">
        <v>44470.0</v>
      </c>
      <c r="D179" s="21" t="s">
        <v>99</v>
      </c>
      <c r="E179" s="21">
        <v>0.0</v>
      </c>
      <c r="F179" s="21">
        <v>36000.0</v>
      </c>
      <c r="G179" s="21">
        <f t="shared" si="1"/>
        <v>0</v>
      </c>
      <c r="H179" s="21" t="s">
        <v>424</v>
      </c>
      <c r="I179" s="21" t="s">
        <v>550</v>
      </c>
      <c r="J179" s="25" t="s">
        <v>71</v>
      </c>
    </row>
    <row r="180" ht="15.75" customHeight="1">
      <c r="A180" s="25" t="s">
        <v>1166</v>
      </c>
      <c r="B180" s="25" t="s">
        <v>97</v>
      </c>
      <c r="C180" s="26">
        <v>44501.0</v>
      </c>
      <c r="D180" s="21" t="s">
        <v>99</v>
      </c>
      <c r="E180" s="21">
        <v>0.0</v>
      </c>
      <c r="F180" s="21">
        <v>36000.0</v>
      </c>
      <c r="G180" s="21">
        <f t="shared" si="1"/>
        <v>0</v>
      </c>
      <c r="H180" s="21" t="s">
        <v>424</v>
      </c>
      <c r="I180" s="21" t="s">
        <v>550</v>
      </c>
      <c r="J180" s="25" t="s">
        <v>71</v>
      </c>
    </row>
    <row r="181" ht="15.75" customHeight="1">
      <c r="A181" s="25" t="s">
        <v>1168</v>
      </c>
      <c r="B181" s="25" t="s">
        <v>97</v>
      </c>
      <c r="C181" s="26">
        <v>44531.0</v>
      </c>
      <c r="D181" s="21" t="s">
        <v>99</v>
      </c>
      <c r="E181" s="21">
        <v>1.0</v>
      </c>
      <c r="F181" s="21">
        <v>36000.0</v>
      </c>
      <c r="G181" s="21">
        <f t="shared" si="1"/>
        <v>36000</v>
      </c>
      <c r="H181" s="21" t="s">
        <v>424</v>
      </c>
      <c r="I181" s="21" t="s">
        <v>550</v>
      </c>
      <c r="J181" s="25" t="s">
        <v>71</v>
      </c>
    </row>
    <row r="182" ht="15.75" customHeight="1">
      <c r="A182" s="25" t="s">
        <v>1170</v>
      </c>
      <c r="B182" s="25" t="s">
        <v>110</v>
      </c>
      <c r="C182" s="26">
        <v>44197.0</v>
      </c>
      <c r="D182" s="21" t="s">
        <v>112</v>
      </c>
      <c r="E182" s="21">
        <v>1.0</v>
      </c>
      <c r="F182" s="21">
        <v>30000.0</v>
      </c>
      <c r="G182" s="21">
        <f t="shared" si="1"/>
        <v>30000</v>
      </c>
      <c r="H182" s="21" t="s">
        <v>758</v>
      </c>
      <c r="I182" s="21" t="s">
        <v>550</v>
      </c>
      <c r="J182" s="25" t="s">
        <v>71</v>
      </c>
    </row>
    <row r="183" ht="15.75" customHeight="1">
      <c r="A183" s="25" t="s">
        <v>1172</v>
      </c>
      <c r="B183" s="25" t="s">
        <v>110</v>
      </c>
      <c r="C183" s="26">
        <v>44228.0</v>
      </c>
      <c r="D183" s="21" t="s">
        <v>112</v>
      </c>
      <c r="E183" s="21">
        <v>2.0</v>
      </c>
      <c r="F183" s="21">
        <v>30000.0</v>
      </c>
      <c r="G183" s="21">
        <f t="shared" si="1"/>
        <v>60000</v>
      </c>
      <c r="H183" s="21" t="s">
        <v>758</v>
      </c>
      <c r="I183" s="21" t="s">
        <v>550</v>
      </c>
      <c r="J183" s="25" t="s">
        <v>71</v>
      </c>
    </row>
    <row r="184" ht="15.75" customHeight="1">
      <c r="A184" s="25" t="s">
        <v>1178</v>
      </c>
      <c r="B184" s="25" t="s">
        <v>110</v>
      </c>
      <c r="C184" s="26">
        <v>44256.0</v>
      </c>
      <c r="D184" s="21" t="s">
        <v>112</v>
      </c>
      <c r="E184" s="21">
        <v>0.0</v>
      </c>
      <c r="F184" s="21">
        <v>30000.0</v>
      </c>
      <c r="G184" s="21">
        <f t="shared" si="1"/>
        <v>0</v>
      </c>
      <c r="H184" s="21" t="s">
        <v>758</v>
      </c>
      <c r="I184" s="21" t="s">
        <v>550</v>
      </c>
      <c r="J184" s="25" t="s">
        <v>71</v>
      </c>
    </row>
    <row r="185" ht="15.75" customHeight="1">
      <c r="A185" s="25" t="s">
        <v>1180</v>
      </c>
      <c r="B185" s="25" t="s">
        <v>110</v>
      </c>
      <c r="C185" s="26">
        <v>44287.0</v>
      </c>
      <c r="D185" s="21" t="s">
        <v>112</v>
      </c>
      <c r="E185" s="21">
        <v>2.0</v>
      </c>
      <c r="F185" s="21">
        <v>30000.0</v>
      </c>
      <c r="G185" s="21">
        <f t="shared" si="1"/>
        <v>60000</v>
      </c>
      <c r="H185" s="21" t="s">
        <v>758</v>
      </c>
      <c r="I185" s="21" t="s">
        <v>550</v>
      </c>
      <c r="J185" s="25" t="s">
        <v>71</v>
      </c>
    </row>
    <row r="186" ht="15.75" customHeight="1">
      <c r="A186" s="25" t="s">
        <v>1182</v>
      </c>
      <c r="B186" s="25" t="s">
        <v>110</v>
      </c>
      <c r="C186" s="26">
        <v>44317.0</v>
      </c>
      <c r="D186" s="21" t="s">
        <v>112</v>
      </c>
      <c r="E186" s="21">
        <v>2.0</v>
      </c>
      <c r="F186" s="21">
        <v>30000.0</v>
      </c>
      <c r="G186" s="21">
        <f t="shared" si="1"/>
        <v>60000</v>
      </c>
      <c r="H186" s="21" t="s">
        <v>758</v>
      </c>
      <c r="I186" s="21" t="s">
        <v>550</v>
      </c>
      <c r="J186" s="25" t="s">
        <v>71</v>
      </c>
    </row>
    <row r="187" ht="15.75" customHeight="1">
      <c r="A187" s="25" t="s">
        <v>1185</v>
      </c>
      <c r="B187" s="25" t="s">
        <v>110</v>
      </c>
      <c r="C187" s="26">
        <v>44348.0</v>
      </c>
      <c r="D187" s="21" t="s">
        <v>112</v>
      </c>
      <c r="E187" s="21">
        <v>2.0</v>
      </c>
      <c r="F187" s="21">
        <v>30000.0</v>
      </c>
      <c r="G187" s="21">
        <f t="shared" si="1"/>
        <v>60000</v>
      </c>
      <c r="H187" s="21" t="s">
        <v>758</v>
      </c>
      <c r="I187" s="21" t="s">
        <v>550</v>
      </c>
      <c r="J187" s="25" t="s">
        <v>71</v>
      </c>
    </row>
    <row r="188" ht="15.75" customHeight="1">
      <c r="A188" s="25" t="s">
        <v>1187</v>
      </c>
      <c r="B188" s="25" t="s">
        <v>110</v>
      </c>
      <c r="C188" s="26">
        <v>44378.0</v>
      </c>
      <c r="D188" s="21" t="s">
        <v>112</v>
      </c>
      <c r="E188" s="21">
        <v>0.0</v>
      </c>
      <c r="F188" s="21">
        <v>30000.0</v>
      </c>
      <c r="G188" s="21">
        <f t="shared" si="1"/>
        <v>0</v>
      </c>
      <c r="H188" s="21" t="s">
        <v>758</v>
      </c>
      <c r="I188" s="21" t="s">
        <v>550</v>
      </c>
      <c r="J188" s="25" t="s">
        <v>71</v>
      </c>
    </row>
    <row r="189" ht="15.75" customHeight="1">
      <c r="A189" s="25" t="s">
        <v>1189</v>
      </c>
      <c r="B189" s="25" t="s">
        <v>110</v>
      </c>
      <c r="C189" s="26">
        <v>44409.0</v>
      </c>
      <c r="D189" s="21" t="s">
        <v>112</v>
      </c>
      <c r="E189" s="21">
        <v>0.0</v>
      </c>
      <c r="F189" s="21">
        <v>30000.0</v>
      </c>
      <c r="G189" s="21">
        <f t="shared" si="1"/>
        <v>0</v>
      </c>
      <c r="H189" s="21" t="s">
        <v>758</v>
      </c>
      <c r="I189" s="21" t="s">
        <v>550</v>
      </c>
      <c r="J189" s="25" t="s">
        <v>71</v>
      </c>
    </row>
    <row r="190" ht="15.75" customHeight="1">
      <c r="A190" s="25" t="s">
        <v>1191</v>
      </c>
      <c r="B190" s="25" t="s">
        <v>110</v>
      </c>
      <c r="C190" s="26">
        <v>44440.0</v>
      </c>
      <c r="D190" s="21" t="s">
        <v>112</v>
      </c>
      <c r="E190" s="21">
        <v>0.0</v>
      </c>
      <c r="F190" s="21">
        <v>30000.0</v>
      </c>
      <c r="G190" s="21">
        <f t="shared" si="1"/>
        <v>0</v>
      </c>
      <c r="H190" s="21" t="s">
        <v>758</v>
      </c>
      <c r="I190" s="21" t="s">
        <v>550</v>
      </c>
      <c r="J190" s="25" t="s">
        <v>71</v>
      </c>
    </row>
    <row r="191" ht="15.75" customHeight="1">
      <c r="A191" s="25" t="s">
        <v>1193</v>
      </c>
      <c r="B191" s="25" t="s">
        <v>110</v>
      </c>
      <c r="C191" s="26">
        <v>44470.0</v>
      </c>
      <c r="D191" s="21" t="s">
        <v>112</v>
      </c>
      <c r="E191" s="21">
        <v>0.0</v>
      </c>
      <c r="F191" s="21">
        <v>30000.0</v>
      </c>
      <c r="G191" s="21">
        <f t="shared" si="1"/>
        <v>0</v>
      </c>
      <c r="H191" s="21" t="s">
        <v>758</v>
      </c>
      <c r="I191" s="21" t="s">
        <v>550</v>
      </c>
      <c r="J191" s="25" t="s">
        <v>71</v>
      </c>
    </row>
    <row r="192" ht="15.75" customHeight="1">
      <c r="A192" s="25" t="s">
        <v>1195</v>
      </c>
      <c r="B192" s="25" t="s">
        <v>110</v>
      </c>
      <c r="C192" s="26">
        <v>44501.0</v>
      </c>
      <c r="D192" s="21" t="s">
        <v>112</v>
      </c>
      <c r="E192" s="21">
        <v>3.0</v>
      </c>
      <c r="F192" s="21">
        <v>30000.0</v>
      </c>
      <c r="G192" s="21">
        <f t="shared" si="1"/>
        <v>90000</v>
      </c>
      <c r="H192" s="21" t="s">
        <v>758</v>
      </c>
      <c r="I192" s="21" t="s">
        <v>550</v>
      </c>
      <c r="J192" s="25" t="s">
        <v>71</v>
      </c>
    </row>
    <row r="193" ht="15.75" customHeight="1">
      <c r="A193" s="25" t="s">
        <v>1198</v>
      </c>
      <c r="B193" s="25" t="s">
        <v>110</v>
      </c>
      <c r="C193" s="26">
        <v>44531.0</v>
      </c>
      <c r="D193" s="21" t="s">
        <v>112</v>
      </c>
      <c r="E193" s="21">
        <v>4.0</v>
      </c>
      <c r="F193" s="21">
        <v>30000.0</v>
      </c>
      <c r="G193" s="21">
        <f t="shared" si="1"/>
        <v>120000</v>
      </c>
      <c r="H193" s="21" t="s">
        <v>758</v>
      </c>
      <c r="I193" s="21" t="s">
        <v>550</v>
      </c>
      <c r="J193" s="25" t="s">
        <v>71</v>
      </c>
    </row>
    <row r="194" ht="15.75" customHeight="1">
      <c r="A194" s="25" t="s">
        <v>1200</v>
      </c>
      <c r="B194" s="25" t="s">
        <v>124</v>
      </c>
      <c r="C194" s="26">
        <v>44197.0</v>
      </c>
      <c r="D194" s="21" t="s">
        <v>125</v>
      </c>
      <c r="E194" s="21">
        <v>2.0</v>
      </c>
      <c r="F194" s="21">
        <v>49500.0</v>
      </c>
      <c r="G194" s="21">
        <f t="shared" si="1"/>
        <v>99000</v>
      </c>
      <c r="H194" s="21" t="s">
        <v>549</v>
      </c>
      <c r="I194" s="21" t="s">
        <v>550</v>
      </c>
      <c r="J194" s="25" t="s">
        <v>71</v>
      </c>
    </row>
    <row r="195" ht="15.75" customHeight="1">
      <c r="A195" s="25" t="s">
        <v>1202</v>
      </c>
      <c r="B195" s="25" t="s">
        <v>124</v>
      </c>
      <c r="C195" s="26">
        <v>44228.0</v>
      </c>
      <c r="D195" s="21" t="s">
        <v>125</v>
      </c>
      <c r="E195" s="21">
        <v>0.0</v>
      </c>
      <c r="F195" s="21">
        <v>49500.0</v>
      </c>
      <c r="G195" s="21">
        <f t="shared" si="1"/>
        <v>0</v>
      </c>
      <c r="H195" s="21" t="s">
        <v>549</v>
      </c>
      <c r="I195" s="21" t="s">
        <v>550</v>
      </c>
      <c r="J195" s="25" t="s">
        <v>71</v>
      </c>
    </row>
    <row r="196" ht="15.75" customHeight="1">
      <c r="A196" s="25" t="s">
        <v>1204</v>
      </c>
      <c r="B196" s="25" t="s">
        <v>124</v>
      </c>
      <c r="C196" s="26">
        <v>44256.0</v>
      </c>
      <c r="D196" s="21" t="s">
        <v>125</v>
      </c>
      <c r="E196" s="21">
        <v>2.0</v>
      </c>
      <c r="F196" s="21">
        <v>49500.0</v>
      </c>
      <c r="G196" s="21">
        <f t="shared" si="1"/>
        <v>99000</v>
      </c>
      <c r="H196" s="21" t="s">
        <v>549</v>
      </c>
      <c r="I196" s="21" t="s">
        <v>550</v>
      </c>
      <c r="J196" s="25" t="s">
        <v>71</v>
      </c>
    </row>
    <row r="197" ht="15.75" customHeight="1">
      <c r="A197" s="25" t="s">
        <v>1207</v>
      </c>
      <c r="B197" s="25" t="s">
        <v>124</v>
      </c>
      <c r="C197" s="26">
        <v>44287.0</v>
      </c>
      <c r="D197" s="21" t="s">
        <v>125</v>
      </c>
      <c r="E197" s="21">
        <v>1.0</v>
      </c>
      <c r="F197" s="21">
        <v>49500.0</v>
      </c>
      <c r="G197" s="21">
        <f t="shared" si="1"/>
        <v>49500</v>
      </c>
      <c r="H197" s="21" t="s">
        <v>549</v>
      </c>
      <c r="I197" s="21" t="s">
        <v>550</v>
      </c>
      <c r="J197" s="25" t="s">
        <v>71</v>
      </c>
    </row>
    <row r="198" ht="15.75" customHeight="1">
      <c r="A198" s="25" t="s">
        <v>1209</v>
      </c>
      <c r="B198" s="25" t="s">
        <v>124</v>
      </c>
      <c r="C198" s="26">
        <v>44317.0</v>
      </c>
      <c r="D198" s="21" t="s">
        <v>125</v>
      </c>
      <c r="E198" s="21">
        <v>0.0</v>
      </c>
      <c r="F198" s="21">
        <v>49500.0</v>
      </c>
      <c r="G198" s="21">
        <f t="shared" si="1"/>
        <v>0</v>
      </c>
      <c r="H198" s="21" t="s">
        <v>549</v>
      </c>
      <c r="I198" s="21" t="s">
        <v>550</v>
      </c>
      <c r="J198" s="25" t="s">
        <v>71</v>
      </c>
    </row>
    <row r="199" ht="15.75" customHeight="1">
      <c r="A199" s="25" t="s">
        <v>1211</v>
      </c>
      <c r="B199" s="25" t="s">
        <v>124</v>
      </c>
      <c r="C199" s="26">
        <v>44348.0</v>
      </c>
      <c r="D199" s="21" t="s">
        <v>125</v>
      </c>
      <c r="E199" s="21">
        <v>2.0</v>
      </c>
      <c r="F199" s="21">
        <v>49500.0</v>
      </c>
      <c r="G199" s="21">
        <f t="shared" si="1"/>
        <v>99000</v>
      </c>
      <c r="H199" s="21" t="s">
        <v>549</v>
      </c>
      <c r="I199" s="21" t="s">
        <v>550</v>
      </c>
      <c r="J199" s="25" t="s">
        <v>71</v>
      </c>
    </row>
    <row r="200" ht="15.75" customHeight="1">
      <c r="A200" s="25" t="s">
        <v>1214</v>
      </c>
      <c r="B200" s="25" t="s">
        <v>124</v>
      </c>
      <c r="C200" s="26">
        <v>44378.0</v>
      </c>
      <c r="D200" s="21" t="s">
        <v>125</v>
      </c>
      <c r="E200" s="21">
        <v>0.0</v>
      </c>
      <c r="F200" s="21">
        <v>49500.0</v>
      </c>
      <c r="G200" s="21">
        <f t="shared" si="1"/>
        <v>0</v>
      </c>
      <c r="H200" s="21" t="s">
        <v>549</v>
      </c>
      <c r="I200" s="21" t="s">
        <v>550</v>
      </c>
      <c r="J200" s="25" t="s">
        <v>71</v>
      </c>
    </row>
    <row r="201" ht="15.75" customHeight="1">
      <c r="A201" s="25" t="s">
        <v>1215</v>
      </c>
      <c r="B201" s="25" t="s">
        <v>124</v>
      </c>
      <c r="C201" s="26">
        <v>44409.0</v>
      </c>
      <c r="D201" s="21" t="s">
        <v>125</v>
      </c>
      <c r="E201" s="21">
        <v>2.0</v>
      </c>
      <c r="F201" s="21">
        <v>49500.0</v>
      </c>
      <c r="G201" s="21">
        <f t="shared" si="1"/>
        <v>99000</v>
      </c>
      <c r="H201" s="21" t="s">
        <v>549</v>
      </c>
      <c r="I201" s="21" t="s">
        <v>550</v>
      </c>
      <c r="J201" s="25" t="s">
        <v>71</v>
      </c>
    </row>
    <row r="202" ht="15.75" customHeight="1">
      <c r="A202" s="25" t="s">
        <v>1217</v>
      </c>
      <c r="B202" s="25" t="s">
        <v>124</v>
      </c>
      <c r="C202" s="26">
        <v>44440.0</v>
      </c>
      <c r="D202" s="21" t="s">
        <v>125</v>
      </c>
      <c r="E202" s="21">
        <v>2.0</v>
      </c>
      <c r="F202" s="21">
        <v>49500.0</v>
      </c>
      <c r="G202" s="21">
        <f t="shared" si="1"/>
        <v>99000</v>
      </c>
      <c r="H202" s="21" t="s">
        <v>549</v>
      </c>
      <c r="I202" s="21" t="s">
        <v>550</v>
      </c>
      <c r="J202" s="25" t="s">
        <v>71</v>
      </c>
    </row>
    <row r="203" ht="15.75" customHeight="1">
      <c r="A203" s="25" t="s">
        <v>1220</v>
      </c>
      <c r="B203" s="25" t="s">
        <v>124</v>
      </c>
      <c r="C203" s="26">
        <v>44470.0</v>
      </c>
      <c r="D203" s="21" t="s">
        <v>125</v>
      </c>
      <c r="E203" s="21">
        <v>0.0</v>
      </c>
      <c r="F203" s="21">
        <v>49500.0</v>
      </c>
      <c r="G203" s="21">
        <f t="shared" si="1"/>
        <v>0</v>
      </c>
      <c r="H203" s="21" t="s">
        <v>549</v>
      </c>
      <c r="I203" s="21" t="s">
        <v>550</v>
      </c>
      <c r="J203" s="25" t="s">
        <v>71</v>
      </c>
    </row>
    <row r="204" ht="15.75" customHeight="1">
      <c r="A204" s="25" t="s">
        <v>1222</v>
      </c>
      <c r="B204" s="25" t="s">
        <v>124</v>
      </c>
      <c r="C204" s="26">
        <v>44501.0</v>
      </c>
      <c r="D204" s="21" t="s">
        <v>125</v>
      </c>
      <c r="E204" s="21">
        <v>0.0</v>
      </c>
      <c r="F204" s="21">
        <v>49500.0</v>
      </c>
      <c r="G204" s="21">
        <f t="shared" si="1"/>
        <v>0</v>
      </c>
      <c r="H204" s="21" t="s">
        <v>549</v>
      </c>
      <c r="I204" s="21" t="s">
        <v>550</v>
      </c>
      <c r="J204" s="25" t="s">
        <v>71</v>
      </c>
    </row>
    <row r="205" ht="15.75" customHeight="1">
      <c r="A205" s="25" t="s">
        <v>1224</v>
      </c>
      <c r="B205" s="25" t="s">
        <v>124</v>
      </c>
      <c r="C205" s="26">
        <v>44531.0</v>
      </c>
      <c r="D205" s="21" t="s">
        <v>125</v>
      </c>
      <c r="E205" s="21">
        <v>0.0</v>
      </c>
      <c r="F205" s="21">
        <v>49500.0</v>
      </c>
      <c r="G205" s="21">
        <f t="shared" si="1"/>
        <v>0</v>
      </c>
      <c r="H205" s="21" t="s">
        <v>549</v>
      </c>
      <c r="I205" s="21" t="s">
        <v>550</v>
      </c>
      <c r="J205" s="25" t="s">
        <v>71</v>
      </c>
    </row>
    <row r="206" ht="15.75" customHeight="1">
      <c r="A206" s="25" t="s">
        <v>1227</v>
      </c>
      <c r="B206" s="25" t="s">
        <v>139</v>
      </c>
      <c r="C206" s="26">
        <v>44197.0</v>
      </c>
      <c r="D206" s="21" t="s">
        <v>140</v>
      </c>
      <c r="E206" s="21">
        <v>1.0</v>
      </c>
      <c r="F206" s="21">
        <v>30000.0</v>
      </c>
      <c r="G206" s="21">
        <f t="shared" si="1"/>
        <v>30000</v>
      </c>
      <c r="H206" s="21" t="s">
        <v>758</v>
      </c>
      <c r="I206" s="21" t="s">
        <v>550</v>
      </c>
      <c r="J206" s="25" t="s">
        <v>71</v>
      </c>
    </row>
    <row r="207" ht="15.75" customHeight="1">
      <c r="A207" s="25" t="s">
        <v>1229</v>
      </c>
      <c r="B207" s="25" t="s">
        <v>139</v>
      </c>
      <c r="C207" s="26">
        <v>44228.0</v>
      </c>
      <c r="D207" s="21" t="s">
        <v>140</v>
      </c>
      <c r="E207" s="21">
        <v>0.0</v>
      </c>
      <c r="F207" s="21">
        <v>30000.0</v>
      </c>
      <c r="G207" s="21">
        <f t="shared" si="1"/>
        <v>0</v>
      </c>
      <c r="H207" s="21" t="s">
        <v>758</v>
      </c>
      <c r="I207" s="21" t="s">
        <v>550</v>
      </c>
      <c r="J207" s="25" t="s">
        <v>71</v>
      </c>
    </row>
    <row r="208" ht="15.75" customHeight="1">
      <c r="A208" s="25" t="s">
        <v>1232</v>
      </c>
      <c r="B208" s="25" t="s">
        <v>139</v>
      </c>
      <c r="C208" s="26">
        <v>44256.0</v>
      </c>
      <c r="D208" s="21" t="s">
        <v>140</v>
      </c>
      <c r="E208" s="21">
        <v>0.0</v>
      </c>
      <c r="F208" s="21">
        <v>30000.0</v>
      </c>
      <c r="G208" s="21">
        <f t="shared" si="1"/>
        <v>0</v>
      </c>
      <c r="H208" s="21" t="s">
        <v>758</v>
      </c>
      <c r="I208" s="21" t="s">
        <v>550</v>
      </c>
      <c r="J208" s="25" t="s">
        <v>71</v>
      </c>
    </row>
    <row r="209" ht="15.75" customHeight="1">
      <c r="A209" s="25" t="s">
        <v>1234</v>
      </c>
      <c r="B209" s="25" t="s">
        <v>139</v>
      </c>
      <c r="C209" s="26">
        <v>44287.0</v>
      </c>
      <c r="D209" s="21" t="s">
        <v>140</v>
      </c>
      <c r="E209" s="21">
        <v>1.0</v>
      </c>
      <c r="F209" s="21">
        <v>30000.0</v>
      </c>
      <c r="G209" s="21">
        <f t="shared" si="1"/>
        <v>30000</v>
      </c>
      <c r="H209" s="21" t="s">
        <v>758</v>
      </c>
      <c r="I209" s="21" t="s">
        <v>550</v>
      </c>
      <c r="J209" s="25" t="s">
        <v>71</v>
      </c>
    </row>
    <row r="210" ht="15.75" customHeight="1">
      <c r="A210" s="25" t="s">
        <v>1236</v>
      </c>
      <c r="B210" s="25" t="s">
        <v>139</v>
      </c>
      <c r="C210" s="26">
        <v>44317.0</v>
      </c>
      <c r="D210" s="21" t="s">
        <v>140</v>
      </c>
      <c r="E210" s="21">
        <v>0.0</v>
      </c>
      <c r="F210" s="21">
        <v>30000.0</v>
      </c>
      <c r="G210" s="21">
        <f t="shared" si="1"/>
        <v>0</v>
      </c>
      <c r="H210" s="21" t="s">
        <v>758</v>
      </c>
      <c r="I210" s="21" t="s">
        <v>550</v>
      </c>
      <c r="J210" s="25" t="s">
        <v>71</v>
      </c>
    </row>
    <row r="211" ht="15.75" customHeight="1">
      <c r="A211" s="25" t="s">
        <v>1238</v>
      </c>
      <c r="B211" s="25" t="s">
        <v>139</v>
      </c>
      <c r="C211" s="26">
        <v>44348.0</v>
      </c>
      <c r="D211" s="21" t="s">
        <v>140</v>
      </c>
      <c r="E211" s="21">
        <v>0.0</v>
      </c>
      <c r="F211" s="21">
        <v>30000.0</v>
      </c>
      <c r="G211" s="21">
        <f t="shared" si="1"/>
        <v>0</v>
      </c>
      <c r="H211" s="21" t="s">
        <v>758</v>
      </c>
      <c r="I211" s="21" t="s">
        <v>550</v>
      </c>
      <c r="J211" s="25" t="s">
        <v>71</v>
      </c>
    </row>
    <row r="212" ht="15.75" customHeight="1">
      <c r="A212" s="25" t="s">
        <v>1240</v>
      </c>
      <c r="B212" s="25" t="s">
        <v>139</v>
      </c>
      <c r="C212" s="26">
        <v>44378.0</v>
      </c>
      <c r="D212" s="21" t="s">
        <v>140</v>
      </c>
      <c r="E212" s="21">
        <v>0.0</v>
      </c>
      <c r="F212" s="21">
        <v>30000.0</v>
      </c>
      <c r="G212" s="21">
        <f t="shared" si="1"/>
        <v>0</v>
      </c>
      <c r="H212" s="21" t="s">
        <v>758</v>
      </c>
      <c r="I212" s="21" t="s">
        <v>550</v>
      </c>
      <c r="J212" s="25" t="s">
        <v>71</v>
      </c>
    </row>
    <row r="213" ht="15.75" customHeight="1">
      <c r="A213" s="25" t="s">
        <v>1242</v>
      </c>
      <c r="B213" s="25" t="s">
        <v>139</v>
      </c>
      <c r="C213" s="26">
        <v>44409.0</v>
      </c>
      <c r="D213" s="21" t="s">
        <v>140</v>
      </c>
      <c r="E213" s="21">
        <v>0.0</v>
      </c>
      <c r="F213" s="21">
        <v>30000.0</v>
      </c>
      <c r="G213" s="21">
        <f t="shared" si="1"/>
        <v>0</v>
      </c>
      <c r="H213" s="21" t="s">
        <v>758</v>
      </c>
      <c r="I213" s="21" t="s">
        <v>550</v>
      </c>
      <c r="J213" s="25" t="s">
        <v>71</v>
      </c>
    </row>
    <row r="214" ht="15.75" customHeight="1">
      <c r="A214" s="25" t="s">
        <v>1244</v>
      </c>
      <c r="B214" s="25" t="s">
        <v>139</v>
      </c>
      <c r="C214" s="26">
        <v>44440.0</v>
      </c>
      <c r="D214" s="21" t="s">
        <v>140</v>
      </c>
      <c r="E214" s="21">
        <v>1.0</v>
      </c>
      <c r="F214" s="21">
        <v>30000.0</v>
      </c>
      <c r="G214" s="21">
        <f t="shared" si="1"/>
        <v>30000</v>
      </c>
      <c r="H214" s="21" t="s">
        <v>758</v>
      </c>
      <c r="I214" s="21" t="s">
        <v>550</v>
      </c>
      <c r="J214" s="25" t="s">
        <v>71</v>
      </c>
    </row>
    <row r="215" ht="15.75" customHeight="1">
      <c r="A215" s="25" t="s">
        <v>1246</v>
      </c>
      <c r="B215" s="25" t="s">
        <v>139</v>
      </c>
      <c r="C215" s="26">
        <v>44470.0</v>
      </c>
      <c r="D215" s="21" t="s">
        <v>140</v>
      </c>
      <c r="E215" s="21">
        <v>0.0</v>
      </c>
      <c r="F215" s="21">
        <v>30000.0</v>
      </c>
      <c r="G215" s="21">
        <f t="shared" si="1"/>
        <v>0</v>
      </c>
      <c r="H215" s="21" t="s">
        <v>758</v>
      </c>
      <c r="I215" s="21" t="s">
        <v>550</v>
      </c>
      <c r="J215" s="25" t="s">
        <v>71</v>
      </c>
    </row>
    <row r="216" ht="15.75" customHeight="1">
      <c r="A216" s="25" t="s">
        <v>1249</v>
      </c>
      <c r="B216" s="25" t="s">
        <v>139</v>
      </c>
      <c r="C216" s="26">
        <v>44501.0</v>
      </c>
      <c r="D216" s="21" t="s">
        <v>140</v>
      </c>
      <c r="E216" s="21">
        <v>0.0</v>
      </c>
      <c r="F216" s="21">
        <v>30000.0</v>
      </c>
      <c r="G216" s="21">
        <f t="shared" si="1"/>
        <v>0</v>
      </c>
      <c r="H216" s="21" t="s">
        <v>758</v>
      </c>
      <c r="I216" s="21" t="s">
        <v>550</v>
      </c>
      <c r="J216" s="25" t="s">
        <v>71</v>
      </c>
    </row>
    <row r="217" ht="15.75" customHeight="1">
      <c r="A217" s="25" t="s">
        <v>1251</v>
      </c>
      <c r="B217" s="25" t="s">
        <v>139</v>
      </c>
      <c r="C217" s="26">
        <v>44531.0</v>
      </c>
      <c r="D217" s="21" t="s">
        <v>140</v>
      </c>
      <c r="E217" s="21">
        <v>1.0</v>
      </c>
      <c r="F217" s="21">
        <v>30000.0</v>
      </c>
      <c r="G217" s="21">
        <f t="shared" si="1"/>
        <v>30000</v>
      </c>
      <c r="H217" s="21" t="s">
        <v>758</v>
      </c>
      <c r="I217" s="21" t="s">
        <v>550</v>
      </c>
      <c r="J217" s="25" t="s">
        <v>71</v>
      </c>
    </row>
    <row r="218" ht="15.75" customHeight="1">
      <c r="A218" s="25" t="s">
        <v>1253</v>
      </c>
      <c r="B218" s="25" t="s">
        <v>150</v>
      </c>
      <c r="C218" s="26">
        <v>44197.0</v>
      </c>
      <c r="D218" s="21" t="s">
        <v>151</v>
      </c>
      <c r="E218" s="21">
        <v>0.0</v>
      </c>
      <c r="F218" s="21">
        <v>30000.0</v>
      </c>
      <c r="G218" s="21">
        <f t="shared" si="1"/>
        <v>0</v>
      </c>
      <c r="H218" s="21" t="s">
        <v>758</v>
      </c>
      <c r="I218" s="21" t="s">
        <v>550</v>
      </c>
      <c r="J218" s="25" t="s">
        <v>71</v>
      </c>
    </row>
    <row r="219" ht="15.75" customHeight="1">
      <c r="A219" s="25" t="s">
        <v>1255</v>
      </c>
      <c r="B219" s="25" t="s">
        <v>150</v>
      </c>
      <c r="C219" s="26">
        <v>44228.0</v>
      </c>
      <c r="D219" s="21" t="s">
        <v>151</v>
      </c>
      <c r="E219" s="21">
        <v>0.0</v>
      </c>
      <c r="F219" s="21">
        <v>30000.0</v>
      </c>
      <c r="G219" s="21">
        <f t="shared" si="1"/>
        <v>0</v>
      </c>
      <c r="H219" s="21" t="s">
        <v>758</v>
      </c>
      <c r="I219" s="21" t="s">
        <v>550</v>
      </c>
      <c r="J219" s="25" t="s">
        <v>71</v>
      </c>
    </row>
    <row r="220" ht="15.75" customHeight="1">
      <c r="A220" s="25" t="s">
        <v>1257</v>
      </c>
      <c r="B220" s="25" t="s">
        <v>150</v>
      </c>
      <c r="C220" s="26">
        <v>44256.0</v>
      </c>
      <c r="D220" s="21" t="s">
        <v>151</v>
      </c>
      <c r="E220" s="21">
        <v>0.0</v>
      </c>
      <c r="F220" s="21">
        <v>30000.0</v>
      </c>
      <c r="G220" s="21">
        <f t="shared" si="1"/>
        <v>0</v>
      </c>
      <c r="H220" s="21" t="s">
        <v>758</v>
      </c>
      <c r="I220" s="21" t="s">
        <v>550</v>
      </c>
      <c r="J220" s="25" t="s">
        <v>71</v>
      </c>
    </row>
    <row r="221" ht="15.75" customHeight="1">
      <c r="A221" s="25" t="s">
        <v>1260</v>
      </c>
      <c r="B221" s="25" t="s">
        <v>150</v>
      </c>
      <c r="C221" s="26">
        <v>44287.0</v>
      </c>
      <c r="D221" s="21" t="s">
        <v>151</v>
      </c>
      <c r="E221" s="21">
        <v>1.0</v>
      </c>
      <c r="F221" s="21">
        <v>30000.0</v>
      </c>
      <c r="G221" s="21">
        <f t="shared" si="1"/>
        <v>30000</v>
      </c>
      <c r="H221" s="21" t="s">
        <v>758</v>
      </c>
      <c r="I221" s="21" t="s">
        <v>550</v>
      </c>
      <c r="J221" s="25" t="s">
        <v>71</v>
      </c>
    </row>
    <row r="222" ht="15.75" customHeight="1">
      <c r="A222" s="25" t="s">
        <v>1262</v>
      </c>
      <c r="B222" s="25" t="s">
        <v>150</v>
      </c>
      <c r="C222" s="26">
        <v>44317.0</v>
      </c>
      <c r="D222" s="21" t="s">
        <v>151</v>
      </c>
      <c r="E222" s="21">
        <v>0.0</v>
      </c>
      <c r="F222" s="21">
        <v>30000.0</v>
      </c>
      <c r="G222" s="21">
        <f t="shared" si="1"/>
        <v>0</v>
      </c>
      <c r="H222" s="21" t="s">
        <v>758</v>
      </c>
      <c r="I222" s="21" t="s">
        <v>550</v>
      </c>
      <c r="J222" s="25" t="s">
        <v>71</v>
      </c>
    </row>
    <row r="223" ht="15.75" customHeight="1">
      <c r="A223" s="25" t="s">
        <v>1265</v>
      </c>
      <c r="B223" s="25" t="s">
        <v>150</v>
      </c>
      <c r="C223" s="26">
        <v>44348.0</v>
      </c>
      <c r="D223" s="21" t="s">
        <v>151</v>
      </c>
      <c r="E223" s="21">
        <v>0.0</v>
      </c>
      <c r="F223" s="21">
        <v>30000.0</v>
      </c>
      <c r="G223" s="21">
        <f t="shared" si="1"/>
        <v>0</v>
      </c>
      <c r="H223" s="21" t="s">
        <v>758</v>
      </c>
      <c r="I223" s="21" t="s">
        <v>550</v>
      </c>
      <c r="J223" s="25" t="s">
        <v>71</v>
      </c>
    </row>
    <row r="224" ht="15.75" customHeight="1">
      <c r="A224" s="25" t="s">
        <v>1267</v>
      </c>
      <c r="B224" s="25" t="s">
        <v>150</v>
      </c>
      <c r="C224" s="26">
        <v>44378.0</v>
      </c>
      <c r="D224" s="21" t="s">
        <v>151</v>
      </c>
      <c r="E224" s="21">
        <v>0.0</v>
      </c>
      <c r="F224" s="21">
        <v>30000.0</v>
      </c>
      <c r="G224" s="21">
        <f t="shared" si="1"/>
        <v>0</v>
      </c>
      <c r="H224" s="21" t="s">
        <v>758</v>
      </c>
      <c r="I224" s="21" t="s">
        <v>550</v>
      </c>
      <c r="J224" s="25" t="s">
        <v>71</v>
      </c>
    </row>
    <row r="225" ht="15.75" customHeight="1">
      <c r="A225" s="25" t="s">
        <v>1269</v>
      </c>
      <c r="B225" s="25" t="s">
        <v>150</v>
      </c>
      <c r="C225" s="26">
        <v>44409.0</v>
      </c>
      <c r="D225" s="21" t="s">
        <v>151</v>
      </c>
      <c r="E225" s="21">
        <v>0.0</v>
      </c>
      <c r="F225" s="21">
        <v>30000.0</v>
      </c>
      <c r="G225" s="21">
        <f t="shared" si="1"/>
        <v>0</v>
      </c>
      <c r="H225" s="21" t="s">
        <v>758</v>
      </c>
      <c r="I225" s="21" t="s">
        <v>550</v>
      </c>
      <c r="J225" s="25" t="s">
        <v>71</v>
      </c>
    </row>
    <row r="226" ht="15.75" customHeight="1">
      <c r="A226" s="25" t="s">
        <v>1272</v>
      </c>
      <c r="B226" s="25" t="s">
        <v>150</v>
      </c>
      <c r="C226" s="26">
        <v>44440.0</v>
      </c>
      <c r="D226" s="21" t="s">
        <v>151</v>
      </c>
      <c r="E226" s="21">
        <v>1.0</v>
      </c>
      <c r="F226" s="21">
        <v>30000.0</v>
      </c>
      <c r="G226" s="21">
        <f t="shared" si="1"/>
        <v>30000</v>
      </c>
      <c r="H226" s="21" t="s">
        <v>758</v>
      </c>
      <c r="I226" s="21" t="s">
        <v>550</v>
      </c>
      <c r="J226" s="25" t="s">
        <v>71</v>
      </c>
    </row>
    <row r="227" ht="15.75" customHeight="1">
      <c r="A227" s="25" t="s">
        <v>1274</v>
      </c>
      <c r="B227" s="25" t="s">
        <v>150</v>
      </c>
      <c r="C227" s="26">
        <v>44470.0</v>
      </c>
      <c r="D227" s="21" t="s">
        <v>151</v>
      </c>
      <c r="E227" s="21">
        <v>0.0</v>
      </c>
      <c r="F227" s="21">
        <v>30000.0</v>
      </c>
      <c r="G227" s="21">
        <f t="shared" si="1"/>
        <v>0</v>
      </c>
      <c r="H227" s="21" t="s">
        <v>758</v>
      </c>
      <c r="I227" s="21" t="s">
        <v>550</v>
      </c>
      <c r="J227" s="25" t="s">
        <v>71</v>
      </c>
    </row>
    <row r="228" ht="15.75" customHeight="1">
      <c r="A228" s="25" t="s">
        <v>1276</v>
      </c>
      <c r="B228" s="25" t="s">
        <v>150</v>
      </c>
      <c r="C228" s="26">
        <v>44501.0</v>
      </c>
      <c r="D228" s="21" t="s">
        <v>151</v>
      </c>
      <c r="E228" s="21">
        <v>1.0</v>
      </c>
      <c r="F228" s="21">
        <v>30000.0</v>
      </c>
      <c r="G228" s="21">
        <f t="shared" si="1"/>
        <v>30000</v>
      </c>
      <c r="H228" s="21" t="s">
        <v>758</v>
      </c>
      <c r="I228" s="21" t="s">
        <v>550</v>
      </c>
      <c r="J228" s="25" t="s">
        <v>71</v>
      </c>
    </row>
    <row r="229" ht="15.75" customHeight="1">
      <c r="A229" s="25" t="s">
        <v>1278</v>
      </c>
      <c r="B229" s="25" t="s">
        <v>150</v>
      </c>
      <c r="C229" s="26">
        <v>44531.0</v>
      </c>
      <c r="D229" s="21" t="s">
        <v>151</v>
      </c>
      <c r="E229" s="21">
        <v>0.0</v>
      </c>
      <c r="F229" s="21">
        <v>30000.0</v>
      </c>
      <c r="G229" s="21">
        <f t="shared" si="1"/>
        <v>0</v>
      </c>
      <c r="H229" s="21" t="s">
        <v>758</v>
      </c>
      <c r="I229" s="21" t="s">
        <v>550</v>
      </c>
      <c r="J229" s="25" t="s">
        <v>71</v>
      </c>
    </row>
    <row r="230" ht="15.75" customHeight="1">
      <c r="A230" s="25" t="s">
        <v>1280</v>
      </c>
      <c r="B230" s="25" t="s">
        <v>163</v>
      </c>
      <c r="C230" s="26">
        <v>44197.0</v>
      </c>
      <c r="D230" s="21" t="s">
        <v>165</v>
      </c>
      <c r="E230" s="21">
        <v>1.0</v>
      </c>
      <c r="F230" s="21">
        <v>49500.0</v>
      </c>
      <c r="G230" s="21">
        <f t="shared" si="1"/>
        <v>49500</v>
      </c>
      <c r="H230" s="21" t="s">
        <v>549</v>
      </c>
      <c r="I230" s="21" t="s">
        <v>550</v>
      </c>
      <c r="J230" s="25" t="s">
        <v>71</v>
      </c>
    </row>
    <row r="231" ht="15.75" customHeight="1">
      <c r="A231" s="25" t="s">
        <v>1283</v>
      </c>
      <c r="B231" s="25" t="s">
        <v>163</v>
      </c>
      <c r="C231" s="26">
        <v>44228.0</v>
      </c>
      <c r="D231" s="21" t="s">
        <v>165</v>
      </c>
      <c r="E231" s="21">
        <v>1.0</v>
      </c>
      <c r="F231" s="21">
        <v>49500.0</v>
      </c>
      <c r="G231" s="21">
        <f t="shared" si="1"/>
        <v>49500</v>
      </c>
      <c r="H231" s="21" t="s">
        <v>549</v>
      </c>
      <c r="I231" s="21" t="s">
        <v>550</v>
      </c>
      <c r="J231" s="25" t="s">
        <v>71</v>
      </c>
    </row>
    <row r="232" ht="15.75" customHeight="1">
      <c r="A232" s="25" t="s">
        <v>1285</v>
      </c>
      <c r="B232" s="25" t="s">
        <v>163</v>
      </c>
      <c r="C232" s="26">
        <v>44256.0</v>
      </c>
      <c r="D232" s="21" t="s">
        <v>165</v>
      </c>
      <c r="E232" s="21">
        <v>0.0</v>
      </c>
      <c r="F232" s="21">
        <v>49500.0</v>
      </c>
      <c r="G232" s="21">
        <f t="shared" si="1"/>
        <v>0</v>
      </c>
      <c r="H232" s="21" t="s">
        <v>549</v>
      </c>
      <c r="I232" s="21" t="s">
        <v>550</v>
      </c>
      <c r="J232" s="25" t="s">
        <v>71</v>
      </c>
    </row>
    <row r="233" ht="15.75" customHeight="1">
      <c r="A233" s="25" t="s">
        <v>1287</v>
      </c>
      <c r="B233" s="25" t="s">
        <v>163</v>
      </c>
      <c r="C233" s="26">
        <v>44287.0</v>
      </c>
      <c r="D233" s="21" t="s">
        <v>165</v>
      </c>
      <c r="E233" s="21">
        <v>0.0</v>
      </c>
      <c r="F233" s="21">
        <v>49500.0</v>
      </c>
      <c r="G233" s="21">
        <f t="shared" si="1"/>
        <v>0</v>
      </c>
      <c r="H233" s="21" t="s">
        <v>549</v>
      </c>
      <c r="I233" s="21" t="s">
        <v>550</v>
      </c>
      <c r="J233" s="25" t="s">
        <v>71</v>
      </c>
    </row>
    <row r="234" ht="15.75" customHeight="1">
      <c r="A234" s="25" t="s">
        <v>1289</v>
      </c>
      <c r="B234" s="25" t="s">
        <v>163</v>
      </c>
      <c r="C234" s="26">
        <v>44317.0</v>
      </c>
      <c r="D234" s="21" t="s">
        <v>165</v>
      </c>
      <c r="E234" s="21">
        <v>0.0</v>
      </c>
      <c r="F234" s="21">
        <v>49500.0</v>
      </c>
      <c r="G234" s="21">
        <f t="shared" si="1"/>
        <v>0</v>
      </c>
      <c r="H234" s="21" t="s">
        <v>549</v>
      </c>
      <c r="I234" s="21" t="s">
        <v>550</v>
      </c>
      <c r="J234" s="25" t="s">
        <v>71</v>
      </c>
    </row>
    <row r="235" ht="15.75" customHeight="1">
      <c r="A235" s="25" t="s">
        <v>1292</v>
      </c>
      <c r="B235" s="25" t="s">
        <v>163</v>
      </c>
      <c r="C235" s="26">
        <v>44348.0</v>
      </c>
      <c r="D235" s="21" t="s">
        <v>165</v>
      </c>
      <c r="E235" s="21">
        <v>0.0</v>
      </c>
      <c r="F235" s="21">
        <v>49500.0</v>
      </c>
      <c r="G235" s="21">
        <f t="shared" si="1"/>
        <v>0</v>
      </c>
      <c r="H235" s="21" t="s">
        <v>549</v>
      </c>
      <c r="I235" s="21" t="s">
        <v>550</v>
      </c>
      <c r="J235" s="25" t="s">
        <v>71</v>
      </c>
    </row>
    <row r="236" ht="15.75" customHeight="1">
      <c r="A236" s="25" t="s">
        <v>1294</v>
      </c>
      <c r="B236" s="25" t="s">
        <v>163</v>
      </c>
      <c r="C236" s="26">
        <v>44378.0</v>
      </c>
      <c r="D236" s="21" t="s">
        <v>165</v>
      </c>
      <c r="E236" s="21">
        <v>0.0</v>
      </c>
      <c r="F236" s="21">
        <v>49500.0</v>
      </c>
      <c r="G236" s="21">
        <f t="shared" si="1"/>
        <v>0</v>
      </c>
      <c r="H236" s="21" t="s">
        <v>549</v>
      </c>
      <c r="I236" s="21" t="s">
        <v>550</v>
      </c>
      <c r="J236" s="25" t="s">
        <v>71</v>
      </c>
    </row>
    <row r="237" ht="15.75" customHeight="1">
      <c r="A237" s="25" t="s">
        <v>1296</v>
      </c>
      <c r="B237" s="25" t="s">
        <v>163</v>
      </c>
      <c r="C237" s="26">
        <v>44409.0</v>
      </c>
      <c r="D237" s="21" t="s">
        <v>165</v>
      </c>
      <c r="E237" s="21">
        <v>0.0</v>
      </c>
      <c r="F237" s="21">
        <v>49500.0</v>
      </c>
      <c r="G237" s="21">
        <f t="shared" si="1"/>
        <v>0</v>
      </c>
      <c r="H237" s="21" t="s">
        <v>549</v>
      </c>
      <c r="I237" s="21" t="s">
        <v>550</v>
      </c>
      <c r="J237" s="25" t="s">
        <v>71</v>
      </c>
    </row>
    <row r="238" ht="15.75" customHeight="1">
      <c r="A238" s="25" t="s">
        <v>1298</v>
      </c>
      <c r="B238" s="25" t="s">
        <v>163</v>
      </c>
      <c r="C238" s="26">
        <v>44440.0</v>
      </c>
      <c r="D238" s="21" t="s">
        <v>165</v>
      </c>
      <c r="E238" s="21">
        <v>0.0</v>
      </c>
      <c r="F238" s="21">
        <v>49500.0</v>
      </c>
      <c r="G238" s="21">
        <f t="shared" si="1"/>
        <v>0</v>
      </c>
      <c r="H238" s="21" t="s">
        <v>549</v>
      </c>
      <c r="I238" s="21" t="s">
        <v>550</v>
      </c>
      <c r="J238" s="25" t="s">
        <v>71</v>
      </c>
    </row>
    <row r="239" ht="15.75" customHeight="1">
      <c r="A239" s="25" t="s">
        <v>1300</v>
      </c>
      <c r="B239" s="25" t="s">
        <v>163</v>
      </c>
      <c r="C239" s="26">
        <v>44470.0</v>
      </c>
      <c r="D239" s="21" t="s">
        <v>165</v>
      </c>
      <c r="E239" s="21">
        <v>1.0</v>
      </c>
      <c r="F239" s="21">
        <v>49500.0</v>
      </c>
      <c r="G239" s="21">
        <f t="shared" si="1"/>
        <v>49500</v>
      </c>
      <c r="H239" s="21" t="s">
        <v>549</v>
      </c>
      <c r="I239" s="21" t="s">
        <v>550</v>
      </c>
      <c r="J239" s="25" t="s">
        <v>71</v>
      </c>
    </row>
    <row r="240" ht="15.75" customHeight="1">
      <c r="A240" s="25" t="s">
        <v>1303</v>
      </c>
      <c r="B240" s="25" t="s">
        <v>163</v>
      </c>
      <c r="C240" s="26">
        <v>44501.0</v>
      </c>
      <c r="D240" s="21" t="s">
        <v>165</v>
      </c>
      <c r="E240" s="21">
        <v>0.0</v>
      </c>
      <c r="F240" s="21">
        <v>49500.0</v>
      </c>
      <c r="G240" s="21">
        <f t="shared" si="1"/>
        <v>0</v>
      </c>
      <c r="H240" s="21" t="s">
        <v>549</v>
      </c>
      <c r="I240" s="21" t="s">
        <v>550</v>
      </c>
      <c r="J240" s="25" t="s">
        <v>71</v>
      </c>
    </row>
    <row r="241" ht="15.75" customHeight="1">
      <c r="A241" s="25" t="s">
        <v>1305</v>
      </c>
      <c r="B241" s="25" t="s">
        <v>163</v>
      </c>
      <c r="C241" s="26">
        <v>44531.0</v>
      </c>
      <c r="D241" s="21" t="s">
        <v>165</v>
      </c>
      <c r="E241" s="21">
        <v>0.0</v>
      </c>
      <c r="F241" s="21">
        <v>49500.0</v>
      </c>
      <c r="G241" s="21">
        <f t="shared" si="1"/>
        <v>0</v>
      </c>
      <c r="H241" s="21" t="s">
        <v>549</v>
      </c>
      <c r="I241" s="21" t="s">
        <v>550</v>
      </c>
      <c r="J241" s="25" t="s">
        <v>71</v>
      </c>
    </row>
    <row r="242" ht="15.75" customHeight="1">
      <c r="A242" s="25" t="s">
        <v>1307</v>
      </c>
      <c r="B242" s="25" t="s">
        <v>175</v>
      </c>
      <c r="C242" s="26">
        <v>44197.0</v>
      </c>
      <c r="D242" s="21" t="s">
        <v>176</v>
      </c>
      <c r="E242" s="21">
        <v>3.0</v>
      </c>
      <c r="F242" s="21">
        <v>49500.0</v>
      </c>
      <c r="G242" s="21">
        <f t="shared" si="1"/>
        <v>148500</v>
      </c>
      <c r="H242" s="21" t="s">
        <v>549</v>
      </c>
      <c r="I242" s="21" t="s">
        <v>550</v>
      </c>
      <c r="J242" s="25" t="s">
        <v>71</v>
      </c>
    </row>
    <row r="243" ht="15.75" customHeight="1">
      <c r="A243" s="25" t="s">
        <v>1309</v>
      </c>
      <c r="B243" s="25" t="s">
        <v>175</v>
      </c>
      <c r="C243" s="26">
        <v>44228.0</v>
      </c>
      <c r="D243" s="21" t="s">
        <v>176</v>
      </c>
      <c r="E243" s="21">
        <v>0.0</v>
      </c>
      <c r="F243" s="21">
        <v>49500.0</v>
      </c>
      <c r="G243" s="21">
        <f t="shared" si="1"/>
        <v>0</v>
      </c>
      <c r="H243" s="21" t="s">
        <v>549</v>
      </c>
      <c r="I243" s="21" t="s">
        <v>550</v>
      </c>
      <c r="J243" s="25" t="s">
        <v>71</v>
      </c>
    </row>
    <row r="244" ht="15.75" customHeight="1">
      <c r="A244" s="25" t="s">
        <v>1312</v>
      </c>
      <c r="B244" s="25" t="s">
        <v>175</v>
      </c>
      <c r="C244" s="26">
        <v>44256.0</v>
      </c>
      <c r="D244" s="21" t="s">
        <v>176</v>
      </c>
      <c r="E244" s="21">
        <v>0.0</v>
      </c>
      <c r="F244" s="21">
        <v>49500.0</v>
      </c>
      <c r="G244" s="21">
        <f t="shared" si="1"/>
        <v>0</v>
      </c>
      <c r="H244" s="21" t="s">
        <v>549</v>
      </c>
      <c r="I244" s="21" t="s">
        <v>550</v>
      </c>
      <c r="J244" s="25" t="s">
        <v>71</v>
      </c>
    </row>
    <row r="245" ht="15.75" customHeight="1">
      <c r="A245" s="25" t="s">
        <v>1314</v>
      </c>
      <c r="B245" s="25" t="s">
        <v>175</v>
      </c>
      <c r="C245" s="26">
        <v>44287.0</v>
      </c>
      <c r="D245" s="21" t="s">
        <v>176</v>
      </c>
      <c r="E245" s="21">
        <v>2.0</v>
      </c>
      <c r="F245" s="21">
        <v>49500.0</v>
      </c>
      <c r="G245" s="21">
        <f t="shared" si="1"/>
        <v>99000</v>
      </c>
      <c r="H245" s="21" t="s">
        <v>549</v>
      </c>
      <c r="I245" s="21" t="s">
        <v>550</v>
      </c>
      <c r="J245" s="25" t="s">
        <v>71</v>
      </c>
    </row>
    <row r="246" ht="15.75" customHeight="1">
      <c r="A246" s="25" t="s">
        <v>1316</v>
      </c>
      <c r="B246" s="25" t="s">
        <v>175</v>
      </c>
      <c r="C246" s="26">
        <v>44317.0</v>
      </c>
      <c r="D246" s="21" t="s">
        <v>176</v>
      </c>
      <c r="E246" s="21">
        <v>3.0</v>
      </c>
      <c r="F246" s="21">
        <v>49500.0</v>
      </c>
      <c r="G246" s="21">
        <f t="shared" si="1"/>
        <v>148500</v>
      </c>
      <c r="H246" s="21" t="s">
        <v>549</v>
      </c>
      <c r="I246" s="21" t="s">
        <v>550</v>
      </c>
      <c r="J246" s="25" t="s">
        <v>71</v>
      </c>
    </row>
    <row r="247" ht="15.75" customHeight="1">
      <c r="A247" s="25" t="s">
        <v>1318</v>
      </c>
      <c r="B247" s="25" t="s">
        <v>175</v>
      </c>
      <c r="C247" s="26">
        <v>44348.0</v>
      </c>
      <c r="D247" s="21" t="s">
        <v>176</v>
      </c>
      <c r="E247" s="21">
        <v>0.0</v>
      </c>
      <c r="F247" s="21">
        <v>49500.0</v>
      </c>
      <c r="G247" s="21">
        <f t="shared" si="1"/>
        <v>0</v>
      </c>
      <c r="H247" s="21" t="s">
        <v>549</v>
      </c>
      <c r="I247" s="21" t="s">
        <v>550</v>
      </c>
      <c r="J247" s="25" t="s">
        <v>71</v>
      </c>
    </row>
    <row r="248" ht="15.75" customHeight="1">
      <c r="A248" s="25" t="s">
        <v>1320</v>
      </c>
      <c r="B248" s="25" t="s">
        <v>175</v>
      </c>
      <c r="C248" s="26">
        <v>44378.0</v>
      </c>
      <c r="D248" s="21" t="s">
        <v>176</v>
      </c>
      <c r="E248" s="21">
        <v>0.0</v>
      </c>
      <c r="F248" s="21">
        <v>49500.0</v>
      </c>
      <c r="G248" s="21">
        <f t="shared" si="1"/>
        <v>0</v>
      </c>
      <c r="H248" s="21" t="s">
        <v>549</v>
      </c>
      <c r="I248" s="21" t="s">
        <v>550</v>
      </c>
      <c r="J248" s="25" t="s">
        <v>71</v>
      </c>
    </row>
    <row r="249" ht="15.75" customHeight="1">
      <c r="A249" s="25" t="s">
        <v>1321</v>
      </c>
      <c r="B249" s="25" t="s">
        <v>175</v>
      </c>
      <c r="C249" s="26">
        <v>44409.0</v>
      </c>
      <c r="D249" s="21" t="s">
        <v>176</v>
      </c>
      <c r="E249" s="21">
        <v>1.0</v>
      </c>
      <c r="F249" s="21">
        <v>49500.0</v>
      </c>
      <c r="G249" s="21">
        <f t="shared" si="1"/>
        <v>49500</v>
      </c>
      <c r="H249" s="21" t="s">
        <v>549</v>
      </c>
      <c r="I249" s="21" t="s">
        <v>550</v>
      </c>
      <c r="J249" s="25" t="s">
        <v>71</v>
      </c>
    </row>
    <row r="250" ht="15.75" customHeight="1">
      <c r="A250" s="25" t="s">
        <v>1323</v>
      </c>
      <c r="B250" s="25" t="s">
        <v>175</v>
      </c>
      <c r="C250" s="26">
        <v>44440.0</v>
      </c>
      <c r="D250" s="21" t="s">
        <v>176</v>
      </c>
      <c r="E250" s="21">
        <v>4.0</v>
      </c>
      <c r="F250" s="21">
        <v>49500.0</v>
      </c>
      <c r="G250" s="21">
        <f t="shared" si="1"/>
        <v>198000</v>
      </c>
      <c r="H250" s="21" t="s">
        <v>549</v>
      </c>
      <c r="I250" s="21" t="s">
        <v>550</v>
      </c>
      <c r="J250" s="25" t="s">
        <v>71</v>
      </c>
    </row>
    <row r="251" ht="15.75" customHeight="1">
      <c r="A251" s="25" t="s">
        <v>1325</v>
      </c>
      <c r="B251" s="25" t="s">
        <v>175</v>
      </c>
      <c r="C251" s="26">
        <v>44470.0</v>
      </c>
      <c r="D251" s="21" t="s">
        <v>176</v>
      </c>
      <c r="E251" s="21">
        <v>3.0</v>
      </c>
      <c r="F251" s="21">
        <v>49500.0</v>
      </c>
      <c r="G251" s="21">
        <f t="shared" si="1"/>
        <v>148500</v>
      </c>
      <c r="H251" s="21" t="s">
        <v>549</v>
      </c>
      <c r="I251" s="21" t="s">
        <v>550</v>
      </c>
      <c r="J251" s="25" t="s">
        <v>71</v>
      </c>
    </row>
    <row r="252" ht="15.75" customHeight="1">
      <c r="A252" s="25" t="s">
        <v>1328</v>
      </c>
      <c r="B252" s="25" t="s">
        <v>175</v>
      </c>
      <c r="C252" s="26">
        <v>44501.0</v>
      </c>
      <c r="D252" s="21" t="s">
        <v>176</v>
      </c>
      <c r="E252" s="21">
        <v>0.0</v>
      </c>
      <c r="F252" s="21">
        <v>49500.0</v>
      </c>
      <c r="G252" s="21">
        <f t="shared" si="1"/>
        <v>0</v>
      </c>
      <c r="H252" s="21" t="s">
        <v>549</v>
      </c>
      <c r="I252" s="21" t="s">
        <v>550</v>
      </c>
      <c r="J252" s="25" t="s">
        <v>71</v>
      </c>
    </row>
    <row r="253" ht="15.75" customHeight="1">
      <c r="A253" s="25" t="s">
        <v>1330</v>
      </c>
      <c r="B253" s="25" t="s">
        <v>175</v>
      </c>
      <c r="C253" s="26">
        <v>44531.0</v>
      </c>
      <c r="D253" s="21" t="s">
        <v>176</v>
      </c>
      <c r="E253" s="21">
        <v>0.0</v>
      </c>
      <c r="F253" s="21">
        <v>49500.0</v>
      </c>
      <c r="G253" s="21">
        <f t="shared" si="1"/>
        <v>0</v>
      </c>
      <c r="H253" s="21" t="s">
        <v>549</v>
      </c>
      <c r="I253" s="21" t="s">
        <v>550</v>
      </c>
      <c r="J253" s="25" t="s">
        <v>71</v>
      </c>
    </row>
    <row r="254" ht="15.75" customHeight="1">
      <c r="A254" s="25" t="s">
        <v>1332</v>
      </c>
      <c r="B254" s="25" t="s">
        <v>188</v>
      </c>
      <c r="C254" s="26">
        <v>44197.0</v>
      </c>
      <c r="D254" s="21" t="s">
        <v>189</v>
      </c>
      <c r="E254" s="21">
        <v>0.0</v>
      </c>
      <c r="F254" s="21">
        <v>49500.0</v>
      </c>
      <c r="G254" s="21">
        <f t="shared" si="1"/>
        <v>0</v>
      </c>
      <c r="H254" s="21" t="s">
        <v>549</v>
      </c>
      <c r="I254" s="21" t="s">
        <v>550</v>
      </c>
      <c r="J254" s="25" t="s">
        <v>71</v>
      </c>
    </row>
    <row r="255" ht="15.75" customHeight="1">
      <c r="A255" s="25" t="s">
        <v>1334</v>
      </c>
      <c r="B255" s="25" t="s">
        <v>188</v>
      </c>
      <c r="C255" s="26">
        <v>44228.0</v>
      </c>
      <c r="D255" s="21" t="s">
        <v>189</v>
      </c>
      <c r="E255" s="21">
        <v>0.0</v>
      </c>
      <c r="F255" s="21">
        <v>49500.0</v>
      </c>
      <c r="G255" s="21">
        <f t="shared" si="1"/>
        <v>0</v>
      </c>
      <c r="H255" s="21" t="s">
        <v>549</v>
      </c>
      <c r="I255" s="21" t="s">
        <v>550</v>
      </c>
      <c r="J255" s="25" t="s">
        <v>71</v>
      </c>
    </row>
    <row r="256" ht="15.75" customHeight="1">
      <c r="A256" s="25" t="s">
        <v>1336</v>
      </c>
      <c r="B256" s="25" t="s">
        <v>188</v>
      </c>
      <c r="C256" s="26">
        <v>44256.0</v>
      </c>
      <c r="D256" s="21" t="s">
        <v>189</v>
      </c>
      <c r="E256" s="21">
        <v>0.0</v>
      </c>
      <c r="F256" s="21">
        <v>49500.0</v>
      </c>
      <c r="G256" s="21">
        <f t="shared" si="1"/>
        <v>0</v>
      </c>
      <c r="H256" s="21" t="s">
        <v>549</v>
      </c>
      <c r="I256" s="21" t="s">
        <v>550</v>
      </c>
      <c r="J256" s="25" t="s">
        <v>71</v>
      </c>
    </row>
    <row r="257" ht="15.75" customHeight="1">
      <c r="A257" s="25" t="s">
        <v>1338</v>
      </c>
      <c r="B257" s="25" t="s">
        <v>188</v>
      </c>
      <c r="C257" s="26">
        <v>44287.0</v>
      </c>
      <c r="D257" s="21" t="s">
        <v>189</v>
      </c>
      <c r="E257" s="21">
        <v>2.0</v>
      </c>
      <c r="F257" s="21">
        <v>49500.0</v>
      </c>
      <c r="G257" s="21">
        <f t="shared" si="1"/>
        <v>99000</v>
      </c>
      <c r="H257" s="21" t="s">
        <v>549</v>
      </c>
      <c r="I257" s="21" t="s">
        <v>550</v>
      </c>
      <c r="J257" s="25" t="s">
        <v>71</v>
      </c>
    </row>
    <row r="258" ht="15.75" customHeight="1">
      <c r="A258" s="25" t="s">
        <v>1341</v>
      </c>
      <c r="B258" s="25" t="s">
        <v>188</v>
      </c>
      <c r="C258" s="26">
        <v>44317.0</v>
      </c>
      <c r="D258" s="21" t="s">
        <v>189</v>
      </c>
      <c r="E258" s="21">
        <v>0.0</v>
      </c>
      <c r="F258" s="21">
        <v>49500.0</v>
      </c>
      <c r="G258" s="21">
        <f t="shared" si="1"/>
        <v>0</v>
      </c>
      <c r="H258" s="21" t="s">
        <v>549</v>
      </c>
      <c r="I258" s="21" t="s">
        <v>550</v>
      </c>
      <c r="J258" s="25" t="s">
        <v>71</v>
      </c>
    </row>
    <row r="259" ht="15.75" customHeight="1">
      <c r="A259" s="25" t="s">
        <v>1343</v>
      </c>
      <c r="B259" s="25" t="s">
        <v>188</v>
      </c>
      <c r="C259" s="26">
        <v>44348.0</v>
      </c>
      <c r="D259" s="21" t="s">
        <v>189</v>
      </c>
      <c r="E259" s="21">
        <v>1.0</v>
      </c>
      <c r="F259" s="21">
        <v>49500.0</v>
      </c>
      <c r="G259" s="21">
        <f t="shared" si="1"/>
        <v>49500</v>
      </c>
      <c r="H259" s="21" t="s">
        <v>549</v>
      </c>
      <c r="I259" s="21" t="s">
        <v>550</v>
      </c>
      <c r="J259" s="25" t="s">
        <v>71</v>
      </c>
    </row>
    <row r="260" ht="15.75" customHeight="1">
      <c r="A260" s="25" t="s">
        <v>1345</v>
      </c>
      <c r="B260" s="25" t="s">
        <v>188</v>
      </c>
      <c r="C260" s="26">
        <v>44378.0</v>
      </c>
      <c r="D260" s="21" t="s">
        <v>189</v>
      </c>
      <c r="E260" s="21">
        <v>0.0</v>
      </c>
      <c r="F260" s="21">
        <v>49500.0</v>
      </c>
      <c r="G260" s="21">
        <f t="shared" si="1"/>
        <v>0</v>
      </c>
      <c r="H260" s="21" t="s">
        <v>549</v>
      </c>
      <c r="I260" s="21" t="s">
        <v>550</v>
      </c>
      <c r="J260" s="25" t="s">
        <v>71</v>
      </c>
    </row>
    <row r="261" ht="15.75" customHeight="1">
      <c r="A261" s="25" t="s">
        <v>1347</v>
      </c>
      <c r="B261" s="25" t="s">
        <v>188</v>
      </c>
      <c r="C261" s="26">
        <v>44409.0</v>
      </c>
      <c r="D261" s="21" t="s">
        <v>189</v>
      </c>
      <c r="E261" s="21">
        <v>2.0</v>
      </c>
      <c r="F261" s="21">
        <v>49500.0</v>
      </c>
      <c r="G261" s="21">
        <f t="shared" si="1"/>
        <v>99000</v>
      </c>
      <c r="H261" s="21" t="s">
        <v>549</v>
      </c>
      <c r="I261" s="21" t="s">
        <v>550</v>
      </c>
      <c r="J261" s="25" t="s">
        <v>71</v>
      </c>
    </row>
    <row r="262" ht="15.75" customHeight="1">
      <c r="A262" s="25" t="s">
        <v>1350</v>
      </c>
      <c r="B262" s="25" t="s">
        <v>188</v>
      </c>
      <c r="C262" s="26">
        <v>44440.0</v>
      </c>
      <c r="D262" s="21" t="s">
        <v>189</v>
      </c>
      <c r="E262" s="21">
        <v>1.0</v>
      </c>
      <c r="F262" s="21">
        <v>49500.0</v>
      </c>
      <c r="G262" s="21">
        <f t="shared" si="1"/>
        <v>49500</v>
      </c>
      <c r="H262" s="21" t="s">
        <v>549</v>
      </c>
      <c r="I262" s="21" t="s">
        <v>550</v>
      </c>
      <c r="J262" s="25" t="s">
        <v>71</v>
      </c>
    </row>
    <row r="263" ht="15.75" customHeight="1">
      <c r="A263" s="25" t="s">
        <v>1352</v>
      </c>
      <c r="B263" s="25" t="s">
        <v>188</v>
      </c>
      <c r="C263" s="26">
        <v>44470.0</v>
      </c>
      <c r="D263" s="21" t="s">
        <v>189</v>
      </c>
      <c r="E263" s="21">
        <v>1.0</v>
      </c>
      <c r="F263" s="21">
        <v>49500.0</v>
      </c>
      <c r="G263" s="21">
        <f t="shared" si="1"/>
        <v>49500</v>
      </c>
      <c r="H263" s="21" t="s">
        <v>549</v>
      </c>
      <c r="I263" s="21" t="s">
        <v>550</v>
      </c>
      <c r="J263" s="25" t="s">
        <v>71</v>
      </c>
    </row>
    <row r="264" ht="15.75" customHeight="1">
      <c r="A264" s="25" t="s">
        <v>1354</v>
      </c>
      <c r="B264" s="25" t="s">
        <v>188</v>
      </c>
      <c r="C264" s="26">
        <v>44501.0</v>
      </c>
      <c r="D264" s="21" t="s">
        <v>189</v>
      </c>
      <c r="E264" s="21">
        <v>1.0</v>
      </c>
      <c r="F264" s="21">
        <v>49500.0</v>
      </c>
      <c r="G264" s="21">
        <f t="shared" si="1"/>
        <v>49500</v>
      </c>
      <c r="H264" s="21" t="s">
        <v>549</v>
      </c>
      <c r="I264" s="21" t="s">
        <v>550</v>
      </c>
      <c r="J264" s="25" t="s">
        <v>71</v>
      </c>
    </row>
    <row r="265" ht="15.75" customHeight="1">
      <c r="A265" s="25" t="s">
        <v>1356</v>
      </c>
      <c r="B265" s="25" t="s">
        <v>188</v>
      </c>
      <c r="C265" s="26">
        <v>44531.0</v>
      </c>
      <c r="D265" s="21" t="s">
        <v>189</v>
      </c>
      <c r="E265" s="21">
        <v>0.0</v>
      </c>
      <c r="F265" s="21">
        <v>49500.0</v>
      </c>
      <c r="G265" s="21">
        <f t="shared" si="1"/>
        <v>0</v>
      </c>
      <c r="H265" s="21" t="s">
        <v>549</v>
      </c>
      <c r="I265" s="21" t="s">
        <v>550</v>
      </c>
      <c r="J265" s="25" t="s">
        <v>71</v>
      </c>
    </row>
    <row r="266" ht="15.75" customHeight="1">
      <c r="A266" s="25" t="s">
        <v>1358</v>
      </c>
      <c r="B266" s="25" t="s">
        <v>38</v>
      </c>
      <c r="C266" s="69">
        <v>44562.0</v>
      </c>
      <c r="D266" s="21" t="s">
        <v>41</v>
      </c>
      <c r="E266" s="25">
        <v>60.0</v>
      </c>
      <c r="F266" s="21">
        <v>45000.0</v>
      </c>
      <c r="G266" s="21">
        <f t="shared" si="1"/>
        <v>2700000</v>
      </c>
      <c r="H266" s="21" t="s">
        <v>549</v>
      </c>
      <c r="I266" s="21" t="s">
        <v>550</v>
      </c>
      <c r="J266" s="25" t="s">
        <v>71</v>
      </c>
    </row>
    <row r="267" ht="15.75" customHeight="1">
      <c r="A267" s="25" t="s">
        <v>1362</v>
      </c>
      <c r="B267" s="25" t="s">
        <v>38</v>
      </c>
      <c r="C267" s="69">
        <v>44593.0</v>
      </c>
      <c r="D267" s="21" t="s">
        <v>41</v>
      </c>
      <c r="E267" s="25">
        <v>40.0</v>
      </c>
      <c r="F267" s="21">
        <v>45000.0</v>
      </c>
      <c r="G267" s="21">
        <f t="shared" si="1"/>
        <v>1800000</v>
      </c>
      <c r="H267" s="21" t="s">
        <v>549</v>
      </c>
      <c r="I267" s="21" t="s">
        <v>550</v>
      </c>
      <c r="J267" s="25" t="s">
        <v>71</v>
      </c>
    </row>
    <row r="268" ht="15.75" customHeight="1">
      <c r="A268" s="25" t="s">
        <v>1364</v>
      </c>
      <c r="B268" s="25" t="s">
        <v>38</v>
      </c>
      <c r="C268" s="69">
        <v>44621.0</v>
      </c>
      <c r="D268" s="21" t="s">
        <v>41</v>
      </c>
      <c r="E268" s="25">
        <v>19.0</v>
      </c>
      <c r="F268" s="21">
        <v>45000.0</v>
      </c>
      <c r="G268" s="21">
        <f t="shared" si="1"/>
        <v>855000</v>
      </c>
      <c r="H268" s="21" t="s">
        <v>549</v>
      </c>
      <c r="I268" s="21" t="s">
        <v>550</v>
      </c>
      <c r="J268" s="25" t="s">
        <v>71</v>
      </c>
    </row>
    <row r="269" ht="15.75" customHeight="1">
      <c r="A269" s="25" t="s">
        <v>1366</v>
      </c>
      <c r="B269" s="25" t="s">
        <v>38</v>
      </c>
      <c r="C269" s="69">
        <v>44652.0</v>
      </c>
      <c r="D269" s="21" t="s">
        <v>41</v>
      </c>
      <c r="E269" s="25">
        <v>10.0</v>
      </c>
      <c r="F269" s="21">
        <v>45000.0</v>
      </c>
      <c r="G269" s="21">
        <f t="shared" si="1"/>
        <v>450000</v>
      </c>
      <c r="H269" s="21" t="s">
        <v>549</v>
      </c>
      <c r="I269" s="21" t="s">
        <v>550</v>
      </c>
      <c r="J269" s="25" t="s">
        <v>71</v>
      </c>
    </row>
    <row r="270" ht="15.75" customHeight="1">
      <c r="A270" s="25" t="s">
        <v>1369</v>
      </c>
      <c r="B270" s="25" t="s">
        <v>38</v>
      </c>
      <c r="C270" s="69">
        <v>44682.0</v>
      </c>
      <c r="D270" s="21" t="s">
        <v>41</v>
      </c>
      <c r="E270" s="25">
        <v>38.0</v>
      </c>
      <c r="F270" s="21">
        <v>45000.0</v>
      </c>
      <c r="G270" s="21">
        <f t="shared" si="1"/>
        <v>1710000</v>
      </c>
      <c r="H270" s="21" t="s">
        <v>549</v>
      </c>
      <c r="I270" s="21" t="s">
        <v>550</v>
      </c>
      <c r="J270" s="25" t="s">
        <v>71</v>
      </c>
    </row>
    <row r="271" ht="15.75" customHeight="1">
      <c r="A271" s="25" t="s">
        <v>1371</v>
      </c>
      <c r="B271" s="25" t="s">
        <v>38</v>
      </c>
      <c r="C271" s="69">
        <v>44713.0</v>
      </c>
      <c r="D271" s="21" t="s">
        <v>41</v>
      </c>
      <c r="E271" s="25">
        <v>10.0</v>
      </c>
      <c r="F271" s="21">
        <v>45000.0</v>
      </c>
      <c r="G271" s="21">
        <f t="shared" si="1"/>
        <v>450000</v>
      </c>
      <c r="H271" s="21" t="s">
        <v>549</v>
      </c>
      <c r="I271" s="21" t="s">
        <v>550</v>
      </c>
      <c r="J271" s="25" t="s">
        <v>71</v>
      </c>
    </row>
    <row r="272" ht="15.75" customHeight="1">
      <c r="A272" s="25" t="s">
        <v>1373</v>
      </c>
      <c r="B272" s="25" t="s">
        <v>38</v>
      </c>
      <c r="C272" s="69">
        <v>44743.0</v>
      </c>
      <c r="D272" s="21" t="s">
        <v>41</v>
      </c>
      <c r="E272" s="25">
        <v>33.0</v>
      </c>
      <c r="F272" s="21">
        <v>45000.0</v>
      </c>
      <c r="G272" s="21">
        <f t="shared" si="1"/>
        <v>1485000</v>
      </c>
      <c r="H272" s="21" t="s">
        <v>549</v>
      </c>
      <c r="I272" s="21" t="s">
        <v>550</v>
      </c>
      <c r="J272" s="25" t="s">
        <v>71</v>
      </c>
    </row>
    <row r="273" ht="15.75" customHeight="1">
      <c r="A273" s="25" t="s">
        <v>1375</v>
      </c>
      <c r="B273" s="25" t="s">
        <v>38</v>
      </c>
      <c r="C273" s="69">
        <v>44774.0</v>
      </c>
      <c r="D273" s="21" t="s">
        <v>41</v>
      </c>
      <c r="E273" s="25">
        <v>6.0</v>
      </c>
      <c r="F273" s="21">
        <v>45000.0</v>
      </c>
      <c r="G273" s="21">
        <f t="shared" si="1"/>
        <v>270000</v>
      </c>
      <c r="H273" s="21" t="s">
        <v>549</v>
      </c>
      <c r="I273" s="21" t="s">
        <v>550</v>
      </c>
      <c r="J273" s="25" t="s">
        <v>71</v>
      </c>
    </row>
    <row r="274" ht="15.75" customHeight="1">
      <c r="A274" s="25" t="s">
        <v>1377</v>
      </c>
      <c r="B274" s="25" t="s">
        <v>38</v>
      </c>
      <c r="C274" s="69">
        <v>44805.0</v>
      </c>
      <c r="D274" s="21" t="s">
        <v>41</v>
      </c>
      <c r="E274" s="25">
        <v>45.0</v>
      </c>
      <c r="F274" s="21">
        <v>45000.0</v>
      </c>
      <c r="G274" s="21">
        <f t="shared" si="1"/>
        <v>2025000</v>
      </c>
      <c r="H274" s="21" t="s">
        <v>549</v>
      </c>
      <c r="I274" s="21" t="s">
        <v>550</v>
      </c>
      <c r="J274" s="25" t="s">
        <v>71</v>
      </c>
    </row>
    <row r="275" ht="15.75" customHeight="1">
      <c r="A275" s="25" t="s">
        <v>1380</v>
      </c>
      <c r="B275" s="25" t="s">
        <v>38</v>
      </c>
      <c r="C275" s="69">
        <v>44835.0</v>
      </c>
      <c r="D275" s="21" t="s">
        <v>41</v>
      </c>
      <c r="E275" s="25">
        <v>20.0</v>
      </c>
      <c r="F275" s="21">
        <v>45000.0</v>
      </c>
      <c r="G275" s="21">
        <f t="shared" si="1"/>
        <v>900000</v>
      </c>
      <c r="H275" s="21" t="s">
        <v>549</v>
      </c>
      <c r="I275" s="21" t="s">
        <v>550</v>
      </c>
      <c r="J275" s="25" t="s">
        <v>71</v>
      </c>
    </row>
    <row r="276" ht="15.75" customHeight="1">
      <c r="A276" s="25" t="s">
        <v>1382</v>
      </c>
      <c r="B276" s="25" t="s">
        <v>38</v>
      </c>
      <c r="C276" s="69">
        <v>44866.0</v>
      </c>
      <c r="D276" s="21" t="s">
        <v>41</v>
      </c>
      <c r="E276" s="25">
        <v>50.0</v>
      </c>
      <c r="F276" s="21">
        <v>45000.0</v>
      </c>
      <c r="G276" s="21">
        <f t="shared" si="1"/>
        <v>2250000</v>
      </c>
      <c r="H276" s="21" t="s">
        <v>549</v>
      </c>
      <c r="I276" s="21" t="s">
        <v>550</v>
      </c>
      <c r="J276" s="25" t="s">
        <v>71</v>
      </c>
    </row>
    <row r="277" ht="15.75" customHeight="1">
      <c r="A277" s="25" t="s">
        <v>1385</v>
      </c>
      <c r="B277" s="25" t="s">
        <v>38</v>
      </c>
      <c r="C277" s="69">
        <v>44896.0</v>
      </c>
      <c r="D277" s="21" t="s">
        <v>41</v>
      </c>
      <c r="E277" s="25">
        <v>17.0</v>
      </c>
      <c r="F277" s="21">
        <v>45000.0</v>
      </c>
      <c r="G277" s="21">
        <f t="shared" si="1"/>
        <v>765000</v>
      </c>
      <c r="H277" s="21" t="s">
        <v>549</v>
      </c>
      <c r="I277" s="21" t="s">
        <v>550</v>
      </c>
      <c r="J277" s="25" t="s">
        <v>71</v>
      </c>
    </row>
    <row r="278" ht="15.75" customHeight="1">
      <c r="A278" s="25" t="s">
        <v>1387</v>
      </c>
      <c r="B278" s="25" t="s">
        <v>40</v>
      </c>
      <c r="C278" s="69">
        <v>44562.0</v>
      </c>
      <c r="D278" s="21" t="s">
        <v>42</v>
      </c>
      <c r="E278" s="25">
        <v>2.0</v>
      </c>
      <c r="F278" s="21">
        <v>45500.0</v>
      </c>
      <c r="G278" s="21">
        <f t="shared" si="1"/>
        <v>91000</v>
      </c>
      <c r="H278" s="21" t="s">
        <v>549</v>
      </c>
      <c r="I278" s="21" t="s">
        <v>550</v>
      </c>
      <c r="J278" s="25" t="s">
        <v>71</v>
      </c>
    </row>
    <row r="279" ht="15.75" customHeight="1">
      <c r="A279" s="25" t="s">
        <v>1389</v>
      </c>
      <c r="B279" s="25" t="s">
        <v>40</v>
      </c>
      <c r="C279" s="69">
        <v>44593.0</v>
      </c>
      <c r="D279" s="21" t="s">
        <v>42</v>
      </c>
      <c r="E279" s="25">
        <v>1.0</v>
      </c>
      <c r="F279" s="21">
        <v>45500.0</v>
      </c>
      <c r="G279" s="21">
        <f t="shared" si="1"/>
        <v>45500</v>
      </c>
      <c r="H279" s="21" t="s">
        <v>549</v>
      </c>
      <c r="I279" s="21" t="s">
        <v>550</v>
      </c>
      <c r="J279" s="25" t="s">
        <v>71</v>
      </c>
    </row>
    <row r="280" ht="15.75" customHeight="1">
      <c r="A280" s="25" t="s">
        <v>1392</v>
      </c>
      <c r="B280" s="25" t="s">
        <v>40</v>
      </c>
      <c r="C280" s="69">
        <v>44621.0</v>
      </c>
      <c r="D280" s="21" t="s">
        <v>42</v>
      </c>
      <c r="E280" s="25">
        <v>2.0</v>
      </c>
      <c r="F280" s="21">
        <v>45500.0</v>
      </c>
      <c r="G280" s="21">
        <f t="shared" si="1"/>
        <v>91000</v>
      </c>
      <c r="H280" s="21" t="s">
        <v>549</v>
      </c>
      <c r="I280" s="21" t="s">
        <v>550</v>
      </c>
      <c r="J280" s="25" t="s">
        <v>71</v>
      </c>
    </row>
    <row r="281" ht="15.75" customHeight="1">
      <c r="A281" s="25" t="s">
        <v>1394</v>
      </c>
      <c r="B281" s="25" t="s">
        <v>40</v>
      </c>
      <c r="C281" s="69">
        <v>44652.0</v>
      </c>
      <c r="D281" s="21" t="s">
        <v>42</v>
      </c>
      <c r="E281" s="25">
        <v>1.0</v>
      </c>
      <c r="F281" s="21">
        <v>45500.0</v>
      </c>
      <c r="G281" s="21">
        <f t="shared" si="1"/>
        <v>45500</v>
      </c>
      <c r="H281" s="21" t="s">
        <v>549</v>
      </c>
      <c r="I281" s="21" t="s">
        <v>550</v>
      </c>
      <c r="J281" s="25" t="s">
        <v>71</v>
      </c>
    </row>
    <row r="282" ht="15.75" customHeight="1">
      <c r="A282" s="25" t="s">
        <v>1396</v>
      </c>
      <c r="B282" s="25" t="s">
        <v>40</v>
      </c>
      <c r="C282" s="69">
        <v>44682.0</v>
      </c>
      <c r="D282" s="21" t="s">
        <v>42</v>
      </c>
      <c r="E282" s="25">
        <v>5.0</v>
      </c>
      <c r="F282" s="21">
        <v>45500.0</v>
      </c>
      <c r="G282" s="21">
        <f t="shared" si="1"/>
        <v>227500</v>
      </c>
      <c r="H282" s="21" t="s">
        <v>549</v>
      </c>
      <c r="I282" s="21" t="s">
        <v>550</v>
      </c>
      <c r="J282" s="25" t="s">
        <v>71</v>
      </c>
    </row>
    <row r="283" ht="15.75" customHeight="1">
      <c r="A283" s="25" t="s">
        <v>1398</v>
      </c>
      <c r="B283" s="25" t="s">
        <v>40</v>
      </c>
      <c r="C283" s="69">
        <v>44713.0</v>
      </c>
      <c r="D283" s="21" t="s">
        <v>42</v>
      </c>
      <c r="E283" s="25">
        <v>4.0</v>
      </c>
      <c r="F283" s="21">
        <v>45500.0</v>
      </c>
      <c r="G283" s="21">
        <f t="shared" si="1"/>
        <v>182000</v>
      </c>
      <c r="H283" s="21" t="s">
        <v>549</v>
      </c>
      <c r="I283" s="21" t="s">
        <v>550</v>
      </c>
      <c r="J283" s="25" t="s">
        <v>71</v>
      </c>
    </row>
    <row r="284" ht="15.75" customHeight="1">
      <c r="A284" s="25" t="s">
        <v>1401</v>
      </c>
      <c r="B284" s="25" t="s">
        <v>40</v>
      </c>
      <c r="C284" s="69">
        <v>44743.0</v>
      </c>
      <c r="D284" s="21" t="s">
        <v>42</v>
      </c>
      <c r="E284" s="25">
        <v>1.0</v>
      </c>
      <c r="F284" s="21">
        <v>45500.0</v>
      </c>
      <c r="G284" s="21">
        <f t="shared" si="1"/>
        <v>45500</v>
      </c>
      <c r="H284" s="21" t="s">
        <v>549</v>
      </c>
      <c r="I284" s="21" t="s">
        <v>550</v>
      </c>
      <c r="J284" s="25" t="s">
        <v>71</v>
      </c>
    </row>
    <row r="285" ht="15.75" customHeight="1">
      <c r="A285" s="25" t="s">
        <v>1403</v>
      </c>
      <c r="B285" s="25" t="s">
        <v>40</v>
      </c>
      <c r="C285" s="69">
        <v>44774.0</v>
      </c>
      <c r="D285" s="21" t="s">
        <v>42</v>
      </c>
      <c r="E285" s="25">
        <v>15.0</v>
      </c>
      <c r="F285" s="21">
        <v>45500.0</v>
      </c>
      <c r="G285" s="21">
        <f t="shared" si="1"/>
        <v>682500</v>
      </c>
      <c r="H285" s="21" t="s">
        <v>549</v>
      </c>
      <c r="I285" s="21" t="s">
        <v>550</v>
      </c>
      <c r="J285" s="25" t="s">
        <v>71</v>
      </c>
    </row>
    <row r="286" ht="15.75" customHeight="1">
      <c r="A286" s="25" t="s">
        <v>1406</v>
      </c>
      <c r="B286" s="25" t="s">
        <v>40</v>
      </c>
      <c r="C286" s="69">
        <v>44805.0</v>
      </c>
      <c r="D286" s="21" t="s">
        <v>42</v>
      </c>
      <c r="E286" s="25">
        <v>7.0</v>
      </c>
      <c r="F286" s="21">
        <v>45500.0</v>
      </c>
      <c r="G286" s="21">
        <f t="shared" si="1"/>
        <v>318500</v>
      </c>
      <c r="H286" s="21" t="s">
        <v>549</v>
      </c>
      <c r="I286" s="21" t="s">
        <v>550</v>
      </c>
      <c r="J286" s="25" t="s">
        <v>71</v>
      </c>
    </row>
    <row r="287" ht="15.75" customHeight="1">
      <c r="A287" s="25" t="s">
        <v>1408</v>
      </c>
      <c r="B287" s="25" t="s">
        <v>40</v>
      </c>
      <c r="C287" s="69">
        <v>44835.0</v>
      </c>
      <c r="D287" s="21" t="s">
        <v>42</v>
      </c>
      <c r="E287" s="25">
        <v>1.0</v>
      </c>
      <c r="F287" s="21">
        <v>45500.0</v>
      </c>
      <c r="G287" s="21">
        <f t="shared" si="1"/>
        <v>45500</v>
      </c>
      <c r="H287" s="21" t="s">
        <v>549</v>
      </c>
      <c r="I287" s="21" t="s">
        <v>550</v>
      </c>
      <c r="J287" s="25" t="s">
        <v>71</v>
      </c>
    </row>
    <row r="288" ht="15.75" customHeight="1">
      <c r="A288" s="25" t="s">
        <v>1410</v>
      </c>
      <c r="B288" s="25" t="s">
        <v>40</v>
      </c>
      <c r="C288" s="69">
        <v>44866.0</v>
      </c>
      <c r="D288" s="21" t="s">
        <v>42</v>
      </c>
      <c r="E288" s="25">
        <v>17.0</v>
      </c>
      <c r="F288" s="21">
        <v>45500.0</v>
      </c>
      <c r="G288" s="21">
        <f t="shared" si="1"/>
        <v>773500</v>
      </c>
      <c r="H288" s="21" t="s">
        <v>549</v>
      </c>
      <c r="I288" s="21" t="s">
        <v>550</v>
      </c>
      <c r="J288" s="25" t="s">
        <v>71</v>
      </c>
    </row>
    <row r="289" ht="15.75" customHeight="1">
      <c r="A289" s="25" t="s">
        <v>1413</v>
      </c>
      <c r="B289" s="25" t="s">
        <v>40</v>
      </c>
      <c r="C289" s="69">
        <v>44896.0</v>
      </c>
      <c r="D289" s="21" t="s">
        <v>42</v>
      </c>
      <c r="E289" s="25">
        <v>3.0</v>
      </c>
      <c r="F289" s="21">
        <v>45500.0</v>
      </c>
      <c r="G289" s="21">
        <f t="shared" si="1"/>
        <v>136500</v>
      </c>
      <c r="H289" s="21" t="s">
        <v>549</v>
      </c>
      <c r="I289" s="21" t="s">
        <v>550</v>
      </c>
      <c r="J289" s="25" t="s">
        <v>71</v>
      </c>
    </row>
    <row r="290" ht="15.75" customHeight="1">
      <c r="A290" s="25" t="s">
        <v>1415</v>
      </c>
      <c r="B290" s="25" t="s">
        <v>82</v>
      </c>
      <c r="C290" s="69">
        <v>44562.0</v>
      </c>
      <c r="D290" s="21" t="s">
        <v>84</v>
      </c>
      <c r="E290" s="25">
        <v>21.0</v>
      </c>
      <c r="F290" s="21">
        <v>45000.0</v>
      </c>
      <c r="G290" s="21">
        <f t="shared" si="1"/>
        <v>945000</v>
      </c>
      <c r="H290" s="21" t="s">
        <v>549</v>
      </c>
      <c r="I290" s="21" t="s">
        <v>550</v>
      </c>
      <c r="J290" s="25" t="s">
        <v>71</v>
      </c>
    </row>
    <row r="291" ht="15.75" customHeight="1">
      <c r="A291" s="25" t="s">
        <v>1417</v>
      </c>
      <c r="B291" s="25" t="s">
        <v>82</v>
      </c>
      <c r="C291" s="69">
        <v>44593.0</v>
      </c>
      <c r="D291" s="21" t="s">
        <v>84</v>
      </c>
      <c r="E291" s="25">
        <v>3.0</v>
      </c>
      <c r="F291" s="21">
        <v>45000.0</v>
      </c>
      <c r="G291" s="21">
        <f t="shared" si="1"/>
        <v>135000</v>
      </c>
      <c r="H291" s="21" t="s">
        <v>549</v>
      </c>
      <c r="I291" s="21" t="s">
        <v>550</v>
      </c>
      <c r="J291" s="25" t="s">
        <v>71</v>
      </c>
    </row>
    <row r="292" ht="15.75" customHeight="1">
      <c r="A292" s="25" t="s">
        <v>1419</v>
      </c>
      <c r="B292" s="25" t="s">
        <v>82</v>
      </c>
      <c r="C292" s="69">
        <v>44621.0</v>
      </c>
      <c r="D292" s="21" t="s">
        <v>84</v>
      </c>
      <c r="E292" s="25">
        <v>30.0</v>
      </c>
      <c r="F292" s="21">
        <v>45000.0</v>
      </c>
      <c r="G292" s="21">
        <f t="shared" si="1"/>
        <v>1350000</v>
      </c>
      <c r="H292" s="21" t="s">
        <v>549</v>
      </c>
      <c r="I292" s="21" t="s">
        <v>550</v>
      </c>
      <c r="J292" s="25" t="s">
        <v>71</v>
      </c>
    </row>
    <row r="293" ht="15.75" customHeight="1">
      <c r="A293" s="25" t="s">
        <v>1421</v>
      </c>
      <c r="B293" s="25" t="s">
        <v>82</v>
      </c>
      <c r="C293" s="69">
        <v>44652.0</v>
      </c>
      <c r="D293" s="21" t="s">
        <v>84</v>
      </c>
      <c r="E293" s="25">
        <v>2.0</v>
      </c>
      <c r="F293" s="21">
        <v>45000.0</v>
      </c>
      <c r="G293" s="21">
        <f t="shared" si="1"/>
        <v>90000</v>
      </c>
      <c r="H293" s="21" t="s">
        <v>549</v>
      </c>
      <c r="I293" s="21" t="s">
        <v>550</v>
      </c>
      <c r="J293" s="25" t="s">
        <v>71</v>
      </c>
    </row>
    <row r="294" ht="15.75" customHeight="1">
      <c r="A294" s="25" t="s">
        <v>1422</v>
      </c>
      <c r="B294" s="25" t="s">
        <v>82</v>
      </c>
      <c r="C294" s="69">
        <v>44682.0</v>
      </c>
      <c r="D294" s="21" t="s">
        <v>84</v>
      </c>
      <c r="E294" s="25">
        <v>25.0</v>
      </c>
      <c r="F294" s="21">
        <v>45000.0</v>
      </c>
      <c r="G294" s="21">
        <f t="shared" si="1"/>
        <v>1125000</v>
      </c>
      <c r="H294" s="21" t="s">
        <v>549</v>
      </c>
      <c r="I294" s="21" t="s">
        <v>550</v>
      </c>
      <c r="J294" s="25" t="s">
        <v>71</v>
      </c>
    </row>
    <row r="295" ht="15.75" customHeight="1">
      <c r="A295" s="25" t="s">
        <v>1424</v>
      </c>
      <c r="B295" s="25" t="s">
        <v>82</v>
      </c>
      <c r="C295" s="69">
        <v>44713.0</v>
      </c>
      <c r="D295" s="21" t="s">
        <v>84</v>
      </c>
      <c r="E295" s="25">
        <v>12.0</v>
      </c>
      <c r="F295" s="21">
        <v>45000.0</v>
      </c>
      <c r="G295" s="21">
        <f t="shared" si="1"/>
        <v>540000</v>
      </c>
      <c r="H295" s="21" t="s">
        <v>549</v>
      </c>
      <c r="I295" s="21" t="s">
        <v>550</v>
      </c>
      <c r="J295" s="25" t="s">
        <v>71</v>
      </c>
    </row>
    <row r="296" ht="15.75" customHeight="1">
      <c r="A296" s="25" t="s">
        <v>1427</v>
      </c>
      <c r="B296" s="25" t="s">
        <v>82</v>
      </c>
      <c r="C296" s="69">
        <v>44743.0</v>
      </c>
      <c r="D296" s="21" t="s">
        <v>84</v>
      </c>
      <c r="E296" s="25">
        <v>14.0</v>
      </c>
      <c r="F296" s="21">
        <v>45000.0</v>
      </c>
      <c r="G296" s="21">
        <f t="shared" si="1"/>
        <v>630000</v>
      </c>
      <c r="H296" s="21" t="s">
        <v>549</v>
      </c>
      <c r="I296" s="21" t="s">
        <v>550</v>
      </c>
      <c r="J296" s="25" t="s">
        <v>71</v>
      </c>
    </row>
    <row r="297" ht="15.75" customHeight="1">
      <c r="A297" s="25" t="s">
        <v>1429</v>
      </c>
      <c r="B297" s="25" t="s">
        <v>82</v>
      </c>
      <c r="C297" s="69">
        <v>44774.0</v>
      </c>
      <c r="D297" s="21" t="s">
        <v>84</v>
      </c>
      <c r="E297" s="25">
        <v>10.0</v>
      </c>
      <c r="F297" s="21">
        <v>45000.0</v>
      </c>
      <c r="G297" s="21">
        <f t="shared" si="1"/>
        <v>450000</v>
      </c>
      <c r="H297" s="21" t="s">
        <v>549</v>
      </c>
      <c r="I297" s="21" t="s">
        <v>550</v>
      </c>
      <c r="J297" s="25" t="s">
        <v>71</v>
      </c>
    </row>
    <row r="298" ht="15.75" customHeight="1">
      <c r="A298" s="25" t="s">
        <v>1430</v>
      </c>
      <c r="B298" s="25" t="s">
        <v>82</v>
      </c>
      <c r="C298" s="69">
        <v>44805.0</v>
      </c>
      <c r="D298" s="21" t="s">
        <v>84</v>
      </c>
      <c r="E298" s="25">
        <v>9.0</v>
      </c>
      <c r="F298" s="21">
        <v>45000.0</v>
      </c>
      <c r="G298" s="21">
        <f t="shared" si="1"/>
        <v>405000</v>
      </c>
      <c r="H298" s="21" t="s">
        <v>549</v>
      </c>
      <c r="I298" s="21" t="s">
        <v>550</v>
      </c>
      <c r="J298" s="25" t="s">
        <v>71</v>
      </c>
    </row>
    <row r="299" ht="15.75" customHeight="1">
      <c r="A299" s="25" t="s">
        <v>1432</v>
      </c>
      <c r="B299" s="25" t="s">
        <v>82</v>
      </c>
      <c r="C299" s="69">
        <v>44835.0</v>
      </c>
      <c r="D299" s="21" t="s">
        <v>84</v>
      </c>
      <c r="E299" s="25">
        <v>7.0</v>
      </c>
      <c r="F299" s="21">
        <v>45000.0</v>
      </c>
      <c r="G299" s="21">
        <f t="shared" si="1"/>
        <v>315000</v>
      </c>
      <c r="H299" s="21" t="s">
        <v>549</v>
      </c>
      <c r="I299" s="21" t="s">
        <v>550</v>
      </c>
      <c r="J299" s="25" t="s">
        <v>71</v>
      </c>
    </row>
    <row r="300" ht="15.75" customHeight="1">
      <c r="A300" s="25" t="s">
        <v>1434</v>
      </c>
      <c r="B300" s="25" t="s">
        <v>82</v>
      </c>
      <c r="C300" s="69">
        <v>44866.0</v>
      </c>
      <c r="D300" s="21" t="s">
        <v>84</v>
      </c>
      <c r="E300" s="25">
        <v>13.0</v>
      </c>
      <c r="F300" s="21">
        <v>45000.0</v>
      </c>
      <c r="G300" s="21">
        <f t="shared" si="1"/>
        <v>585000</v>
      </c>
      <c r="H300" s="21" t="s">
        <v>549</v>
      </c>
      <c r="I300" s="21" t="s">
        <v>550</v>
      </c>
      <c r="J300" s="25" t="s">
        <v>71</v>
      </c>
    </row>
    <row r="301" ht="15.75" customHeight="1">
      <c r="A301" s="25" t="s">
        <v>1436</v>
      </c>
      <c r="B301" s="25" t="s">
        <v>82</v>
      </c>
      <c r="C301" s="69">
        <v>44896.0</v>
      </c>
      <c r="D301" s="21" t="s">
        <v>84</v>
      </c>
      <c r="E301" s="25">
        <v>7.0</v>
      </c>
      <c r="F301" s="21">
        <v>45000.0</v>
      </c>
      <c r="G301" s="21">
        <f t="shared" si="1"/>
        <v>315000</v>
      </c>
      <c r="H301" s="21" t="s">
        <v>549</v>
      </c>
      <c r="I301" s="21" t="s">
        <v>550</v>
      </c>
      <c r="J301" s="25" t="s">
        <v>71</v>
      </c>
    </row>
    <row r="302" ht="15.75" customHeight="1">
      <c r="A302" s="25" t="s">
        <v>1439</v>
      </c>
      <c r="B302" s="25" t="s">
        <v>97</v>
      </c>
      <c r="C302" s="69">
        <v>44562.0</v>
      </c>
      <c r="D302" s="21" t="s">
        <v>99</v>
      </c>
      <c r="E302" s="25">
        <v>1.0</v>
      </c>
      <c r="F302" s="21">
        <v>36000.0</v>
      </c>
      <c r="G302" s="21">
        <f t="shared" si="1"/>
        <v>36000</v>
      </c>
      <c r="H302" s="21" t="s">
        <v>424</v>
      </c>
      <c r="I302" s="21" t="s">
        <v>550</v>
      </c>
      <c r="J302" s="25" t="s">
        <v>71</v>
      </c>
    </row>
    <row r="303" ht="15.75" customHeight="1">
      <c r="A303" s="25" t="s">
        <v>1441</v>
      </c>
      <c r="B303" s="25" t="s">
        <v>97</v>
      </c>
      <c r="C303" s="69">
        <v>44593.0</v>
      </c>
      <c r="D303" s="21" t="s">
        <v>99</v>
      </c>
      <c r="E303" s="25">
        <v>0.0</v>
      </c>
      <c r="F303" s="21">
        <v>36000.0</v>
      </c>
      <c r="G303" s="21">
        <f t="shared" si="1"/>
        <v>0</v>
      </c>
      <c r="H303" s="21" t="s">
        <v>424</v>
      </c>
      <c r="I303" s="21" t="s">
        <v>550</v>
      </c>
      <c r="J303" s="25" t="s">
        <v>71</v>
      </c>
    </row>
    <row r="304" ht="15.75" customHeight="1">
      <c r="A304" s="25" t="s">
        <v>1443</v>
      </c>
      <c r="B304" s="25" t="s">
        <v>97</v>
      </c>
      <c r="C304" s="69">
        <v>44621.0</v>
      </c>
      <c r="D304" s="21" t="s">
        <v>99</v>
      </c>
      <c r="E304" s="25">
        <v>1.0</v>
      </c>
      <c r="F304" s="21">
        <v>36000.0</v>
      </c>
      <c r="G304" s="21">
        <f t="shared" si="1"/>
        <v>36000</v>
      </c>
      <c r="H304" s="21" t="s">
        <v>424</v>
      </c>
      <c r="I304" s="21" t="s">
        <v>550</v>
      </c>
      <c r="J304" s="25" t="s">
        <v>71</v>
      </c>
    </row>
    <row r="305" ht="15.75" customHeight="1">
      <c r="A305" s="25" t="s">
        <v>1445</v>
      </c>
      <c r="B305" s="25" t="s">
        <v>97</v>
      </c>
      <c r="C305" s="69">
        <v>44652.0</v>
      </c>
      <c r="D305" s="21" t="s">
        <v>99</v>
      </c>
      <c r="E305" s="25">
        <v>1.0</v>
      </c>
      <c r="F305" s="21">
        <v>36000.0</v>
      </c>
      <c r="G305" s="21">
        <f t="shared" si="1"/>
        <v>36000</v>
      </c>
      <c r="H305" s="21" t="s">
        <v>424</v>
      </c>
      <c r="I305" s="21" t="s">
        <v>550</v>
      </c>
      <c r="J305" s="25" t="s">
        <v>71</v>
      </c>
    </row>
    <row r="306" ht="15.75" customHeight="1">
      <c r="A306" s="25" t="s">
        <v>1447</v>
      </c>
      <c r="B306" s="25" t="s">
        <v>97</v>
      </c>
      <c r="C306" s="69">
        <v>44682.0</v>
      </c>
      <c r="D306" s="21" t="s">
        <v>99</v>
      </c>
      <c r="E306" s="25">
        <v>0.0</v>
      </c>
      <c r="F306" s="21">
        <v>36000.0</v>
      </c>
      <c r="G306" s="21">
        <f t="shared" si="1"/>
        <v>0</v>
      </c>
      <c r="H306" s="21" t="s">
        <v>424</v>
      </c>
      <c r="I306" s="21" t="s">
        <v>550</v>
      </c>
      <c r="J306" s="25" t="s">
        <v>71</v>
      </c>
    </row>
    <row r="307" ht="15.75" customHeight="1">
      <c r="A307" s="25" t="s">
        <v>1453</v>
      </c>
      <c r="B307" s="25" t="s">
        <v>97</v>
      </c>
      <c r="C307" s="69">
        <v>44713.0</v>
      </c>
      <c r="D307" s="21" t="s">
        <v>99</v>
      </c>
      <c r="E307" s="25">
        <v>0.0</v>
      </c>
      <c r="F307" s="21">
        <v>36000.0</v>
      </c>
      <c r="G307" s="21">
        <f t="shared" si="1"/>
        <v>0</v>
      </c>
      <c r="H307" s="21" t="s">
        <v>424</v>
      </c>
      <c r="I307" s="21" t="s">
        <v>550</v>
      </c>
      <c r="J307" s="25" t="s">
        <v>71</v>
      </c>
    </row>
    <row r="308" ht="15.75" customHeight="1">
      <c r="A308" s="25" t="s">
        <v>1454</v>
      </c>
      <c r="B308" s="25" t="s">
        <v>97</v>
      </c>
      <c r="C308" s="69">
        <v>44743.0</v>
      </c>
      <c r="D308" s="21" t="s">
        <v>99</v>
      </c>
      <c r="E308" s="25">
        <v>1.0</v>
      </c>
      <c r="F308" s="21">
        <v>36000.0</v>
      </c>
      <c r="G308" s="21">
        <f t="shared" si="1"/>
        <v>36000</v>
      </c>
      <c r="H308" s="21" t="s">
        <v>424</v>
      </c>
      <c r="I308" s="21" t="s">
        <v>550</v>
      </c>
      <c r="J308" s="25" t="s">
        <v>71</v>
      </c>
    </row>
    <row r="309" ht="15.75" customHeight="1">
      <c r="A309" s="25" t="s">
        <v>1456</v>
      </c>
      <c r="B309" s="25" t="s">
        <v>97</v>
      </c>
      <c r="C309" s="69">
        <v>44774.0</v>
      </c>
      <c r="D309" s="21" t="s">
        <v>99</v>
      </c>
      <c r="E309" s="25">
        <v>1.0</v>
      </c>
      <c r="F309" s="21">
        <v>36000.0</v>
      </c>
      <c r="G309" s="21">
        <f t="shared" si="1"/>
        <v>36000</v>
      </c>
      <c r="H309" s="21" t="s">
        <v>424</v>
      </c>
      <c r="I309" s="21" t="s">
        <v>550</v>
      </c>
      <c r="J309" s="25" t="s">
        <v>71</v>
      </c>
    </row>
    <row r="310" ht="15.75" customHeight="1">
      <c r="A310" s="25" t="s">
        <v>1459</v>
      </c>
      <c r="B310" s="25" t="s">
        <v>97</v>
      </c>
      <c r="C310" s="69">
        <v>44805.0</v>
      </c>
      <c r="D310" s="21" t="s">
        <v>99</v>
      </c>
      <c r="E310" s="25">
        <v>2.0</v>
      </c>
      <c r="F310" s="21">
        <v>36000.0</v>
      </c>
      <c r="G310" s="21">
        <f t="shared" si="1"/>
        <v>72000</v>
      </c>
      <c r="H310" s="21" t="s">
        <v>424</v>
      </c>
      <c r="I310" s="21" t="s">
        <v>550</v>
      </c>
      <c r="J310" s="25" t="s">
        <v>71</v>
      </c>
    </row>
    <row r="311" ht="15.75" customHeight="1">
      <c r="A311" s="25" t="s">
        <v>1461</v>
      </c>
      <c r="B311" s="25" t="s">
        <v>97</v>
      </c>
      <c r="C311" s="69">
        <v>44835.0</v>
      </c>
      <c r="D311" s="21" t="s">
        <v>99</v>
      </c>
      <c r="E311" s="25">
        <v>3.0</v>
      </c>
      <c r="F311" s="21">
        <v>36000.0</v>
      </c>
      <c r="G311" s="21">
        <f t="shared" si="1"/>
        <v>108000</v>
      </c>
      <c r="H311" s="21" t="s">
        <v>424</v>
      </c>
      <c r="I311" s="21" t="s">
        <v>550</v>
      </c>
      <c r="J311" s="25" t="s">
        <v>71</v>
      </c>
    </row>
    <row r="312" ht="15.75" customHeight="1">
      <c r="A312" s="25" t="s">
        <v>1463</v>
      </c>
      <c r="B312" s="25" t="s">
        <v>97</v>
      </c>
      <c r="C312" s="69">
        <v>44866.0</v>
      </c>
      <c r="D312" s="21" t="s">
        <v>99</v>
      </c>
      <c r="E312" s="25">
        <v>0.0</v>
      </c>
      <c r="F312" s="21">
        <v>36000.0</v>
      </c>
      <c r="G312" s="21">
        <f t="shared" si="1"/>
        <v>0</v>
      </c>
      <c r="H312" s="21" t="s">
        <v>424</v>
      </c>
      <c r="I312" s="21" t="s">
        <v>550</v>
      </c>
      <c r="J312" s="25" t="s">
        <v>71</v>
      </c>
    </row>
    <row r="313" ht="15.75" customHeight="1">
      <c r="A313" s="25" t="s">
        <v>1465</v>
      </c>
      <c r="B313" s="25" t="s">
        <v>97</v>
      </c>
      <c r="C313" s="69">
        <v>44896.0</v>
      </c>
      <c r="D313" s="21" t="s">
        <v>99</v>
      </c>
      <c r="E313" s="25">
        <v>2.0</v>
      </c>
      <c r="F313" s="21">
        <v>36000.0</v>
      </c>
      <c r="G313" s="21">
        <f t="shared" si="1"/>
        <v>72000</v>
      </c>
      <c r="H313" s="21" t="s">
        <v>424</v>
      </c>
      <c r="I313" s="21" t="s">
        <v>550</v>
      </c>
      <c r="J313" s="25" t="s">
        <v>71</v>
      </c>
    </row>
    <row r="314" ht="15.75" customHeight="1">
      <c r="A314" s="25" t="s">
        <v>1467</v>
      </c>
      <c r="B314" s="25" t="s">
        <v>110</v>
      </c>
      <c r="C314" s="69">
        <v>44562.0</v>
      </c>
      <c r="D314" s="21" t="s">
        <v>112</v>
      </c>
      <c r="E314" s="25">
        <v>1.0</v>
      </c>
      <c r="F314" s="21">
        <v>30000.0</v>
      </c>
      <c r="G314" s="21">
        <f t="shared" si="1"/>
        <v>30000</v>
      </c>
      <c r="H314" s="21" t="s">
        <v>758</v>
      </c>
      <c r="I314" s="21" t="s">
        <v>550</v>
      </c>
      <c r="J314" s="25" t="s">
        <v>71</v>
      </c>
    </row>
    <row r="315" ht="15.75" customHeight="1">
      <c r="A315" s="25" t="s">
        <v>1470</v>
      </c>
      <c r="B315" s="25" t="s">
        <v>110</v>
      </c>
      <c r="C315" s="69">
        <v>44593.0</v>
      </c>
      <c r="D315" s="21" t="s">
        <v>112</v>
      </c>
      <c r="E315" s="25">
        <v>2.0</v>
      </c>
      <c r="F315" s="21">
        <v>30000.0</v>
      </c>
      <c r="G315" s="21">
        <f t="shared" si="1"/>
        <v>60000</v>
      </c>
      <c r="H315" s="21" t="s">
        <v>758</v>
      </c>
      <c r="I315" s="21" t="s">
        <v>550</v>
      </c>
      <c r="J315" s="25" t="s">
        <v>71</v>
      </c>
    </row>
    <row r="316" ht="15.75" customHeight="1">
      <c r="A316" s="25" t="s">
        <v>1472</v>
      </c>
      <c r="B316" s="25" t="s">
        <v>110</v>
      </c>
      <c r="C316" s="69">
        <v>44621.0</v>
      </c>
      <c r="D316" s="21" t="s">
        <v>112</v>
      </c>
      <c r="E316" s="25">
        <v>0.0</v>
      </c>
      <c r="F316" s="21">
        <v>30000.0</v>
      </c>
      <c r="G316" s="21">
        <f t="shared" si="1"/>
        <v>0</v>
      </c>
      <c r="H316" s="21" t="s">
        <v>758</v>
      </c>
      <c r="I316" s="21" t="s">
        <v>550</v>
      </c>
      <c r="J316" s="25" t="s">
        <v>71</v>
      </c>
    </row>
    <row r="317" ht="15.75" customHeight="1">
      <c r="A317" s="25" t="s">
        <v>1474</v>
      </c>
      <c r="B317" s="25" t="s">
        <v>110</v>
      </c>
      <c r="C317" s="69">
        <v>44652.0</v>
      </c>
      <c r="D317" s="21" t="s">
        <v>112</v>
      </c>
      <c r="E317" s="25">
        <v>0.0</v>
      </c>
      <c r="F317" s="21">
        <v>30000.0</v>
      </c>
      <c r="G317" s="21">
        <f t="shared" si="1"/>
        <v>0</v>
      </c>
      <c r="H317" s="21" t="s">
        <v>758</v>
      </c>
      <c r="I317" s="21" t="s">
        <v>550</v>
      </c>
      <c r="J317" s="25" t="s">
        <v>71</v>
      </c>
    </row>
    <row r="318" ht="15.75" customHeight="1">
      <c r="A318" s="25" t="s">
        <v>1476</v>
      </c>
      <c r="B318" s="25" t="s">
        <v>110</v>
      </c>
      <c r="C318" s="69">
        <v>44682.0</v>
      </c>
      <c r="D318" s="21" t="s">
        <v>112</v>
      </c>
      <c r="E318" s="25">
        <v>2.0</v>
      </c>
      <c r="F318" s="21">
        <v>30000.0</v>
      </c>
      <c r="G318" s="21">
        <f t="shared" si="1"/>
        <v>60000</v>
      </c>
      <c r="H318" s="21" t="s">
        <v>758</v>
      </c>
      <c r="I318" s="21" t="s">
        <v>550</v>
      </c>
      <c r="J318" s="25" t="s">
        <v>71</v>
      </c>
    </row>
    <row r="319" ht="15.75" customHeight="1">
      <c r="A319" s="25" t="s">
        <v>1479</v>
      </c>
      <c r="B319" s="25" t="s">
        <v>110</v>
      </c>
      <c r="C319" s="69">
        <v>44713.0</v>
      </c>
      <c r="D319" s="21" t="s">
        <v>112</v>
      </c>
      <c r="E319" s="25">
        <v>4.0</v>
      </c>
      <c r="F319" s="21">
        <v>30000.0</v>
      </c>
      <c r="G319" s="21">
        <f t="shared" si="1"/>
        <v>120000</v>
      </c>
      <c r="H319" s="21" t="s">
        <v>758</v>
      </c>
      <c r="I319" s="21" t="s">
        <v>550</v>
      </c>
      <c r="J319" s="25" t="s">
        <v>71</v>
      </c>
    </row>
    <row r="320" ht="15.75" customHeight="1">
      <c r="A320" s="25" t="s">
        <v>1481</v>
      </c>
      <c r="B320" s="25" t="s">
        <v>110</v>
      </c>
      <c r="C320" s="69">
        <v>44743.0</v>
      </c>
      <c r="D320" s="21" t="s">
        <v>112</v>
      </c>
      <c r="E320" s="25">
        <v>0.0</v>
      </c>
      <c r="F320" s="21">
        <v>30000.0</v>
      </c>
      <c r="G320" s="21">
        <f t="shared" si="1"/>
        <v>0</v>
      </c>
      <c r="H320" s="21" t="s">
        <v>758</v>
      </c>
      <c r="I320" s="21" t="s">
        <v>550</v>
      </c>
      <c r="J320" s="25" t="s">
        <v>71</v>
      </c>
    </row>
    <row r="321" ht="15.75" customHeight="1">
      <c r="A321" s="25" t="s">
        <v>1483</v>
      </c>
      <c r="B321" s="25" t="s">
        <v>110</v>
      </c>
      <c r="C321" s="69">
        <v>44774.0</v>
      </c>
      <c r="D321" s="21" t="s">
        <v>112</v>
      </c>
      <c r="E321" s="25">
        <v>0.0</v>
      </c>
      <c r="F321" s="21">
        <v>30000.0</v>
      </c>
      <c r="G321" s="21">
        <f t="shared" si="1"/>
        <v>0</v>
      </c>
      <c r="H321" s="21" t="s">
        <v>758</v>
      </c>
      <c r="I321" s="21" t="s">
        <v>550</v>
      </c>
      <c r="J321" s="25" t="s">
        <v>71</v>
      </c>
    </row>
    <row r="322" ht="15.75" customHeight="1">
      <c r="A322" s="25" t="s">
        <v>1485</v>
      </c>
      <c r="B322" s="25" t="s">
        <v>110</v>
      </c>
      <c r="C322" s="69">
        <v>44805.0</v>
      </c>
      <c r="D322" s="21" t="s">
        <v>112</v>
      </c>
      <c r="E322" s="25">
        <v>4.0</v>
      </c>
      <c r="F322" s="21">
        <v>30000.0</v>
      </c>
      <c r="G322" s="21">
        <f t="shared" si="1"/>
        <v>120000</v>
      </c>
      <c r="H322" s="21" t="s">
        <v>758</v>
      </c>
      <c r="I322" s="21" t="s">
        <v>550</v>
      </c>
      <c r="J322" s="25" t="s">
        <v>71</v>
      </c>
    </row>
    <row r="323" ht="15.75" customHeight="1">
      <c r="A323" s="25" t="s">
        <v>1487</v>
      </c>
      <c r="B323" s="25" t="s">
        <v>110</v>
      </c>
      <c r="C323" s="69">
        <v>44835.0</v>
      </c>
      <c r="D323" s="21" t="s">
        <v>112</v>
      </c>
      <c r="E323" s="25">
        <v>2.0</v>
      </c>
      <c r="F323" s="21">
        <v>30000.0</v>
      </c>
      <c r="G323" s="21">
        <f t="shared" si="1"/>
        <v>60000</v>
      </c>
      <c r="H323" s="21" t="s">
        <v>758</v>
      </c>
      <c r="I323" s="21" t="s">
        <v>550</v>
      </c>
      <c r="J323" s="25" t="s">
        <v>71</v>
      </c>
    </row>
    <row r="324" ht="15.75" customHeight="1">
      <c r="A324" s="25" t="s">
        <v>1489</v>
      </c>
      <c r="B324" s="25" t="s">
        <v>110</v>
      </c>
      <c r="C324" s="69">
        <v>44866.0</v>
      </c>
      <c r="D324" s="21" t="s">
        <v>112</v>
      </c>
      <c r="E324" s="25">
        <v>2.0</v>
      </c>
      <c r="F324" s="21">
        <v>30000.0</v>
      </c>
      <c r="G324" s="21">
        <f t="shared" si="1"/>
        <v>60000</v>
      </c>
      <c r="H324" s="21" t="s">
        <v>758</v>
      </c>
      <c r="I324" s="21" t="s">
        <v>550</v>
      </c>
      <c r="J324" s="25" t="s">
        <v>71</v>
      </c>
    </row>
    <row r="325" ht="15.75" customHeight="1">
      <c r="A325" s="25" t="s">
        <v>1492</v>
      </c>
      <c r="B325" s="25" t="s">
        <v>110</v>
      </c>
      <c r="C325" s="69">
        <v>44896.0</v>
      </c>
      <c r="D325" s="21" t="s">
        <v>112</v>
      </c>
      <c r="E325" s="25">
        <v>2.0</v>
      </c>
      <c r="F325" s="21">
        <v>30000.0</v>
      </c>
      <c r="G325" s="21">
        <f t="shared" si="1"/>
        <v>60000</v>
      </c>
      <c r="H325" s="21" t="s">
        <v>758</v>
      </c>
      <c r="I325" s="21" t="s">
        <v>550</v>
      </c>
      <c r="J325" s="25" t="s">
        <v>71</v>
      </c>
    </row>
    <row r="326" ht="15.75" customHeight="1">
      <c r="A326" s="25" t="s">
        <v>1494</v>
      </c>
      <c r="B326" s="25" t="s">
        <v>124</v>
      </c>
      <c r="C326" s="69">
        <v>44562.0</v>
      </c>
      <c r="D326" s="21" t="s">
        <v>125</v>
      </c>
      <c r="E326" s="25">
        <v>3.0</v>
      </c>
      <c r="F326" s="21">
        <v>49500.0</v>
      </c>
      <c r="G326" s="21">
        <f t="shared" si="1"/>
        <v>148500</v>
      </c>
      <c r="H326" s="21" t="s">
        <v>549</v>
      </c>
      <c r="I326" s="21" t="s">
        <v>550</v>
      </c>
      <c r="J326" s="25" t="s">
        <v>71</v>
      </c>
    </row>
    <row r="327" ht="15.75" customHeight="1">
      <c r="A327" s="25" t="s">
        <v>1496</v>
      </c>
      <c r="B327" s="25" t="s">
        <v>124</v>
      </c>
      <c r="C327" s="69">
        <v>44593.0</v>
      </c>
      <c r="D327" s="21" t="s">
        <v>125</v>
      </c>
      <c r="E327" s="25">
        <v>0.0</v>
      </c>
      <c r="F327" s="21">
        <v>49500.0</v>
      </c>
      <c r="G327" s="21">
        <f t="shared" si="1"/>
        <v>0</v>
      </c>
      <c r="H327" s="21" t="s">
        <v>549</v>
      </c>
      <c r="I327" s="21" t="s">
        <v>550</v>
      </c>
      <c r="J327" s="25" t="s">
        <v>71</v>
      </c>
    </row>
    <row r="328" ht="15.75" customHeight="1">
      <c r="A328" s="25" t="s">
        <v>1498</v>
      </c>
      <c r="B328" s="25" t="s">
        <v>124</v>
      </c>
      <c r="C328" s="69">
        <v>44621.0</v>
      </c>
      <c r="D328" s="21" t="s">
        <v>125</v>
      </c>
      <c r="E328" s="25">
        <v>2.0</v>
      </c>
      <c r="F328" s="21">
        <v>49500.0</v>
      </c>
      <c r="G328" s="21">
        <f t="shared" si="1"/>
        <v>99000</v>
      </c>
      <c r="H328" s="21" t="s">
        <v>549</v>
      </c>
      <c r="I328" s="21" t="s">
        <v>550</v>
      </c>
      <c r="J328" s="25" t="s">
        <v>71</v>
      </c>
    </row>
    <row r="329" ht="15.75" customHeight="1">
      <c r="A329" s="25" t="s">
        <v>1501</v>
      </c>
      <c r="B329" s="25" t="s">
        <v>124</v>
      </c>
      <c r="C329" s="69">
        <v>44652.0</v>
      </c>
      <c r="D329" s="21" t="s">
        <v>125</v>
      </c>
      <c r="E329" s="25">
        <v>0.0</v>
      </c>
      <c r="F329" s="21">
        <v>49500.0</v>
      </c>
      <c r="G329" s="21">
        <f t="shared" si="1"/>
        <v>0</v>
      </c>
      <c r="H329" s="21" t="s">
        <v>549</v>
      </c>
      <c r="I329" s="21" t="s">
        <v>550</v>
      </c>
      <c r="J329" s="25" t="s">
        <v>71</v>
      </c>
    </row>
    <row r="330" ht="15.75" customHeight="1">
      <c r="A330" s="25" t="s">
        <v>1503</v>
      </c>
      <c r="B330" s="25" t="s">
        <v>124</v>
      </c>
      <c r="C330" s="69">
        <v>44682.0</v>
      </c>
      <c r="D330" s="21" t="s">
        <v>125</v>
      </c>
      <c r="E330" s="25">
        <v>0.0</v>
      </c>
      <c r="F330" s="21">
        <v>49500.0</v>
      </c>
      <c r="G330" s="21">
        <f t="shared" si="1"/>
        <v>0</v>
      </c>
      <c r="H330" s="21" t="s">
        <v>549</v>
      </c>
      <c r="I330" s="21" t="s">
        <v>550</v>
      </c>
      <c r="J330" s="25" t="s">
        <v>71</v>
      </c>
    </row>
    <row r="331" ht="15.75" customHeight="1">
      <c r="A331" s="25" t="s">
        <v>1505</v>
      </c>
      <c r="B331" s="25" t="s">
        <v>124</v>
      </c>
      <c r="C331" s="69">
        <v>44713.0</v>
      </c>
      <c r="D331" s="21" t="s">
        <v>125</v>
      </c>
      <c r="E331" s="25">
        <v>0.0</v>
      </c>
      <c r="F331" s="21">
        <v>49500.0</v>
      </c>
      <c r="G331" s="21">
        <f t="shared" si="1"/>
        <v>0</v>
      </c>
      <c r="H331" s="21" t="s">
        <v>549</v>
      </c>
      <c r="I331" s="21" t="s">
        <v>550</v>
      </c>
      <c r="J331" s="25" t="s">
        <v>71</v>
      </c>
    </row>
    <row r="332" ht="15.75" customHeight="1">
      <c r="A332" s="25" t="s">
        <v>1507</v>
      </c>
      <c r="B332" s="25" t="s">
        <v>124</v>
      </c>
      <c r="C332" s="69">
        <v>44743.0</v>
      </c>
      <c r="D332" s="21" t="s">
        <v>125</v>
      </c>
      <c r="E332" s="25">
        <v>0.0</v>
      </c>
      <c r="F332" s="21">
        <v>49500.0</v>
      </c>
      <c r="G332" s="21">
        <f t="shared" si="1"/>
        <v>0</v>
      </c>
      <c r="H332" s="21" t="s">
        <v>549</v>
      </c>
      <c r="I332" s="21" t="s">
        <v>550</v>
      </c>
      <c r="J332" s="25" t="s">
        <v>71</v>
      </c>
    </row>
    <row r="333" ht="15.75" customHeight="1">
      <c r="A333" s="25" t="s">
        <v>1510</v>
      </c>
      <c r="B333" s="25" t="s">
        <v>124</v>
      </c>
      <c r="C333" s="69">
        <v>44774.0</v>
      </c>
      <c r="D333" s="21" t="s">
        <v>125</v>
      </c>
      <c r="E333" s="25">
        <v>2.0</v>
      </c>
      <c r="F333" s="21">
        <v>49500.0</v>
      </c>
      <c r="G333" s="21">
        <f t="shared" si="1"/>
        <v>99000</v>
      </c>
      <c r="H333" s="21" t="s">
        <v>549</v>
      </c>
      <c r="I333" s="21" t="s">
        <v>550</v>
      </c>
      <c r="J333" s="25" t="s">
        <v>71</v>
      </c>
    </row>
    <row r="334" ht="15.75" customHeight="1">
      <c r="A334" s="25" t="s">
        <v>1512</v>
      </c>
      <c r="B334" s="25" t="s">
        <v>124</v>
      </c>
      <c r="C334" s="69">
        <v>44805.0</v>
      </c>
      <c r="D334" s="21" t="s">
        <v>125</v>
      </c>
      <c r="E334" s="25">
        <v>1.0</v>
      </c>
      <c r="F334" s="21">
        <v>49500.0</v>
      </c>
      <c r="G334" s="21">
        <f t="shared" si="1"/>
        <v>49500</v>
      </c>
      <c r="H334" s="21" t="s">
        <v>549</v>
      </c>
      <c r="I334" s="21" t="s">
        <v>550</v>
      </c>
      <c r="J334" s="25" t="s">
        <v>71</v>
      </c>
    </row>
    <row r="335" ht="15.75" customHeight="1">
      <c r="A335" s="25" t="s">
        <v>1515</v>
      </c>
      <c r="B335" s="25" t="s">
        <v>124</v>
      </c>
      <c r="C335" s="69">
        <v>44835.0</v>
      </c>
      <c r="D335" s="21" t="s">
        <v>125</v>
      </c>
      <c r="E335" s="25">
        <v>0.0</v>
      </c>
      <c r="F335" s="21">
        <v>49500.0</v>
      </c>
      <c r="G335" s="21">
        <f t="shared" si="1"/>
        <v>0</v>
      </c>
      <c r="H335" s="21" t="s">
        <v>549</v>
      </c>
      <c r="I335" s="21" t="s">
        <v>550</v>
      </c>
      <c r="J335" s="25" t="s">
        <v>71</v>
      </c>
    </row>
    <row r="336" ht="15.75" customHeight="1">
      <c r="A336" s="25" t="s">
        <v>1517</v>
      </c>
      <c r="B336" s="25" t="s">
        <v>124</v>
      </c>
      <c r="C336" s="69">
        <v>44866.0</v>
      </c>
      <c r="D336" s="21" t="s">
        <v>125</v>
      </c>
      <c r="E336" s="25">
        <v>2.0</v>
      </c>
      <c r="F336" s="21">
        <v>49500.0</v>
      </c>
      <c r="G336" s="21">
        <f t="shared" si="1"/>
        <v>99000</v>
      </c>
      <c r="H336" s="21" t="s">
        <v>549</v>
      </c>
      <c r="I336" s="21" t="s">
        <v>550</v>
      </c>
      <c r="J336" s="25" t="s">
        <v>71</v>
      </c>
    </row>
    <row r="337" ht="15.75" customHeight="1">
      <c r="A337" s="25" t="s">
        <v>1519</v>
      </c>
      <c r="B337" s="25" t="s">
        <v>124</v>
      </c>
      <c r="C337" s="69">
        <v>44896.0</v>
      </c>
      <c r="D337" s="21" t="s">
        <v>125</v>
      </c>
      <c r="E337" s="25">
        <v>3.0</v>
      </c>
      <c r="F337" s="21">
        <v>49500.0</v>
      </c>
      <c r="G337" s="21">
        <f t="shared" si="1"/>
        <v>148500</v>
      </c>
      <c r="H337" s="21" t="s">
        <v>549</v>
      </c>
      <c r="I337" s="21" t="s">
        <v>550</v>
      </c>
      <c r="J337" s="25" t="s">
        <v>71</v>
      </c>
    </row>
    <row r="338" ht="15.75" customHeight="1">
      <c r="A338" s="25" t="s">
        <v>1521</v>
      </c>
      <c r="B338" s="25" t="s">
        <v>139</v>
      </c>
      <c r="C338" s="69">
        <v>44562.0</v>
      </c>
      <c r="D338" s="21" t="s">
        <v>140</v>
      </c>
      <c r="E338" s="25">
        <v>0.0</v>
      </c>
      <c r="F338" s="21">
        <v>30000.0</v>
      </c>
      <c r="G338" s="21">
        <f t="shared" si="1"/>
        <v>0</v>
      </c>
      <c r="H338" s="21" t="s">
        <v>758</v>
      </c>
      <c r="I338" s="21" t="s">
        <v>550</v>
      </c>
      <c r="J338" s="25" t="s">
        <v>71</v>
      </c>
    </row>
    <row r="339" ht="15.75" customHeight="1">
      <c r="A339" s="25" t="s">
        <v>1523</v>
      </c>
      <c r="B339" s="25" t="s">
        <v>139</v>
      </c>
      <c r="C339" s="69">
        <v>44593.0</v>
      </c>
      <c r="D339" s="21" t="s">
        <v>140</v>
      </c>
      <c r="E339" s="25">
        <v>0.0</v>
      </c>
      <c r="F339" s="21">
        <v>30000.0</v>
      </c>
      <c r="G339" s="21">
        <f t="shared" si="1"/>
        <v>0</v>
      </c>
      <c r="H339" s="21" t="s">
        <v>758</v>
      </c>
      <c r="I339" s="21" t="s">
        <v>550</v>
      </c>
      <c r="J339" s="25" t="s">
        <v>71</v>
      </c>
    </row>
    <row r="340" ht="15.75" customHeight="1">
      <c r="A340" s="25" t="s">
        <v>1525</v>
      </c>
      <c r="B340" s="25" t="s">
        <v>139</v>
      </c>
      <c r="C340" s="69">
        <v>44621.0</v>
      </c>
      <c r="D340" s="21" t="s">
        <v>140</v>
      </c>
      <c r="E340" s="25">
        <v>0.0</v>
      </c>
      <c r="F340" s="21">
        <v>30000.0</v>
      </c>
      <c r="G340" s="21">
        <f t="shared" si="1"/>
        <v>0</v>
      </c>
      <c r="H340" s="21" t="s">
        <v>758</v>
      </c>
      <c r="I340" s="21" t="s">
        <v>550</v>
      </c>
      <c r="J340" s="25" t="s">
        <v>71</v>
      </c>
    </row>
    <row r="341" ht="15.75" customHeight="1">
      <c r="A341" s="25" t="s">
        <v>1528</v>
      </c>
      <c r="B341" s="25" t="s">
        <v>139</v>
      </c>
      <c r="C341" s="69">
        <v>44652.0</v>
      </c>
      <c r="D341" s="21" t="s">
        <v>140</v>
      </c>
      <c r="E341" s="25">
        <v>0.0</v>
      </c>
      <c r="F341" s="21">
        <v>30000.0</v>
      </c>
      <c r="G341" s="21">
        <f t="shared" si="1"/>
        <v>0</v>
      </c>
      <c r="H341" s="21" t="s">
        <v>758</v>
      </c>
      <c r="I341" s="21" t="s">
        <v>550</v>
      </c>
      <c r="J341" s="25" t="s">
        <v>71</v>
      </c>
    </row>
    <row r="342" ht="15.75" customHeight="1">
      <c r="A342" s="25" t="s">
        <v>1530</v>
      </c>
      <c r="B342" s="25" t="s">
        <v>139</v>
      </c>
      <c r="C342" s="69">
        <v>44682.0</v>
      </c>
      <c r="D342" s="21" t="s">
        <v>140</v>
      </c>
      <c r="E342" s="25">
        <v>1.0</v>
      </c>
      <c r="F342" s="21">
        <v>30000.0</v>
      </c>
      <c r="G342" s="21">
        <f t="shared" si="1"/>
        <v>30000</v>
      </c>
      <c r="H342" s="21" t="s">
        <v>758</v>
      </c>
      <c r="I342" s="21" t="s">
        <v>550</v>
      </c>
      <c r="J342" s="25" t="s">
        <v>71</v>
      </c>
    </row>
    <row r="343" ht="15.75" customHeight="1">
      <c r="A343" s="25" t="s">
        <v>1532</v>
      </c>
      <c r="B343" s="25" t="s">
        <v>139</v>
      </c>
      <c r="C343" s="69">
        <v>44713.0</v>
      </c>
      <c r="D343" s="21" t="s">
        <v>140</v>
      </c>
      <c r="E343" s="25">
        <v>0.0</v>
      </c>
      <c r="F343" s="21">
        <v>30000.0</v>
      </c>
      <c r="G343" s="21">
        <f t="shared" si="1"/>
        <v>0</v>
      </c>
      <c r="H343" s="21" t="s">
        <v>758</v>
      </c>
      <c r="I343" s="21" t="s">
        <v>550</v>
      </c>
      <c r="J343" s="25" t="s">
        <v>71</v>
      </c>
    </row>
    <row r="344" ht="15.75" customHeight="1">
      <c r="A344" s="25" t="s">
        <v>1534</v>
      </c>
      <c r="B344" s="25" t="s">
        <v>139</v>
      </c>
      <c r="C344" s="69">
        <v>44743.0</v>
      </c>
      <c r="D344" s="21" t="s">
        <v>140</v>
      </c>
      <c r="E344" s="25">
        <v>2.0</v>
      </c>
      <c r="F344" s="21">
        <v>30000.0</v>
      </c>
      <c r="G344" s="21">
        <f t="shared" si="1"/>
        <v>60000</v>
      </c>
      <c r="H344" s="21" t="s">
        <v>758</v>
      </c>
      <c r="I344" s="21" t="s">
        <v>550</v>
      </c>
      <c r="J344" s="25" t="s">
        <v>71</v>
      </c>
    </row>
    <row r="345" ht="15.75" customHeight="1">
      <c r="A345" s="25" t="s">
        <v>1536</v>
      </c>
      <c r="B345" s="25" t="s">
        <v>139</v>
      </c>
      <c r="C345" s="69">
        <v>44774.0</v>
      </c>
      <c r="D345" s="21" t="s">
        <v>140</v>
      </c>
      <c r="E345" s="25">
        <v>0.0</v>
      </c>
      <c r="F345" s="21">
        <v>30000.0</v>
      </c>
      <c r="G345" s="21">
        <f t="shared" si="1"/>
        <v>0</v>
      </c>
      <c r="H345" s="21" t="s">
        <v>758</v>
      </c>
      <c r="I345" s="21" t="s">
        <v>550</v>
      </c>
      <c r="J345" s="25" t="s">
        <v>71</v>
      </c>
    </row>
    <row r="346" ht="15.75" customHeight="1">
      <c r="A346" s="25" t="s">
        <v>1537</v>
      </c>
      <c r="B346" s="25" t="s">
        <v>139</v>
      </c>
      <c r="C346" s="69">
        <v>44805.0</v>
      </c>
      <c r="D346" s="21" t="s">
        <v>140</v>
      </c>
      <c r="E346" s="25">
        <v>0.0</v>
      </c>
      <c r="F346" s="21">
        <v>30000.0</v>
      </c>
      <c r="G346" s="21">
        <f t="shared" si="1"/>
        <v>0</v>
      </c>
      <c r="H346" s="21" t="s">
        <v>758</v>
      </c>
      <c r="I346" s="21" t="s">
        <v>550</v>
      </c>
      <c r="J346" s="25" t="s">
        <v>71</v>
      </c>
    </row>
    <row r="347" ht="15.75" customHeight="1">
      <c r="A347" s="25" t="s">
        <v>1538</v>
      </c>
      <c r="B347" s="25" t="s">
        <v>139</v>
      </c>
      <c r="C347" s="69">
        <v>44835.0</v>
      </c>
      <c r="D347" s="21" t="s">
        <v>140</v>
      </c>
      <c r="E347" s="25">
        <v>1.0</v>
      </c>
      <c r="F347" s="21">
        <v>30000.0</v>
      </c>
      <c r="G347" s="21">
        <f t="shared" si="1"/>
        <v>30000</v>
      </c>
      <c r="H347" s="21" t="s">
        <v>758</v>
      </c>
      <c r="I347" s="21" t="s">
        <v>550</v>
      </c>
      <c r="J347" s="25" t="s">
        <v>71</v>
      </c>
    </row>
    <row r="348" ht="15.75" customHeight="1">
      <c r="A348" s="25" t="s">
        <v>1539</v>
      </c>
      <c r="B348" s="25" t="s">
        <v>139</v>
      </c>
      <c r="C348" s="69">
        <v>44866.0</v>
      </c>
      <c r="D348" s="21" t="s">
        <v>140</v>
      </c>
      <c r="E348" s="25">
        <v>1.0</v>
      </c>
      <c r="F348" s="21">
        <v>30000.0</v>
      </c>
      <c r="G348" s="21">
        <f t="shared" si="1"/>
        <v>30000</v>
      </c>
      <c r="H348" s="21" t="s">
        <v>758</v>
      </c>
      <c r="I348" s="21" t="s">
        <v>550</v>
      </c>
      <c r="J348" s="25" t="s">
        <v>71</v>
      </c>
    </row>
    <row r="349" ht="15.75" customHeight="1">
      <c r="A349" s="25" t="s">
        <v>1541</v>
      </c>
      <c r="B349" s="25" t="s">
        <v>139</v>
      </c>
      <c r="C349" s="69">
        <v>44896.0</v>
      </c>
      <c r="D349" s="21" t="s">
        <v>140</v>
      </c>
      <c r="E349" s="25">
        <v>0.0</v>
      </c>
      <c r="F349" s="21">
        <v>30000.0</v>
      </c>
      <c r="G349" s="21">
        <f t="shared" si="1"/>
        <v>0</v>
      </c>
      <c r="H349" s="21" t="s">
        <v>758</v>
      </c>
      <c r="I349" s="21" t="s">
        <v>550</v>
      </c>
      <c r="J349" s="25" t="s">
        <v>71</v>
      </c>
    </row>
    <row r="350" ht="15.75" customHeight="1">
      <c r="A350" s="25" t="s">
        <v>1543</v>
      </c>
      <c r="B350" s="25" t="s">
        <v>150</v>
      </c>
      <c r="C350" s="69">
        <v>44562.0</v>
      </c>
      <c r="D350" s="21" t="s">
        <v>151</v>
      </c>
      <c r="E350" s="25">
        <v>1.0</v>
      </c>
      <c r="F350" s="21">
        <v>30000.0</v>
      </c>
      <c r="G350" s="21">
        <f t="shared" si="1"/>
        <v>30000</v>
      </c>
      <c r="H350" s="21" t="s">
        <v>758</v>
      </c>
      <c r="I350" s="21" t="s">
        <v>550</v>
      </c>
      <c r="J350" s="25" t="s">
        <v>71</v>
      </c>
    </row>
    <row r="351" ht="15.75" customHeight="1">
      <c r="A351" s="25" t="s">
        <v>1545</v>
      </c>
      <c r="B351" s="25" t="s">
        <v>150</v>
      </c>
      <c r="C351" s="69">
        <v>44593.0</v>
      </c>
      <c r="D351" s="21" t="s">
        <v>151</v>
      </c>
      <c r="E351" s="25">
        <v>1.0</v>
      </c>
      <c r="F351" s="21">
        <v>30000.0</v>
      </c>
      <c r="G351" s="21">
        <f t="shared" si="1"/>
        <v>30000</v>
      </c>
      <c r="H351" s="21" t="s">
        <v>758</v>
      </c>
      <c r="I351" s="21" t="s">
        <v>550</v>
      </c>
      <c r="J351" s="25" t="s">
        <v>71</v>
      </c>
    </row>
    <row r="352" ht="15.75" customHeight="1">
      <c r="A352" s="25" t="s">
        <v>1547</v>
      </c>
      <c r="B352" s="25" t="s">
        <v>150</v>
      </c>
      <c r="C352" s="69">
        <v>44621.0</v>
      </c>
      <c r="D352" s="21" t="s">
        <v>151</v>
      </c>
      <c r="E352" s="25">
        <v>1.0</v>
      </c>
      <c r="F352" s="21">
        <v>30000.0</v>
      </c>
      <c r="G352" s="21">
        <f t="shared" si="1"/>
        <v>30000</v>
      </c>
      <c r="H352" s="21" t="s">
        <v>758</v>
      </c>
      <c r="I352" s="21" t="s">
        <v>550</v>
      </c>
      <c r="J352" s="25" t="s">
        <v>71</v>
      </c>
    </row>
    <row r="353" ht="15.75" customHeight="1">
      <c r="A353" s="25" t="s">
        <v>1549</v>
      </c>
      <c r="B353" s="25" t="s">
        <v>150</v>
      </c>
      <c r="C353" s="69">
        <v>44652.0</v>
      </c>
      <c r="D353" s="21" t="s">
        <v>151</v>
      </c>
      <c r="E353" s="25">
        <v>0.0</v>
      </c>
      <c r="F353" s="21">
        <v>30000.0</v>
      </c>
      <c r="G353" s="21">
        <f t="shared" si="1"/>
        <v>0</v>
      </c>
      <c r="H353" s="21" t="s">
        <v>758</v>
      </c>
      <c r="I353" s="21" t="s">
        <v>550</v>
      </c>
      <c r="J353" s="25" t="s">
        <v>71</v>
      </c>
    </row>
    <row r="354" ht="15.75" customHeight="1">
      <c r="A354" s="25" t="s">
        <v>1551</v>
      </c>
      <c r="B354" s="25" t="s">
        <v>150</v>
      </c>
      <c r="C354" s="69">
        <v>44682.0</v>
      </c>
      <c r="D354" s="21" t="s">
        <v>151</v>
      </c>
      <c r="E354" s="25">
        <v>1.0</v>
      </c>
      <c r="F354" s="21">
        <v>30000.0</v>
      </c>
      <c r="G354" s="21">
        <f t="shared" si="1"/>
        <v>30000</v>
      </c>
      <c r="H354" s="21" t="s">
        <v>758</v>
      </c>
      <c r="I354" s="21" t="s">
        <v>550</v>
      </c>
      <c r="J354" s="25" t="s">
        <v>71</v>
      </c>
    </row>
    <row r="355" ht="15.75" customHeight="1">
      <c r="A355" s="25" t="s">
        <v>1553</v>
      </c>
      <c r="B355" s="25" t="s">
        <v>150</v>
      </c>
      <c r="C355" s="69">
        <v>44713.0</v>
      </c>
      <c r="D355" s="21" t="s">
        <v>151</v>
      </c>
      <c r="E355" s="25">
        <v>0.0</v>
      </c>
      <c r="F355" s="21">
        <v>30000.0</v>
      </c>
      <c r="G355" s="21">
        <f t="shared" si="1"/>
        <v>0</v>
      </c>
      <c r="H355" s="21" t="s">
        <v>758</v>
      </c>
      <c r="I355" s="21" t="s">
        <v>550</v>
      </c>
      <c r="J355" s="25" t="s">
        <v>71</v>
      </c>
    </row>
    <row r="356" ht="15.75" customHeight="1">
      <c r="A356" s="25" t="s">
        <v>1555</v>
      </c>
      <c r="B356" s="25" t="s">
        <v>150</v>
      </c>
      <c r="C356" s="69">
        <v>44743.0</v>
      </c>
      <c r="D356" s="21" t="s">
        <v>151</v>
      </c>
      <c r="E356" s="25">
        <v>0.0</v>
      </c>
      <c r="F356" s="21">
        <v>30000.0</v>
      </c>
      <c r="G356" s="21">
        <f t="shared" si="1"/>
        <v>0</v>
      </c>
      <c r="H356" s="21" t="s">
        <v>758</v>
      </c>
      <c r="I356" s="21" t="s">
        <v>550</v>
      </c>
      <c r="J356" s="25" t="s">
        <v>71</v>
      </c>
    </row>
    <row r="357" ht="15.75" customHeight="1">
      <c r="A357" s="25" t="s">
        <v>1558</v>
      </c>
      <c r="B357" s="25" t="s">
        <v>150</v>
      </c>
      <c r="C357" s="69">
        <v>44774.0</v>
      </c>
      <c r="D357" s="21" t="s">
        <v>151</v>
      </c>
      <c r="E357" s="25">
        <v>0.0</v>
      </c>
      <c r="F357" s="21">
        <v>30000.0</v>
      </c>
      <c r="G357" s="21">
        <f t="shared" si="1"/>
        <v>0</v>
      </c>
      <c r="H357" s="21" t="s">
        <v>758</v>
      </c>
      <c r="I357" s="21" t="s">
        <v>550</v>
      </c>
      <c r="J357" s="25" t="s">
        <v>71</v>
      </c>
    </row>
    <row r="358" ht="15.75" customHeight="1">
      <c r="A358" s="25" t="s">
        <v>1560</v>
      </c>
      <c r="B358" s="25" t="s">
        <v>150</v>
      </c>
      <c r="C358" s="69">
        <v>44805.0</v>
      </c>
      <c r="D358" s="21" t="s">
        <v>151</v>
      </c>
      <c r="E358" s="25">
        <v>0.0</v>
      </c>
      <c r="F358" s="21">
        <v>30000.0</v>
      </c>
      <c r="G358" s="21">
        <f t="shared" si="1"/>
        <v>0</v>
      </c>
      <c r="H358" s="21" t="s">
        <v>758</v>
      </c>
      <c r="I358" s="21" t="s">
        <v>550</v>
      </c>
      <c r="J358" s="25" t="s">
        <v>71</v>
      </c>
    </row>
    <row r="359" ht="15.75" customHeight="1">
      <c r="A359" s="25" t="s">
        <v>1562</v>
      </c>
      <c r="B359" s="25" t="s">
        <v>150</v>
      </c>
      <c r="C359" s="69">
        <v>44835.0</v>
      </c>
      <c r="D359" s="21" t="s">
        <v>151</v>
      </c>
      <c r="E359" s="25">
        <v>0.0</v>
      </c>
      <c r="F359" s="21">
        <v>30000.0</v>
      </c>
      <c r="G359" s="21">
        <f t="shared" si="1"/>
        <v>0</v>
      </c>
      <c r="H359" s="21" t="s">
        <v>758</v>
      </c>
      <c r="I359" s="21" t="s">
        <v>550</v>
      </c>
      <c r="J359" s="25" t="s">
        <v>71</v>
      </c>
    </row>
    <row r="360" ht="15.75" customHeight="1">
      <c r="A360" s="25" t="s">
        <v>1564</v>
      </c>
      <c r="B360" s="25" t="s">
        <v>150</v>
      </c>
      <c r="C360" s="69">
        <v>44866.0</v>
      </c>
      <c r="D360" s="21" t="s">
        <v>151</v>
      </c>
      <c r="E360" s="25">
        <v>0.0</v>
      </c>
      <c r="F360" s="21">
        <v>30000.0</v>
      </c>
      <c r="G360" s="21">
        <f t="shared" si="1"/>
        <v>0</v>
      </c>
      <c r="H360" s="21" t="s">
        <v>758</v>
      </c>
      <c r="I360" s="21" t="s">
        <v>550</v>
      </c>
      <c r="J360" s="25" t="s">
        <v>71</v>
      </c>
    </row>
    <row r="361" ht="15.75" customHeight="1">
      <c r="A361" s="25" t="s">
        <v>1566</v>
      </c>
      <c r="B361" s="25" t="s">
        <v>150</v>
      </c>
      <c r="C361" s="69">
        <v>44896.0</v>
      </c>
      <c r="D361" s="21" t="s">
        <v>151</v>
      </c>
      <c r="E361" s="25">
        <v>0.0</v>
      </c>
      <c r="F361" s="21">
        <v>30000.0</v>
      </c>
      <c r="G361" s="21">
        <f t="shared" si="1"/>
        <v>0</v>
      </c>
      <c r="H361" s="21" t="s">
        <v>758</v>
      </c>
      <c r="I361" s="21" t="s">
        <v>550</v>
      </c>
      <c r="J361" s="25" t="s">
        <v>71</v>
      </c>
    </row>
    <row r="362" ht="15.75" customHeight="1">
      <c r="A362" s="25" t="s">
        <v>1568</v>
      </c>
      <c r="B362" s="25" t="s">
        <v>163</v>
      </c>
      <c r="C362" s="69">
        <v>44562.0</v>
      </c>
      <c r="D362" s="21" t="s">
        <v>165</v>
      </c>
      <c r="E362" s="25">
        <v>1.0</v>
      </c>
      <c r="F362" s="21">
        <v>49500.0</v>
      </c>
      <c r="G362" s="21">
        <f t="shared" si="1"/>
        <v>49500</v>
      </c>
      <c r="H362" s="21" t="s">
        <v>549</v>
      </c>
      <c r="I362" s="21" t="s">
        <v>550</v>
      </c>
      <c r="J362" s="25" t="s">
        <v>71</v>
      </c>
    </row>
    <row r="363" ht="15.75" customHeight="1">
      <c r="A363" s="25" t="s">
        <v>1570</v>
      </c>
      <c r="B363" s="25" t="s">
        <v>163</v>
      </c>
      <c r="C363" s="69">
        <v>44593.0</v>
      </c>
      <c r="D363" s="21" t="s">
        <v>165</v>
      </c>
      <c r="E363" s="25">
        <v>0.0</v>
      </c>
      <c r="F363" s="21">
        <v>49500.0</v>
      </c>
      <c r="G363" s="21">
        <f t="shared" si="1"/>
        <v>0</v>
      </c>
      <c r="H363" s="21" t="s">
        <v>549</v>
      </c>
      <c r="I363" s="21" t="s">
        <v>550</v>
      </c>
      <c r="J363" s="25" t="s">
        <v>71</v>
      </c>
    </row>
    <row r="364" ht="15.75" customHeight="1">
      <c r="A364" s="25" t="s">
        <v>1572</v>
      </c>
      <c r="B364" s="25" t="s">
        <v>163</v>
      </c>
      <c r="C364" s="69">
        <v>44621.0</v>
      </c>
      <c r="D364" s="21" t="s">
        <v>165</v>
      </c>
      <c r="E364" s="25">
        <v>0.0</v>
      </c>
      <c r="F364" s="21">
        <v>49500.0</v>
      </c>
      <c r="G364" s="21">
        <f t="shared" si="1"/>
        <v>0</v>
      </c>
      <c r="H364" s="21" t="s">
        <v>549</v>
      </c>
      <c r="I364" s="21" t="s">
        <v>550</v>
      </c>
      <c r="J364" s="25" t="s">
        <v>71</v>
      </c>
    </row>
    <row r="365" ht="15.75" customHeight="1">
      <c r="A365" s="25" t="s">
        <v>1574</v>
      </c>
      <c r="B365" s="25" t="s">
        <v>163</v>
      </c>
      <c r="C365" s="69">
        <v>44652.0</v>
      </c>
      <c r="D365" s="21" t="s">
        <v>165</v>
      </c>
      <c r="E365" s="25">
        <v>1.0</v>
      </c>
      <c r="F365" s="21">
        <v>49500.0</v>
      </c>
      <c r="G365" s="21">
        <f t="shared" si="1"/>
        <v>49500</v>
      </c>
      <c r="H365" s="21" t="s">
        <v>549</v>
      </c>
      <c r="I365" s="21" t="s">
        <v>550</v>
      </c>
      <c r="J365" s="25" t="s">
        <v>71</v>
      </c>
    </row>
    <row r="366" ht="15.75" customHeight="1">
      <c r="A366" s="25" t="s">
        <v>1576</v>
      </c>
      <c r="B366" s="25" t="s">
        <v>163</v>
      </c>
      <c r="C366" s="69">
        <v>44682.0</v>
      </c>
      <c r="D366" s="21" t="s">
        <v>165</v>
      </c>
      <c r="E366" s="25">
        <v>0.0</v>
      </c>
      <c r="F366" s="21">
        <v>49500.0</v>
      </c>
      <c r="G366" s="21">
        <f t="shared" si="1"/>
        <v>0</v>
      </c>
      <c r="H366" s="21" t="s">
        <v>549</v>
      </c>
      <c r="I366" s="21" t="s">
        <v>550</v>
      </c>
      <c r="J366" s="25" t="s">
        <v>71</v>
      </c>
    </row>
    <row r="367" ht="15.75" customHeight="1">
      <c r="A367" s="25" t="s">
        <v>1578</v>
      </c>
      <c r="B367" s="25" t="s">
        <v>163</v>
      </c>
      <c r="C367" s="69">
        <v>44713.0</v>
      </c>
      <c r="D367" s="21" t="s">
        <v>165</v>
      </c>
      <c r="E367" s="25">
        <v>1.0</v>
      </c>
      <c r="F367" s="21">
        <v>49500.0</v>
      </c>
      <c r="G367" s="21">
        <f t="shared" si="1"/>
        <v>49500</v>
      </c>
      <c r="H367" s="21" t="s">
        <v>549</v>
      </c>
      <c r="I367" s="21" t="s">
        <v>550</v>
      </c>
      <c r="J367" s="25" t="s">
        <v>71</v>
      </c>
    </row>
    <row r="368" ht="15.75" customHeight="1">
      <c r="A368" s="25" t="s">
        <v>1580</v>
      </c>
      <c r="B368" s="25" t="s">
        <v>163</v>
      </c>
      <c r="C368" s="69">
        <v>44743.0</v>
      </c>
      <c r="D368" s="21" t="s">
        <v>165</v>
      </c>
      <c r="E368" s="25">
        <v>0.0</v>
      </c>
      <c r="F368" s="21">
        <v>49500.0</v>
      </c>
      <c r="G368" s="21">
        <f t="shared" si="1"/>
        <v>0</v>
      </c>
      <c r="H368" s="21" t="s">
        <v>549</v>
      </c>
      <c r="I368" s="21" t="s">
        <v>550</v>
      </c>
      <c r="J368" s="25" t="s">
        <v>71</v>
      </c>
    </row>
    <row r="369" ht="15.75" customHeight="1">
      <c r="A369" s="25" t="s">
        <v>1582</v>
      </c>
      <c r="B369" s="25" t="s">
        <v>163</v>
      </c>
      <c r="C369" s="69">
        <v>44774.0</v>
      </c>
      <c r="D369" s="21" t="s">
        <v>165</v>
      </c>
      <c r="E369" s="25">
        <v>0.0</v>
      </c>
      <c r="F369" s="21">
        <v>49500.0</v>
      </c>
      <c r="G369" s="21">
        <f t="shared" si="1"/>
        <v>0</v>
      </c>
      <c r="H369" s="21" t="s">
        <v>549</v>
      </c>
      <c r="I369" s="21" t="s">
        <v>550</v>
      </c>
      <c r="J369" s="25" t="s">
        <v>71</v>
      </c>
    </row>
    <row r="370" ht="15.75" customHeight="1">
      <c r="A370" s="25" t="s">
        <v>1583</v>
      </c>
      <c r="B370" s="25" t="s">
        <v>163</v>
      </c>
      <c r="C370" s="69">
        <v>44805.0</v>
      </c>
      <c r="D370" s="21" t="s">
        <v>165</v>
      </c>
      <c r="E370" s="25">
        <v>0.0</v>
      </c>
      <c r="F370" s="21">
        <v>49500.0</v>
      </c>
      <c r="G370" s="21">
        <f t="shared" si="1"/>
        <v>0</v>
      </c>
      <c r="H370" s="21" t="s">
        <v>549</v>
      </c>
      <c r="I370" s="21" t="s">
        <v>550</v>
      </c>
      <c r="J370" s="25" t="s">
        <v>71</v>
      </c>
    </row>
    <row r="371" ht="15.75" customHeight="1">
      <c r="A371" s="25" t="s">
        <v>1585</v>
      </c>
      <c r="B371" s="25" t="s">
        <v>163</v>
      </c>
      <c r="C371" s="69">
        <v>44835.0</v>
      </c>
      <c r="D371" s="21" t="s">
        <v>165</v>
      </c>
      <c r="E371" s="25">
        <v>1.0</v>
      </c>
      <c r="F371" s="21">
        <v>49500.0</v>
      </c>
      <c r="G371" s="21">
        <f t="shared" si="1"/>
        <v>49500</v>
      </c>
      <c r="H371" s="21" t="s">
        <v>549</v>
      </c>
      <c r="I371" s="21" t="s">
        <v>550</v>
      </c>
      <c r="J371" s="25" t="s">
        <v>71</v>
      </c>
    </row>
    <row r="372" ht="15.75" customHeight="1">
      <c r="A372" s="25" t="s">
        <v>1587</v>
      </c>
      <c r="B372" s="25" t="s">
        <v>163</v>
      </c>
      <c r="C372" s="69">
        <v>44866.0</v>
      </c>
      <c r="D372" s="21" t="s">
        <v>165</v>
      </c>
      <c r="E372" s="25">
        <v>0.0</v>
      </c>
      <c r="F372" s="21">
        <v>49500.0</v>
      </c>
      <c r="G372" s="21">
        <f t="shared" si="1"/>
        <v>0</v>
      </c>
      <c r="H372" s="21" t="s">
        <v>549</v>
      </c>
      <c r="I372" s="21" t="s">
        <v>550</v>
      </c>
      <c r="J372" s="25" t="s">
        <v>71</v>
      </c>
    </row>
    <row r="373" ht="15.75" customHeight="1">
      <c r="A373" s="25" t="s">
        <v>1589</v>
      </c>
      <c r="B373" s="25" t="s">
        <v>163</v>
      </c>
      <c r="C373" s="69">
        <v>44896.0</v>
      </c>
      <c r="D373" s="21" t="s">
        <v>165</v>
      </c>
      <c r="E373" s="25">
        <v>0.0</v>
      </c>
      <c r="F373" s="21">
        <v>49500.0</v>
      </c>
      <c r="G373" s="21">
        <f t="shared" si="1"/>
        <v>0</v>
      </c>
      <c r="H373" s="21" t="s">
        <v>549</v>
      </c>
      <c r="I373" s="21" t="s">
        <v>550</v>
      </c>
      <c r="J373" s="25" t="s">
        <v>71</v>
      </c>
    </row>
    <row r="374" ht="15.75" customHeight="1">
      <c r="A374" s="25" t="s">
        <v>1591</v>
      </c>
      <c r="B374" s="25" t="s">
        <v>175</v>
      </c>
      <c r="C374" s="69">
        <v>44562.0</v>
      </c>
      <c r="D374" s="21" t="s">
        <v>176</v>
      </c>
      <c r="E374" s="25">
        <v>1.0</v>
      </c>
      <c r="F374" s="21">
        <v>49500.0</v>
      </c>
      <c r="G374" s="21">
        <f t="shared" si="1"/>
        <v>49500</v>
      </c>
      <c r="H374" s="21" t="s">
        <v>549</v>
      </c>
      <c r="I374" s="21" t="s">
        <v>550</v>
      </c>
      <c r="J374" s="25" t="s">
        <v>71</v>
      </c>
    </row>
    <row r="375" ht="15.75" customHeight="1">
      <c r="A375" s="25" t="s">
        <v>1593</v>
      </c>
      <c r="B375" s="25" t="s">
        <v>175</v>
      </c>
      <c r="C375" s="69">
        <v>44593.0</v>
      </c>
      <c r="D375" s="21" t="s">
        <v>176</v>
      </c>
      <c r="E375" s="25">
        <v>2.0</v>
      </c>
      <c r="F375" s="21">
        <v>49500.0</v>
      </c>
      <c r="G375" s="21">
        <f t="shared" si="1"/>
        <v>99000</v>
      </c>
      <c r="H375" s="21" t="s">
        <v>549</v>
      </c>
      <c r="I375" s="21" t="s">
        <v>550</v>
      </c>
      <c r="J375" s="25" t="s">
        <v>71</v>
      </c>
    </row>
    <row r="376" ht="15.75" customHeight="1">
      <c r="A376" s="25" t="s">
        <v>1595</v>
      </c>
      <c r="B376" s="25" t="s">
        <v>175</v>
      </c>
      <c r="C376" s="69">
        <v>44621.0</v>
      </c>
      <c r="D376" s="21" t="s">
        <v>176</v>
      </c>
      <c r="E376" s="25">
        <v>2.0</v>
      </c>
      <c r="F376" s="21">
        <v>49500.0</v>
      </c>
      <c r="G376" s="21">
        <f t="shared" si="1"/>
        <v>99000</v>
      </c>
      <c r="H376" s="21" t="s">
        <v>549</v>
      </c>
      <c r="I376" s="21" t="s">
        <v>550</v>
      </c>
      <c r="J376" s="25" t="s">
        <v>71</v>
      </c>
    </row>
    <row r="377" ht="15.75" customHeight="1">
      <c r="A377" s="25" t="s">
        <v>1598</v>
      </c>
      <c r="B377" s="25" t="s">
        <v>175</v>
      </c>
      <c r="C377" s="69">
        <v>44652.0</v>
      </c>
      <c r="D377" s="21" t="s">
        <v>176</v>
      </c>
      <c r="E377" s="25">
        <v>3.0</v>
      </c>
      <c r="F377" s="21">
        <v>49500.0</v>
      </c>
      <c r="G377" s="21">
        <f t="shared" si="1"/>
        <v>148500</v>
      </c>
      <c r="H377" s="21" t="s">
        <v>549</v>
      </c>
      <c r="I377" s="21" t="s">
        <v>550</v>
      </c>
      <c r="J377" s="25" t="s">
        <v>71</v>
      </c>
    </row>
    <row r="378" ht="15.75" customHeight="1">
      <c r="A378" s="25" t="s">
        <v>1600</v>
      </c>
      <c r="B378" s="25" t="s">
        <v>175</v>
      </c>
      <c r="C378" s="69">
        <v>44682.0</v>
      </c>
      <c r="D378" s="21" t="s">
        <v>176</v>
      </c>
      <c r="E378" s="25">
        <v>3.0</v>
      </c>
      <c r="F378" s="21">
        <v>49500.0</v>
      </c>
      <c r="G378" s="21">
        <f t="shared" si="1"/>
        <v>148500</v>
      </c>
      <c r="H378" s="21" t="s">
        <v>549</v>
      </c>
      <c r="I378" s="21" t="s">
        <v>550</v>
      </c>
      <c r="J378" s="25" t="s">
        <v>71</v>
      </c>
    </row>
    <row r="379" ht="15.75" customHeight="1">
      <c r="A379" s="25" t="s">
        <v>1602</v>
      </c>
      <c r="B379" s="25" t="s">
        <v>175</v>
      </c>
      <c r="C379" s="69">
        <v>44713.0</v>
      </c>
      <c r="D379" s="21" t="s">
        <v>176</v>
      </c>
      <c r="E379" s="25">
        <v>1.0</v>
      </c>
      <c r="F379" s="21">
        <v>49500.0</v>
      </c>
      <c r="G379" s="21">
        <f t="shared" si="1"/>
        <v>49500</v>
      </c>
      <c r="H379" s="21" t="s">
        <v>549</v>
      </c>
      <c r="I379" s="21" t="s">
        <v>550</v>
      </c>
      <c r="J379" s="25" t="s">
        <v>71</v>
      </c>
    </row>
    <row r="380" ht="15.75" customHeight="1">
      <c r="A380" s="25" t="s">
        <v>1605</v>
      </c>
      <c r="B380" s="25" t="s">
        <v>175</v>
      </c>
      <c r="C380" s="69">
        <v>44743.0</v>
      </c>
      <c r="D380" s="21" t="s">
        <v>176</v>
      </c>
      <c r="E380" s="25">
        <v>0.0</v>
      </c>
      <c r="F380" s="21">
        <v>49500.0</v>
      </c>
      <c r="G380" s="21">
        <f t="shared" si="1"/>
        <v>0</v>
      </c>
      <c r="H380" s="21" t="s">
        <v>549</v>
      </c>
      <c r="I380" s="21" t="s">
        <v>550</v>
      </c>
      <c r="J380" s="25" t="s">
        <v>71</v>
      </c>
    </row>
    <row r="381" ht="15.75" customHeight="1">
      <c r="A381" s="25" t="s">
        <v>1607</v>
      </c>
      <c r="B381" s="25" t="s">
        <v>175</v>
      </c>
      <c r="C381" s="69">
        <v>44774.0</v>
      </c>
      <c r="D381" s="21" t="s">
        <v>176</v>
      </c>
      <c r="E381" s="25">
        <v>1.0</v>
      </c>
      <c r="F381" s="21">
        <v>49500.0</v>
      </c>
      <c r="G381" s="21">
        <f t="shared" si="1"/>
        <v>49500</v>
      </c>
      <c r="H381" s="21" t="s">
        <v>549</v>
      </c>
      <c r="I381" s="21" t="s">
        <v>550</v>
      </c>
      <c r="J381" s="25" t="s">
        <v>71</v>
      </c>
    </row>
    <row r="382" ht="15.75" customHeight="1">
      <c r="A382" s="25" t="s">
        <v>1609</v>
      </c>
      <c r="B382" s="25" t="s">
        <v>175</v>
      </c>
      <c r="C382" s="69">
        <v>44805.0</v>
      </c>
      <c r="D382" s="21" t="s">
        <v>176</v>
      </c>
      <c r="E382" s="25">
        <v>2.0</v>
      </c>
      <c r="F382" s="21">
        <v>49500.0</v>
      </c>
      <c r="G382" s="21">
        <f t="shared" si="1"/>
        <v>99000</v>
      </c>
      <c r="H382" s="21" t="s">
        <v>549</v>
      </c>
      <c r="I382" s="21" t="s">
        <v>550</v>
      </c>
      <c r="J382" s="25" t="s">
        <v>71</v>
      </c>
    </row>
    <row r="383" ht="15.75" customHeight="1">
      <c r="A383" s="25" t="s">
        <v>1611</v>
      </c>
      <c r="B383" s="25" t="s">
        <v>175</v>
      </c>
      <c r="C383" s="69">
        <v>44835.0</v>
      </c>
      <c r="D383" s="21" t="s">
        <v>176</v>
      </c>
      <c r="E383" s="25">
        <v>0.0</v>
      </c>
      <c r="F383" s="21">
        <v>49500.0</v>
      </c>
      <c r="G383" s="21">
        <f t="shared" si="1"/>
        <v>0</v>
      </c>
      <c r="H383" s="21" t="s">
        <v>549</v>
      </c>
      <c r="I383" s="21" t="s">
        <v>550</v>
      </c>
      <c r="J383" s="25" t="s">
        <v>71</v>
      </c>
    </row>
    <row r="384" ht="15.75" customHeight="1">
      <c r="A384" s="25" t="s">
        <v>1614</v>
      </c>
      <c r="B384" s="25" t="s">
        <v>175</v>
      </c>
      <c r="C384" s="69">
        <v>44866.0</v>
      </c>
      <c r="D384" s="21" t="s">
        <v>176</v>
      </c>
      <c r="E384" s="25">
        <v>1.0</v>
      </c>
      <c r="F384" s="21">
        <v>49500.0</v>
      </c>
      <c r="G384" s="21">
        <f t="shared" si="1"/>
        <v>49500</v>
      </c>
      <c r="H384" s="21" t="s">
        <v>549</v>
      </c>
      <c r="I384" s="21" t="s">
        <v>550</v>
      </c>
      <c r="J384" s="25" t="s">
        <v>71</v>
      </c>
    </row>
    <row r="385" ht="15.75" customHeight="1">
      <c r="A385" s="25" t="s">
        <v>1616</v>
      </c>
      <c r="B385" s="25" t="s">
        <v>175</v>
      </c>
      <c r="C385" s="69">
        <v>44896.0</v>
      </c>
      <c r="D385" s="21" t="s">
        <v>176</v>
      </c>
      <c r="E385" s="25">
        <v>3.0</v>
      </c>
      <c r="F385" s="21">
        <v>49500.0</v>
      </c>
      <c r="G385" s="21">
        <f t="shared" si="1"/>
        <v>148500</v>
      </c>
      <c r="H385" s="21" t="s">
        <v>549</v>
      </c>
      <c r="I385" s="21" t="s">
        <v>550</v>
      </c>
      <c r="J385" s="25" t="s">
        <v>71</v>
      </c>
    </row>
    <row r="386" ht="15.75" customHeight="1">
      <c r="A386" s="25" t="s">
        <v>1619</v>
      </c>
      <c r="B386" s="25" t="s">
        <v>188</v>
      </c>
      <c r="C386" s="69">
        <v>44562.0</v>
      </c>
      <c r="D386" s="21" t="s">
        <v>189</v>
      </c>
      <c r="E386" s="25">
        <v>1.0</v>
      </c>
      <c r="F386" s="21">
        <v>49500.0</v>
      </c>
      <c r="G386" s="21">
        <f t="shared" si="1"/>
        <v>49500</v>
      </c>
      <c r="H386" s="21" t="s">
        <v>549</v>
      </c>
      <c r="I386" s="21" t="s">
        <v>550</v>
      </c>
      <c r="J386" s="25" t="s">
        <v>71</v>
      </c>
    </row>
    <row r="387" ht="15.75" customHeight="1">
      <c r="A387" s="25" t="s">
        <v>1621</v>
      </c>
      <c r="B387" s="25" t="s">
        <v>188</v>
      </c>
      <c r="C387" s="69">
        <v>44593.0</v>
      </c>
      <c r="D387" s="21" t="s">
        <v>189</v>
      </c>
      <c r="E387" s="25">
        <v>0.0</v>
      </c>
      <c r="F387" s="21">
        <v>49500.0</v>
      </c>
      <c r="G387" s="21">
        <f t="shared" si="1"/>
        <v>0</v>
      </c>
      <c r="H387" s="21" t="s">
        <v>549</v>
      </c>
      <c r="I387" s="21" t="s">
        <v>550</v>
      </c>
      <c r="J387" s="25" t="s">
        <v>71</v>
      </c>
    </row>
    <row r="388" ht="15.75" customHeight="1">
      <c r="A388" s="25" t="s">
        <v>1623</v>
      </c>
      <c r="B388" s="25" t="s">
        <v>188</v>
      </c>
      <c r="C388" s="69">
        <v>44621.0</v>
      </c>
      <c r="D388" s="21" t="s">
        <v>189</v>
      </c>
      <c r="E388" s="25">
        <v>0.0</v>
      </c>
      <c r="F388" s="21">
        <v>49500.0</v>
      </c>
      <c r="G388" s="21">
        <f t="shared" si="1"/>
        <v>0</v>
      </c>
      <c r="H388" s="21" t="s">
        <v>549</v>
      </c>
      <c r="I388" s="21" t="s">
        <v>550</v>
      </c>
      <c r="J388" s="25" t="s">
        <v>71</v>
      </c>
    </row>
    <row r="389" ht="15.75" customHeight="1">
      <c r="A389" s="25" t="s">
        <v>1625</v>
      </c>
      <c r="B389" s="25" t="s">
        <v>188</v>
      </c>
      <c r="C389" s="69">
        <v>44652.0</v>
      </c>
      <c r="D389" s="21" t="s">
        <v>189</v>
      </c>
      <c r="E389" s="25">
        <v>0.0</v>
      </c>
      <c r="F389" s="21">
        <v>49500.0</v>
      </c>
      <c r="G389" s="21">
        <f t="shared" si="1"/>
        <v>0</v>
      </c>
      <c r="H389" s="21" t="s">
        <v>549</v>
      </c>
      <c r="I389" s="21" t="s">
        <v>550</v>
      </c>
      <c r="J389" s="25" t="s">
        <v>71</v>
      </c>
    </row>
    <row r="390" ht="15.75" customHeight="1">
      <c r="A390" s="25" t="s">
        <v>1627</v>
      </c>
      <c r="B390" s="25" t="s">
        <v>188</v>
      </c>
      <c r="C390" s="69">
        <v>44682.0</v>
      </c>
      <c r="D390" s="21" t="s">
        <v>189</v>
      </c>
      <c r="E390" s="25">
        <v>1.0</v>
      </c>
      <c r="F390" s="21">
        <v>49500.0</v>
      </c>
      <c r="G390" s="21">
        <f t="shared" si="1"/>
        <v>49500</v>
      </c>
      <c r="H390" s="21" t="s">
        <v>549</v>
      </c>
      <c r="I390" s="21" t="s">
        <v>550</v>
      </c>
      <c r="J390" s="25" t="s">
        <v>71</v>
      </c>
    </row>
    <row r="391" ht="15.75" customHeight="1">
      <c r="A391" s="25" t="s">
        <v>1629</v>
      </c>
      <c r="B391" s="25" t="s">
        <v>188</v>
      </c>
      <c r="C391" s="69">
        <v>44713.0</v>
      </c>
      <c r="D391" s="21" t="s">
        <v>189</v>
      </c>
      <c r="E391" s="25">
        <v>1.0</v>
      </c>
      <c r="F391" s="21">
        <v>49500.0</v>
      </c>
      <c r="G391" s="21">
        <f t="shared" si="1"/>
        <v>49500</v>
      </c>
      <c r="H391" s="21" t="s">
        <v>549</v>
      </c>
      <c r="I391" s="21" t="s">
        <v>550</v>
      </c>
      <c r="J391" s="25" t="s">
        <v>71</v>
      </c>
    </row>
    <row r="392" ht="15.75" customHeight="1">
      <c r="A392" s="25" t="s">
        <v>1631</v>
      </c>
      <c r="B392" s="25" t="s">
        <v>188</v>
      </c>
      <c r="C392" s="69">
        <v>44743.0</v>
      </c>
      <c r="D392" s="21" t="s">
        <v>189</v>
      </c>
      <c r="E392" s="25">
        <v>1.0</v>
      </c>
      <c r="F392" s="21">
        <v>49500.0</v>
      </c>
      <c r="G392" s="21">
        <f t="shared" si="1"/>
        <v>49500</v>
      </c>
      <c r="H392" s="21" t="s">
        <v>549</v>
      </c>
      <c r="I392" s="21" t="s">
        <v>550</v>
      </c>
      <c r="J392" s="25" t="s">
        <v>71</v>
      </c>
    </row>
    <row r="393" ht="15.75" customHeight="1">
      <c r="A393" s="25" t="s">
        <v>1633</v>
      </c>
      <c r="B393" s="25" t="s">
        <v>188</v>
      </c>
      <c r="C393" s="69">
        <v>44774.0</v>
      </c>
      <c r="D393" s="21" t="s">
        <v>189</v>
      </c>
      <c r="E393" s="25">
        <v>1.0</v>
      </c>
      <c r="F393" s="21">
        <v>49500.0</v>
      </c>
      <c r="G393" s="21">
        <f t="shared" si="1"/>
        <v>49500</v>
      </c>
      <c r="H393" s="21" t="s">
        <v>549</v>
      </c>
      <c r="I393" s="21" t="s">
        <v>550</v>
      </c>
      <c r="J393" s="25" t="s">
        <v>71</v>
      </c>
    </row>
    <row r="394" ht="15.75" customHeight="1">
      <c r="A394" s="25" t="s">
        <v>1635</v>
      </c>
      <c r="B394" s="25" t="s">
        <v>188</v>
      </c>
      <c r="C394" s="69">
        <v>44805.0</v>
      </c>
      <c r="D394" s="21" t="s">
        <v>189</v>
      </c>
      <c r="E394" s="25">
        <v>0.0</v>
      </c>
      <c r="F394" s="21">
        <v>49500.0</v>
      </c>
      <c r="G394" s="21">
        <f t="shared" si="1"/>
        <v>0</v>
      </c>
      <c r="H394" s="21" t="s">
        <v>549</v>
      </c>
      <c r="I394" s="21" t="s">
        <v>550</v>
      </c>
      <c r="J394" s="25" t="s">
        <v>71</v>
      </c>
    </row>
    <row r="395" ht="15.75" customHeight="1">
      <c r="A395" s="25" t="s">
        <v>1636</v>
      </c>
      <c r="B395" s="25" t="s">
        <v>188</v>
      </c>
      <c r="C395" s="69">
        <v>44835.0</v>
      </c>
      <c r="D395" s="21" t="s">
        <v>189</v>
      </c>
      <c r="E395" s="25">
        <v>1.0</v>
      </c>
      <c r="F395" s="21">
        <v>49500.0</v>
      </c>
      <c r="G395" s="21">
        <f t="shared" si="1"/>
        <v>49500</v>
      </c>
      <c r="H395" s="21" t="s">
        <v>549</v>
      </c>
      <c r="I395" s="21" t="s">
        <v>550</v>
      </c>
      <c r="J395" s="25" t="s">
        <v>71</v>
      </c>
    </row>
    <row r="396" ht="15.75" customHeight="1">
      <c r="A396" s="25" t="s">
        <v>1638</v>
      </c>
      <c r="B396" s="25" t="s">
        <v>188</v>
      </c>
      <c r="C396" s="69">
        <v>44866.0</v>
      </c>
      <c r="D396" s="21" t="s">
        <v>189</v>
      </c>
      <c r="E396" s="25">
        <v>1.0</v>
      </c>
      <c r="F396" s="21">
        <v>49500.0</v>
      </c>
      <c r="G396" s="21">
        <f t="shared" si="1"/>
        <v>49500</v>
      </c>
      <c r="H396" s="21" t="s">
        <v>549</v>
      </c>
      <c r="I396" s="21" t="s">
        <v>550</v>
      </c>
      <c r="J396" s="25" t="s">
        <v>71</v>
      </c>
    </row>
    <row r="397" ht="15.75" customHeight="1">
      <c r="A397" s="25" t="s">
        <v>1642</v>
      </c>
      <c r="B397" s="25" t="s">
        <v>188</v>
      </c>
      <c r="C397" s="69">
        <v>44896.0</v>
      </c>
      <c r="D397" s="21" t="s">
        <v>189</v>
      </c>
      <c r="E397" s="25">
        <v>0.0</v>
      </c>
      <c r="F397" s="21">
        <v>49500.0</v>
      </c>
      <c r="G397" s="21">
        <f t="shared" si="1"/>
        <v>0</v>
      </c>
      <c r="H397" s="21" t="s">
        <v>549</v>
      </c>
      <c r="I397" s="21" t="s">
        <v>550</v>
      </c>
      <c r="J397" s="25" t="s">
        <v>71</v>
      </c>
    </row>
    <row r="398" ht="15.75" customHeight="1">
      <c r="A398" s="25" t="s">
        <v>1645</v>
      </c>
      <c r="B398" s="25" t="s">
        <v>38</v>
      </c>
      <c r="C398" s="69">
        <v>44927.0</v>
      </c>
      <c r="D398" s="21" t="s">
        <v>41</v>
      </c>
      <c r="E398" s="25">
        <v>40.0</v>
      </c>
      <c r="F398" s="21">
        <v>45000.0</v>
      </c>
      <c r="G398" s="21">
        <f t="shared" si="1"/>
        <v>1800000</v>
      </c>
      <c r="H398" s="21" t="s">
        <v>549</v>
      </c>
      <c r="I398" s="21" t="s">
        <v>550</v>
      </c>
      <c r="J398" s="25" t="s">
        <v>71</v>
      </c>
    </row>
    <row r="399" ht="15.75" customHeight="1">
      <c r="A399" s="25" t="s">
        <v>1647</v>
      </c>
      <c r="B399" s="25" t="s">
        <v>38</v>
      </c>
      <c r="C399" s="69">
        <v>44958.0</v>
      </c>
      <c r="D399" s="21" t="s">
        <v>41</v>
      </c>
      <c r="E399" s="25">
        <v>10.0</v>
      </c>
      <c r="F399" s="21">
        <v>45000.0</v>
      </c>
      <c r="G399" s="21">
        <f t="shared" si="1"/>
        <v>450000</v>
      </c>
      <c r="H399" s="21" t="s">
        <v>549</v>
      </c>
      <c r="I399" s="21" t="s">
        <v>550</v>
      </c>
      <c r="J399" s="25" t="s">
        <v>71</v>
      </c>
    </row>
    <row r="400" ht="15.75" customHeight="1">
      <c r="A400" s="25" t="s">
        <v>1649</v>
      </c>
      <c r="B400" s="25" t="s">
        <v>38</v>
      </c>
      <c r="C400" s="69">
        <v>44986.0</v>
      </c>
      <c r="D400" s="21" t="s">
        <v>41</v>
      </c>
      <c r="E400" s="25">
        <v>30.0</v>
      </c>
      <c r="F400" s="21">
        <v>45000.0</v>
      </c>
      <c r="G400" s="21">
        <f t="shared" si="1"/>
        <v>1350000</v>
      </c>
      <c r="H400" s="21" t="s">
        <v>549</v>
      </c>
      <c r="I400" s="21" t="s">
        <v>550</v>
      </c>
      <c r="J400" s="25" t="s">
        <v>71</v>
      </c>
    </row>
    <row r="401" ht="15.75" customHeight="1">
      <c r="A401" s="25" t="s">
        <v>1653</v>
      </c>
      <c r="B401" s="25" t="s">
        <v>38</v>
      </c>
      <c r="C401" s="69">
        <v>45017.0</v>
      </c>
      <c r="D401" s="21" t="s">
        <v>41</v>
      </c>
      <c r="E401" s="25">
        <v>25.0</v>
      </c>
      <c r="F401" s="21">
        <v>45000.0</v>
      </c>
      <c r="G401" s="21">
        <f t="shared" si="1"/>
        <v>1125000</v>
      </c>
      <c r="H401" s="21" t="s">
        <v>549</v>
      </c>
      <c r="I401" s="21" t="s">
        <v>550</v>
      </c>
      <c r="J401" s="25" t="s">
        <v>71</v>
      </c>
    </row>
    <row r="402" ht="15.75" customHeight="1">
      <c r="A402" s="25" t="s">
        <v>1655</v>
      </c>
      <c r="B402" s="25" t="s">
        <v>38</v>
      </c>
      <c r="C402" s="69">
        <v>45047.0</v>
      </c>
      <c r="D402" s="21" t="s">
        <v>41</v>
      </c>
      <c r="E402" s="25">
        <v>19.0</v>
      </c>
      <c r="F402" s="21">
        <v>45000.0</v>
      </c>
      <c r="G402" s="21">
        <f t="shared" si="1"/>
        <v>855000</v>
      </c>
      <c r="H402" s="21" t="s">
        <v>549</v>
      </c>
      <c r="I402" s="21" t="s">
        <v>550</v>
      </c>
      <c r="J402" s="25" t="s">
        <v>71</v>
      </c>
    </row>
    <row r="403" ht="15.75" customHeight="1">
      <c r="A403" s="25" t="s">
        <v>1657</v>
      </c>
      <c r="B403" s="25" t="s">
        <v>38</v>
      </c>
      <c r="C403" s="69">
        <v>45078.0</v>
      </c>
      <c r="D403" s="21" t="s">
        <v>41</v>
      </c>
      <c r="E403" s="25">
        <v>40.0</v>
      </c>
      <c r="F403" s="21">
        <v>45000.0</v>
      </c>
      <c r="G403" s="21">
        <f t="shared" si="1"/>
        <v>1800000</v>
      </c>
      <c r="H403" s="21" t="s">
        <v>549</v>
      </c>
      <c r="I403" s="21" t="s">
        <v>550</v>
      </c>
      <c r="J403" s="25" t="s">
        <v>71</v>
      </c>
    </row>
    <row r="404" ht="15.75" customHeight="1">
      <c r="A404" s="25" t="s">
        <v>1659</v>
      </c>
      <c r="B404" s="25" t="s">
        <v>38</v>
      </c>
      <c r="C404" s="69">
        <v>45108.0</v>
      </c>
      <c r="D404" s="21" t="s">
        <v>41</v>
      </c>
      <c r="E404" s="25">
        <v>50.0</v>
      </c>
      <c r="F404" s="21">
        <v>45000.0</v>
      </c>
      <c r="G404" s="21">
        <f t="shared" si="1"/>
        <v>2250000</v>
      </c>
      <c r="H404" s="21" t="s">
        <v>549</v>
      </c>
      <c r="I404" s="21" t="s">
        <v>550</v>
      </c>
      <c r="J404" s="25" t="s">
        <v>71</v>
      </c>
    </row>
    <row r="405" ht="15.75" customHeight="1">
      <c r="A405" s="25" t="s">
        <v>1660</v>
      </c>
      <c r="B405" s="25" t="s">
        <v>38</v>
      </c>
      <c r="C405" s="69">
        <v>45139.0</v>
      </c>
      <c r="D405" s="21" t="s">
        <v>41</v>
      </c>
      <c r="E405" s="25">
        <v>35.0</v>
      </c>
      <c r="F405" s="21">
        <v>45000.0</v>
      </c>
      <c r="G405" s="21">
        <f t="shared" si="1"/>
        <v>1575000</v>
      </c>
      <c r="H405" s="21" t="s">
        <v>549</v>
      </c>
      <c r="I405" s="21" t="s">
        <v>550</v>
      </c>
      <c r="J405" s="25" t="s">
        <v>71</v>
      </c>
    </row>
    <row r="406" ht="15.75" customHeight="1">
      <c r="A406" s="25" t="s">
        <v>1662</v>
      </c>
      <c r="B406" s="25" t="s">
        <v>38</v>
      </c>
      <c r="C406" s="69">
        <v>45170.0</v>
      </c>
      <c r="D406" s="21" t="s">
        <v>41</v>
      </c>
      <c r="E406" s="25">
        <v>16.0</v>
      </c>
      <c r="F406" s="21">
        <v>45000.0</v>
      </c>
      <c r="G406" s="21">
        <f t="shared" si="1"/>
        <v>720000</v>
      </c>
      <c r="H406" s="21" t="s">
        <v>549</v>
      </c>
      <c r="I406" s="21" t="s">
        <v>550</v>
      </c>
      <c r="J406" s="25" t="s">
        <v>71</v>
      </c>
    </row>
    <row r="407" ht="15.75" customHeight="1">
      <c r="A407" s="25" t="s">
        <v>1664</v>
      </c>
      <c r="B407" s="25" t="s">
        <v>38</v>
      </c>
      <c r="C407" s="69">
        <v>45200.0</v>
      </c>
      <c r="D407" s="21" t="s">
        <v>41</v>
      </c>
      <c r="E407" s="25">
        <v>37.0</v>
      </c>
      <c r="F407" s="21">
        <v>45000.0</v>
      </c>
      <c r="G407" s="21">
        <f t="shared" si="1"/>
        <v>1665000</v>
      </c>
      <c r="H407" s="21" t="s">
        <v>549</v>
      </c>
      <c r="I407" s="21" t="s">
        <v>550</v>
      </c>
      <c r="J407" s="25" t="s">
        <v>71</v>
      </c>
    </row>
    <row r="408" ht="15.75" customHeight="1">
      <c r="A408" s="25" t="s">
        <v>1666</v>
      </c>
      <c r="B408" s="25" t="s">
        <v>38</v>
      </c>
      <c r="C408" s="69">
        <v>45231.0</v>
      </c>
      <c r="D408" s="21" t="s">
        <v>41</v>
      </c>
      <c r="E408" s="25">
        <v>27.0</v>
      </c>
      <c r="F408" s="21">
        <v>45000.0</v>
      </c>
      <c r="G408" s="21">
        <f t="shared" si="1"/>
        <v>1215000</v>
      </c>
      <c r="H408" s="21" t="s">
        <v>549</v>
      </c>
      <c r="I408" s="21" t="s">
        <v>550</v>
      </c>
      <c r="J408" s="25" t="s">
        <v>71</v>
      </c>
    </row>
    <row r="409" ht="15.75" customHeight="1">
      <c r="A409" s="25" t="s">
        <v>1668</v>
      </c>
      <c r="B409" s="25" t="s">
        <v>38</v>
      </c>
      <c r="C409" s="69">
        <v>45261.0</v>
      </c>
      <c r="D409" s="21" t="s">
        <v>41</v>
      </c>
      <c r="E409" s="25">
        <v>16.0</v>
      </c>
      <c r="F409" s="21">
        <v>45000.0</v>
      </c>
      <c r="G409" s="21">
        <f t="shared" si="1"/>
        <v>720000</v>
      </c>
      <c r="H409" s="21" t="s">
        <v>549</v>
      </c>
      <c r="I409" s="21" t="s">
        <v>550</v>
      </c>
      <c r="J409" s="25" t="s">
        <v>71</v>
      </c>
    </row>
    <row r="410" ht="15.75" customHeight="1">
      <c r="A410" s="25" t="s">
        <v>1670</v>
      </c>
      <c r="B410" s="25" t="s">
        <v>40</v>
      </c>
      <c r="C410" s="69">
        <v>44927.0</v>
      </c>
      <c r="D410" s="21" t="s">
        <v>42</v>
      </c>
      <c r="E410" s="25">
        <v>1.0</v>
      </c>
      <c r="F410" s="21">
        <v>45500.0</v>
      </c>
      <c r="G410" s="21">
        <f t="shared" si="1"/>
        <v>45500</v>
      </c>
      <c r="H410" s="21" t="s">
        <v>549</v>
      </c>
      <c r="I410" s="21" t="s">
        <v>550</v>
      </c>
      <c r="J410" s="25" t="s">
        <v>71</v>
      </c>
    </row>
    <row r="411" ht="15.75" customHeight="1">
      <c r="A411" s="25" t="s">
        <v>1671</v>
      </c>
      <c r="B411" s="25" t="s">
        <v>40</v>
      </c>
      <c r="C411" s="69">
        <v>44958.0</v>
      </c>
      <c r="D411" s="21" t="s">
        <v>42</v>
      </c>
      <c r="E411" s="25">
        <v>3.0</v>
      </c>
      <c r="F411" s="21">
        <v>45500.0</v>
      </c>
      <c r="G411" s="21">
        <f t="shared" si="1"/>
        <v>136500</v>
      </c>
      <c r="H411" s="21" t="s">
        <v>549</v>
      </c>
      <c r="I411" s="21" t="s">
        <v>550</v>
      </c>
      <c r="J411" s="25" t="s">
        <v>71</v>
      </c>
    </row>
    <row r="412" ht="15.75" customHeight="1">
      <c r="A412" s="25" t="s">
        <v>1673</v>
      </c>
      <c r="B412" s="25" t="s">
        <v>40</v>
      </c>
      <c r="C412" s="69">
        <v>44986.0</v>
      </c>
      <c r="D412" s="21" t="s">
        <v>42</v>
      </c>
      <c r="E412" s="25">
        <v>6.0</v>
      </c>
      <c r="F412" s="21">
        <v>45500.0</v>
      </c>
      <c r="G412" s="21">
        <f t="shared" si="1"/>
        <v>273000</v>
      </c>
      <c r="H412" s="21" t="s">
        <v>549</v>
      </c>
      <c r="I412" s="21" t="s">
        <v>550</v>
      </c>
      <c r="J412" s="25" t="s">
        <v>71</v>
      </c>
    </row>
    <row r="413" ht="15.75" customHeight="1">
      <c r="A413" s="25" t="s">
        <v>1675</v>
      </c>
      <c r="B413" s="25" t="s">
        <v>40</v>
      </c>
      <c r="C413" s="69">
        <v>45017.0</v>
      </c>
      <c r="D413" s="21" t="s">
        <v>42</v>
      </c>
      <c r="E413" s="25">
        <v>25.0</v>
      </c>
      <c r="F413" s="21">
        <v>45500.0</v>
      </c>
      <c r="G413" s="21">
        <f t="shared" si="1"/>
        <v>1137500</v>
      </c>
      <c r="H413" s="21" t="s">
        <v>549</v>
      </c>
      <c r="I413" s="21" t="s">
        <v>550</v>
      </c>
      <c r="J413" s="25" t="s">
        <v>71</v>
      </c>
    </row>
    <row r="414" ht="15.75" customHeight="1">
      <c r="A414" s="25" t="s">
        <v>1677</v>
      </c>
      <c r="B414" s="25" t="s">
        <v>40</v>
      </c>
      <c r="C414" s="69">
        <v>45047.0</v>
      </c>
      <c r="D414" s="21" t="s">
        <v>42</v>
      </c>
      <c r="E414" s="25">
        <v>6.0</v>
      </c>
      <c r="F414" s="21">
        <v>45500.0</v>
      </c>
      <c r="G414" s="21">
        <f t="shared" si="1"/>
        <v>273000</v>
      </c>
      <c r="H414" s="21" t="s">
        <v>549</v>
      </c>
      <c r="I414" s="21" t="s">
        <v>550</v>
      </c>
      <c r="J414" s="25" t="s">
        <v>71</v>
      </c>
    </row>
    <row r="415" ht="15.75" customHeight="1">
      <c r="A415" s="25" t="s">
        <v>1679</v>
      </c>
      <c r="B415" s="25" t="s">
        <v>40</v>
      </c>
      <c r="C415" s="69">
        <v>45078.0</v>
      </c>
      <c r="D415" s="21" t="s">
        <v>42</v>
      </c>
      <c r="E415" s="25">
        <v>2.0</v>
      </c>
      <c r="F415" s="21">
        <v>45500.0</v>
      </c>
      <c r="G415" s="21">
        <f t="shared" si="1"/>
        <v>91000</v>
      </c>
      <c r="H415" s="21" t="s">
        <v>549</v>
      </c>
      <c r="I415" s="21" t="s">
        <v>550</v>
      </c>
      <c r="J415" s="25" t="s">
        <v>71</v>
      </c>
    </row>
    <row r="416" ht="15.75" customHeight="1">
      <c r="A416" s="25" t="s">
        <v>1681</v>
      </c>
      <c r="B416" s="25" t="s">
        <v>40</v>
      </c>
      <c r="C416" s="69">
        <v>45108.0</v>
      </c>
      <c r="D416" s="21" t="s">
        <v>42</v>
      </c>
      <c r="E416" s="25">
        <v>0.0</v>
      </c>
      <c r="F416" s="21">
        <v>45500.0</v>
      </c>
      <c r="G416" s="21">
        <f t="shared" si="1"/>
        <v>0</v>
      </c>
      <c r="H416" s="21" t="s">
        <v>549</v>
      </c>
      <c r="I416" s="21" t="s">
        <v>550</v>
      </c>
      <c r="J416" s="25" t="s">
        <v>71</v>
      </c>
    </row>
    <row r="417" ht="15.75" customHeight="1">
      <c r="A417" s="25" t="s">
        <v>1683</v>
      </c>
      <c r="B417" s="25" t="s">
        <v>40</v>
      </c>
      <c r="C417" s="69">
        <v>45139.0</v>
      </c>
      <c r="D417" s="21" t="s">
        <v>42</v>
      </c>
      <c r="E417" s="25">
        <v>4.0</v>
      </c>
      <c r="F417" s="21">
        <v>45500.0</v>
      </c>
      <c r="G417" s="21">
        <f t="shared" si="1"/>
        <v>182000</v>
      </c>
      <c r="H417" s="21" t="s">
        <v>549</v>
      </c>
      <c r="I417" s="21" t="s">
        <v>550</v>
      </c>
      <c r="J417" s="25" t="s">
        <v>71</v>
      </c>
    </row>
    <row r="418" ht="15.75" customHeight="1">
      <c r="A418" s="25" t="s">
        <v>1685</v>
      </c>
      <c r="B418" s="25" t="s">
        <v>40</v>
      </c>
      <c r="C418" s="69">
        <v>45170.0</v>
      </c>
      <c r="D418" s="21" t="s">
        <v>42</v>
      </c>
      <c r="E418" s="25">
        <v>11.0</v>
      </c>
      <c r="F418" s="21">
        <v>45500.0</v>
      </c>
      <c r="G418" s="21">
        <f t="shared" si="1"/>
        <v>500500</v>
      </c>
      <c r="H418" s="21" t="s">
        <v>549</v>
      </c>
      <c r="I418" s="21" t="s">
        <v>550</v>
      </c>
      <c r="J418" s="25" t="s">
        <v>71</v>
      </c>
    </row>
    <row r="419" ht="15.75" customHeight="1">
      <c r="A419" s="25" t="s">
        <v>1687</v>
      </c>
      <c r="B419" s="25" t="s">
        <v>40</v>
      </c>
      <c r="C419" s="69">
        <v>45200.0</v>
      </c>
      <c r="D419" s="21" t="s">
        <v>42</v>
      </c>
      <c r="E419" s="25">
        <v>20.0</v>
      </c>
      <c r="F419" s="21">
        <v>45500.0</v>
      </c>
      <c r="G419" s="21">
        <f t="shared" si="1"/>
        <v>910000</v>
      </c>
      <c r="H419" s="21" t="s">
        <v>549</v>
      </c>
      <c r="I419" s="21" t="s">
        <v>550</v>
      </c>
      <c r="J419" s="25" t="s">
        <v>71</v>
      </c>
    </row>
    <row r="420" ht="15.75" customHeight="1">
      <c r="A420" s="25" t="s">
        <v>1689</v>
      </c>
      <c r="B420" s="25" t="s">
        <v>40</v>
      </c>
      <c r="C420" s="69">
        <v>45231.0</v>
      </c>
      <c r="D420" s="21" t="s">
        <v>42</v>
      </c>
      <c r="E420" s="25">
        <v>10.0</v>
      </c>
      <c r="F420" s="21">
        <v>45500.0</v>
      </c>
      <c r="G420" s="21">
        <f t="shared" si="1"/>
        <v>455000</v>
      </c>
      <c r="H420" s="21" t="s">
        <v>549</v>
      </c>
      <c r="I420" s="21" t="s">
        <v>550</v>
      </c>
      <c r="J420" s="25" t="s">
        <v>71</v>
      </c>
    </row>
    <row r="421" ht="15.75" customHeight="1">
      <c r="A421" s="25" t="s">
        <v>1691</v>
      </c>
      <c r="B421" s="25" t="s">
        <v>40</v>
      </c>
      <c r="C421" s="69">
        <v>45261.0</v>
      </c>
      <c r="D421" s="21" t="s">
        <v>42</v>
      </c>
      <c r="E421" s="25">
        <v>0.0</v>
      </c>
      <c r="F421" s="21">
        <v>45500.0</v>
      </c>
      <c r="G421" s="21">
        <f t="shared" si="1"/>
        <v>0</v>
      </c>
      <c r="H421" s="21" t="s">
        <v>549</v>
      </c>
      <c r="I421" s="21" t="s">
        <v>550</v>
      </c>
      <c r="J421" s="25" t="s">
        <v>71</v>
      </c>
    </row>
    <row r="422" ht="15.75" customHeight="1">
      <c r="A422" s="25" t="s">
        <v>1693</v>
      </c>
      <c r="B422" s="25" t="s">
        <v>82</v>
      </c>
      <c r="C422" s="69">
        <v>44927.0</v>
      </c>
      <c r="D422" s="21" t="s">
        <v>84</v>
      </c>
      <c r="E422" s="25">
        <v>20.0</v>
      </c>
      <c r="F422" s="21">
        <v>45000.0</v>
      </c>
      <c r="G422" s="21">
        <f t="shared" si="1"/>
        <v>900000</v>
      </c>
      <c r="H422" s="21" t="s">
        <v>549</v>
      </c>
      <c r="I422" s="21" t="s">
        <v>550</v>
      </c>
      <c r="J422" s="25" t="s">
        <v>71</v>
      </c>
    </row>
    <row r="423" ht="15.75" customHeight="1">
      <c r="A423" s="25" t="s">
        <v>1696</v>
      </c>
      <c r="B423" s="25" t="s">
        <v>82</v>
      </c>
      <c r="C423" s="69">
        <v>44958.0</v>
      </c>
      <c r="D423" s="21" t="s">
        <v>84</v>
      </c>
      <c r="E423" s="25">
        <v>12.0</v>
      </c>
      <c r="F423" s="21">
        <v>45000.0</v>
      </c>
      <c r="G423" s="21">
        <f t="shared" si="1"/>
        <v>540000</v>
      </c>
      <c r="H423" s="21" t="s">
        <v>549</v>
      </c>
      <c r="I423" s="21" t="s">
        <v>550</v>
      </c>
      <c r="J423" s="25" t="s">
        <v>71</v>
      </c>
    </row>
    <row r="424" ht="15.75" customHeight="1">
      <c r="A424" s="25" t="s">
        <v>1698</v>
      </c>
      <c r="B424" s="25" t="s">
        <v>82</v>
      </c>
      <c r="C424" s="69">
        <v>44986.0</v>
      </c>
      <c r="D424" s="21" t="s">
        <v>84</v>
      </c>
      <c r="E424" s="25">
        <v>18.0</v>
      </c>
      <c r="F424" s="21">
        <v>45000.0</v>
      </c>
      <c r="G424" s="21">
        <f t="shared" si="1"/>
        <v>810000</v>
      </c>
      <c r="H424" s="21" t="s">
        <v>549</v>
      </c>
      <c r="I424" s="21" t="s">
        <v>550</v>
      </c>
      <c r="J424" s="25" t="s">
        <v>71</v>
      </c>
    </row>
    <row r="425" ht="15.75" customHeight="1">
      <c r="A425" s="25" t="s">
        <v>1700</v>
      </c>
      <c r="B425" s="25" t="s">
        <v>82</v>
      </c>
      <c r="C425" s="69">
        <v>45017.0</v>
      </c>
      <c r="D425" s="21" t="s">
        <v>84</v>
      </c>
      <c r="E425" s="25">
        <v>1.0</v>
      </c>
      <c r="F425" s="21">
        <v>45000.0</v>
      </c>
      <c r="G425" s="21">
        <f t="shared" si="1"/>
        <v>45000</v>
      </c>
      <c r="H425" s="21" t="s">
        <v>549</v>
      </c>
      <c r="I425" s="21" t="s">
        <v>550</v>
      </c>
      <c r="J425" s="25" t="s">
        <v>71</v>
      </c>
    </row>
    <row r="426" ht="15.75" customHeight="1">
      <c r="A426" s="25" t="s">
        <v>1703</v>
      </c>
      <c r="B426" s="25" t="s">
        <v>82</v>
      </c>
      <c r="C426" s="69">
        <v>45047.0</v>
      </c>
      <c r="D426" s="21" t="s">
        <v>84</v>
      </c>
      <c r="E426" s="25">
        <v>13.0</v>
      </c>
      <c r="F426" s="21">
        <v>45000.0</v>
      </c>
      <c r="G426" s="21">
        <f t="shared" si="1"/>
        <v>585000</v>
      </c>
      <c r="H426" s="21" t="s">
        <v>549</v>
      </c>
      <c r="I426" s="21" t="s">
        <v>550</v>
      </c>
      <c r="J426" s="25" t="s">
        <v>71</v>
      </c>
    </row>
    <row r="427" ht="15.75" customHeight="1">
      <c r="A427" s="25" t="s">
        <v>1705</v>
      </c>
      <c r="B427" s="25" t="s">
        <v>82</v>
      </c>
      <c r="C427" s="69">
        <v>45078.0</v>
      </c>
      <c r="D427" s="21" t="s">
        <v>84</v>
      </c>
      <c r="E427" s="25">
        <v>9.0</v>
      </c>
      <c r="F427" s="21">
        <v>45000.0</v>
      </c>
      <c r="G427" s="21">
        <f t="shared" si="1"/>
        <v>405000</v>
      </c>
      <c r="H427" s="21" t="s">
        <v>549</v>
      </c>
      <c r="I427" s="21" t="s">
        <v>550</v>
      </c>
      <c r="J427" s="25" t="s">
        <v>71</v>
      </c>
    </row>
    <row r="428" ht="15.75" customHeight="1">
      <c r="A428" s="25" t="s">
        <v>1708</v>
      </c>
      <c r="B428" s="25" t="s">
        <v>82</v>
      </c>
      <c r="C428" s="69">
        <v>45108.0</v>
      </c>
      <c r="D428" s="21" t="s">
        <v>84</v>
      </c>
      <c r="E428" s="25">
        <v>11.0</v>
      </c>
      <c r="F428" s="21">
        <v>45000.0</v>
      </c>
      <c r="G428" s="21">
        <f t="shared" si="1"/>
        <v>495000</v>
      </c>
      <c r="H428" s="21" t="s">
        <v>549</v>
      </c>
      <c r="I428" s="21" t="s">
        <v>550</v>
      </c>
      <c r="J428" s="25" t="s">
        <v>71</v>
      </c>
    </row>
    <row r="429" ht="15.75" customHeight="1">
      <c r="A429" s="25" t="s">
        <v>1710</v>
      </c>
      <c r="B429" s="25" t="s">
        <v>82</v>
      </c>
      <c r="C429" s="69">
        <v>45139.0</v>
      </c>
      <c r="D429" s="21" t="s">
        <v>84</v>
      </c>
      <c r="E429" s="25">
        <v>18.0</v>
      </c>
      <c r="F429" s="21">
        <v>45000.0</v>
      </c>
      <c r="G429" s="21">
        <f t="shared" si="1"/>
        <v>810000</v>
      </c>
      <c r="H429" s="21" t="s">
        <v>549</v>
      </c>
      <c r="I429" s="21" t="s">
        <v>550</v>
      </c>
      <c r="J429" s="25" t="s">
        <v>71</v>
      </c>
    </row>
    <row r="430" ht="15.75" customHeight="1">
      <c r="A430" s="25" t="s">
        <v>1713</v>
      </c>
      <c r="B430" s="25" t="s">
        <v>82</v>
      </c>
      <c r="C430" s="69">
        <v>45170.0</v>
      </c>
      <c r="D430" s="21" t="s">
        <v>84</v>
      </c>
      <c r="E430" s="25">
        <v>7.0</v>
      </c>
      <c r="F430" s="21">
        <v>45000.0</v>
      </c>
      <c r="G430" s="21">
        <f t="shared" si="1"/>
        <v>315000</v>
      </c>
      <c r="H430" s="21" t="s">
        <v>549</v>
      </c>
      <c r="I430" s="21" t="s">
        <v>550</v>
      </c>
      <c r="J430" s="25" t="s">
        <v>71</v>
      </c>
    </row>
    <row r="431" ht="15.75" customHeight="1">
      <c r="A431" s="25" t="s">
        <v>1714</v>
      </c>
      <c r="B431" s="25" t="s">
        <v>82</v>
      </c>
      <c r="C431" s="69">
        <v>45200.0</v>
      </c>
      <c r="D431" s="21" t="s">
        <v>84</v>
      </c>
      <c r="E431" s="25">
        <v>4.0</v>
      </c>
      <c r="F431" s="21">
        <v>45000.0</v>
      </c>
      <c r="G431" s="21">
        <f t="shared" si="1"/>
        <v>180000</v>
      </c>
      <c r="H431" s="21" t="s">
        <v>549</v>
      </c>
      <c r="I431" s="21" t="s">
        <v>550</v>
      </c>
      <c r="J431" s="25" t="s">
        <v>71</v>
      </c>
    </row>
    <row r="432" ht="15.75" customHeight="1">
      <c r="A432" s="25" t="s">
        <v>1715</v>
      </c>
      <c r="B432" s="25" t="s">
        <v>82</v>
      </c>
      <c r="C432" s="69">
        <v>45231.0</v>
      </c>
      <c r="D432" s="21" t="s">
        <v>84</v>
      </c>
      <c r="E432" s="25">
        <v>19.0</v>
      </c>
      <c r="F432" s="21">
        <v>45000.0</v>
      </c>
      <c r="G432" s="21">
        <f t="shared" si="1"/>
        <v>855000</v>
      </c>
      <c r="H432" s="21" t="s">
        <v>549</v>
      </c>
      <c r="I432" s="21" t="s">
        <v>550</v>
      </c>
      <c r="J432" s="25" t="s">
        <v>71</v>
      </c>
    </row>
    <row r="433" ht="15.75" customHeight="1">
      <c r="A433" s="25" t="s">
        <v>1717</v>
      </c>
      <c r="B433" s="25" t="s">
        <v>82</v>
      </c>
      <c r="C433" s="69">
        <v>45261.0</v>
      </c>
      <c r="D433" s="21" t="s">
        <v>84</v>
      </c>
      <c r="E433" s="25">
        <v>8.0</v>
      </c>
      <c r="F433" s="21">
        <v>45000.0</v>
      </c>
      <c r="G433" s="21">
        <f t="shared" si="1"/>
        <v>360000</v>
      </c>
      <c r="H433" s="21" t="s">
        <v>549</v>
      </c>
      <c r="I433" s="21" t="s">
        <v>550</v>
      </c>
      <c r="J433" s="25" t="s">
        <v>71</v>
      </c>
    </row>
    <row r="434" ht="15.75" customHeight="1">
      <c r="A434" s="25" t="s">
        <v>1719</v>
      </c>
      <c r="B434" s="25" t="s">
        <v>97</v>
      </c>
      <c r="C434" s="69">
        <v>44927.0</v>
      </c>
      <c r="D434" s="21" t="s">
        <v>99</v>
      </c>
      <c r="E434" s="25">
        <v>0.0</v>
      </c>
      <c r="F434" s="21">
        <v>36000.0</v>
      </c>
      <c r="G434" s="21">
        <f t="shared" si="1"/>
        <v>0</v>
      </c>
      <c r="H434" s="21" t="s">
        <v>424</v>
      </c>
      <c r="I434" s="21" t="s">
        <v>550</v>
      </c>
      <c r="J434" s="25" t="s">
        <v>71</v>
      </c>
    </row>
    <row r="435" ht="15.75" customHeight="1">
      <c r="A435" s="25" t="s">
        <v>1721</v>
      </c>
      <c r="B435" s="25" t="s">
        <v>97</v>
      </c>
      <c r="C435" s="69">
        <v>44958.0</v>
      </c>
      <c r="D435" s="21" t="s">
        <v>99</v>
      </c>
      <c r="E435" s="25">
        <v>0.0</v>
      </c>
      <c r="F435" s="21">
        <v>36000.0</v>
      </c>
      <c r="G435" s="21">
        <f t="shared" si="1"/>
        <v>0</v>
      </c>
      <c r="H435" s="21" t="s">
        <v>424</v>
      </c>
      <c r="I435" s="21" t="s">
        <v>550</v>
      </c>
      <c r="J435" s="25" t="s">
        <v>71</v>
      </c>
    </row>
    <row r="436" ht="15.75" customHeight="1">
      <c r="A436" s="25" t="s">
        <v>1723</v>
      </c>
      <c r="B436" s="25" t="s">
        <v>97</v>
      </c>
      <c r="C436" s="69">
        <v>44986.0</v>
      </c>
      <c r="D436" s="21" t="s">
        <v>99</v>
      </c>
      <c r="E436" s="25">
        <v>3.0</v>
      </c>
      <c r="F436" s="21">
        <v>36000.0</v>
      </c>
      <c r="G436" s="21">
        <f t="shared" si="1"/>
        <v>108000</v>
      </c>
      <c r="H436" s="21" t="s">
        <v>424</v>
      </c>
      <c r="I436" s="21" t="s">
        <v>550</v>
      </c>
      <c r="J436" s="25" t="s">
        <v>71</v>
      </c>
    </row>
    <row r="437" ht="15.75" customHeight="1">
      <c r="A437" s="25" t="s">
        <v>1725</v>
      </c>
      <c r="B437" s="25" t="s">
        <v>97</v>
      </c>
      <c r="C437" s="69">
        <v>45017.0</v>
      </c>
      <c r="D437" s="21" t="s">
        <v>99</v>
      </c>
      <c r="E437" s="25">
        <v>0.0</v>
      </c>
      <c r="F437" s="21">
        <v>36000.0</v>
      </c>
      <c r="G437" s="21">
        <f t="shared" si="1"/>
        <v>0</v>
      </c>
      <c r="H437" s="21" t="s">
        <v>424</v>
      </c>
      <c r="I437" s="21" t="s">
        <v>550</v>
      </c>
      <c r="J437" s="25" t="s">
        <v>71</v>
      </c>
    </row>
    <row r="438" ht="15.75" customHeight="1">
      <c r="A438" s="25" t="s">
        <v>1727</v>
      </c>
      <c r="B438" s="25" t="s">
        <v>97</v>
      </c>
      <c r="C438" s="69">
        <v>45047.0</v>
      </c>
      <c r="D438" s="21" t="s">
        <v>99</v>
      </c>
      <c r="E438" s="25">
        <v>2.0</v>
      </c>
      <c r="F438" s="21">
        <v>36000.0</v>
      </c>
      <c r="G438" s="21">
        <f t="shared" si="1"/>
        <v>72000</v>
      </c>
      <c r="H438" s="21" t="s">
        <v>424</v>
      </c>
      <c r="I438" s="21" t="s">
        <v>550</v>
      </c>
      <c r="J438" s="25" t="s">
        <v>71</v>
      </c>
    </row>
    <row r="439" ht="15.75" customHeight="1">
      <c r="A439" s="25" t="s">
        <v>1728</v>
      </c>
      <c r="B439" s="25" t="s">
        <v>97</v>
      </c>
      <c r="C439" s="69">
        <v>45078.0</v>
      </c>
      <c r="D439" s="21" t="s">
        <v>99</v>
      </c>
      <c r="E439" s="25">
        <v>0.0</v>
      </c>
      <c r="F439" s="21">
        <v>36000.0</v>
      </c>
      <c r="G439" s="21">
        <f t="shared" si="1"/>
        <v>0</v>
      </c>
      <c r="H439" s="21" t="s">
        <v>424</v>
      </c>
      <c r="I439" s="21" t="s">
        <v>550</v>
      </c>
      <c r="J439" s="25" t="s">
        <v>71</v>
      </c>
    </row>
    <row r="440" ht="15.75" customHeight="1">
      <c r="A440" s="25" t="s">
        <v>1729</v>
      </c>
      <c r="B440" s="25" t="s">
        <v>97</v>
      </c>
      <c r="C440" s="69">
        <v>45108.0</v>
      </c>
      <c r="D440" s="21" t="s">
        <v>99</v>
      </c>
      <c r="E440" s="25">
        <v>1.0</v>
      </c>
      <c r="F440" s="21">
        <v>36000.0</v>
      </c>
      <c r="G440" s="21">
        <f t="shared" si="1"/>
        <v>36000</v>
      </c>
      <c r="H440" s="21" t="s">
        <v>424</v>
      </c>
      <c r="I440" s="21" t="s">
        <v>550</v>
      </c>
      <c r="J440" s="25" t="s">
        <v>71</v>
      </c>
    </row>
    <row r="441" ht="15.75" customHeight="1">
      <c r="A441" s="25" t="s">
        <v>1730</v>
      </c>
      <c r="B441" s="25" t="s">
        <v>97</v>
      </c>
      <c r="C441" s="69">
        <v>45139.0</v>
      </c>
      <c r="D441" s="21" t="s">
        <v>99</v>
      </c>
      <c r="E441" s="25">
        <v>3.0</v>
      </c>
      <c r="F441" s="21">
        <v>36000.0</v>
      </c>
      <c r="G441" s="21">
        <f t="shared" si="1"/>
        <v>108000</v>
      </c>
      <c r="H441" s="21" t="s">
        <v>424</v>
      </c>
      <c r="I441" s="21" t="s">
        <v>550</v>
      </c>
      <c r="J441" s="25" t="s">
        <v>71</v>
      </c>
    </row>
    <row r="442" ht="15.75" customHeight="1">
      <c r="A442" s="25" t="s">
        <v>1731</v>
      </c>
      <c r="B442" s="25" t="s">
        <v>97</v>
      </c>
      <c r="C442" s="69">
        <v>45170.0</v>
      </c>
      <c r="D442" s="21" t="s">
        <v>99</v>
      </c>
      <c r="E442" s="25">
        <v>0.0</v>
      </c>
      <c r="F442" s="21">
        <v>36000.0</v>
      </c>
      <c r="G442" s="21">
        <f t="shared" si="1"/>
        <v>0</v>
      </c>
      <c r="H442" s="21" t="s">
        <v>424</v>
      </c>
      <c r="I442" s="21" t="s">
        <v>550</v>
      </c>
      <c r="J442" s="25" t="s">
        <v>71</v>
      </c>
    </row>
    <row r="443" ht="15.75" customHeight="1">
      <c r="A443" s="25" t="s">
        <v>1733</v>
      </c>
      <c r="B443" s="25" t="s">
        <v>97</v>
      </c>
      <c r="C443" s="69">
        <v>45200.0</v>
      </c>
      <c r="D443" s="21" t="s">
        <v>99</v>
      </c>
      <c r="E443" s="25">
        <v>1.0</v>
      </c>
      <c r="F443" s="21">
        <v>36000.0</v>
      </c>
      <c r="G443" s="21">
        <f t="shared" si="1"/>
        <v>36000</v>
      </c>
      <c r="H443" s="21" t="s">
        <v>424</v>
      </c>
      <c r="I443" s="21" t="s">
        <v>550</v>
      </c>
      <c r="J443" s="25" t="s">
        <v>71</v>
      </c>
    </row>
    <row r="444" ht="15.75" customHeight="1">
      <c r="A444" s="25" t="s">
        <v>1738</v>
      </c>
      <c r="B444" s="25" t="s">
        <v>97</v>
      </c>
      <c r="C444" s="69">
        <v>45231.0</v>
      </c>
      <c r="D444" s="21" t="s">
        <v>99</v>
      </c>
      <c r="E444" s="25">
        <v>3.0</v>
      </c>
      <c r="F444" s="21">
        <v>36000.0</v>
      </c>
      <c r="G444" s="21">
        <f t="shared" si="1"/>
        <v>108000</v>
      </c>
      <c r="H444" s="21" t="s">
        <v>424</v>
      </c>
      <c r="I444" s="21" t="s">
        <v>550</v>
      </c>
      <c r="J444" s="25" t="s">
        <v>71</v>
      </c>
    </row>
    <row r="445" ht="15.75" customHeight="1">
      <c r="A445" s="25" t="s">
        <v>1741</v>
      </c>
      <c r="B445" s="25" t="s">
        <v>97</v>
      </c>
      <c r="C445" s="69">
        <v>45261.0</v>
      </c>
      <c r="D445" s="21" t="s">
        <v>99</v>
      </c>
      <c r="E445" s="25">
        <v>1.0</v>
      </c>
      <c r="F445" s="21">
        <v>36000.0</v>
      </c>
      <c r="G445" s="21">
        <f t="shared" si="1"/>
        <v>36000</v>
      </c>
      <c r="H445" s="21" t="s">
        <v>424</v>
      </c>
      <c r="I445" s="21" t="s">
        <v>550</v>
      </c>
      <c r="J445" s="25" t="s">
        <v>71</v>
      </c>
    </row>
    <row r="446" ht="15.75" customHeight="1">
      <c r="A446" s="25" t="s">
        <v>1743</v>
      </c>
      <c r="B446" s="25" t="s">
        <v>110</v>
      </c>
      <c r="C446" s="69">
        <v>44927.0</v>
      </c>
      <c r="D446" s="21" t="s">
        <v>112</v>
      </c>
      <c r="E446" s="25">
        <v>1.0</v>
      </c>
      <c r="F446" s="21">
        <v>30000.0</v>
      </c>
      <c r="G446" s="21">
        <f t="shared" si="1"/>
        <v>30000</v>
      </c>
      <c r="H446" s="21" t="s">
        <v>758</v>
      </c>
      <c r="I446" s="21" t="s">
        <v>550</v>
      </c>
      <c r="J446" s="25" t="s">
        <v>71</v>
      </c>
    </row>
    <row r="447" ht="15.75" customHeight="1">
      <c r="A447" s="25" t="s">
        <v>1746</v>
      </c>
      <c r="B447" s="25" t="s">
        <v>110</v>
      </c>
      <c r="C447" s="69">
        <v>44958.0</v>
      </c>
      <c r="D447" s="21" t="s">
        <v>112</v>
      </c>
      <c r="E447" s="25">
        <v>0.0</v>
      </c>
      <c r="F447" s="21">
        <v>30000.0</v>
      </c>
      <c r="G447" s="21">
        <f t="shared" si="1"/>
        <v>0</v>
      </c>
      <c r="H447" s="21" t="s">
        <v>758</v>
      </c>
      <c r="I447" s="21" t="s">
        <v>550</v>
      </c>
      <c r="J447" s="25" t="s">
        <v>71</v>
      </c>
    </row>
    <row r="448" ht="15.75" customHeight="1">
      <c r="A448" s="25" t="s">
        <v>1748</v>
      </c>
      <c r="B448" s="25" t="s">
        <v>110</v>
      </c>
      <c r="C448" s="69">
        <v>44986.0</v>
      </c>
      <c r="D448" s="21" t="s">
        <v>112</v>
      </c>
      <c r="E448" s="25">
        <v>0.0</v>
      </c>
      <c r="F448" s="21">
        <v>30000.0</v>
      </c>
      <c r="G448" s="21">
        <f t="shared" si="1"/>
        <v>0</v>
      </c>
      <c r="H448" s="21" t="s">
        <v>758</v>
      </c>
      <c r="I448" s="21" t="s">
        <v>550</v>
      </c>
      <c r="J448" s="25" t="s">
        <v>71</v>
      </c>
    </row>
    <row r="449" ht="15.75" customHeight="1">
      <c r="A449" s="25" t="s">
        <v>1750</v>
      </c>
      <c r="B449" s="25" t="s">
        <v>110</v>
      </c>
      <c r="C449" s="69">
        <v>45017.0</v>
      </c>
      <c r="D449" s="21" t="s">
        <v>112</v>
      </c>
      <c r="E449" s="25">
        <v>3.0</v>
      </c>
      <c r="F449" s="21">
        <v>30000.0</v>
      </c>
      <c r="G449" s="21">
        <f t="shared" si="1"/>
        <v>90000</v>
      </c>
      <c r="H449" s="21" t="s">
        <v>758</v>
      </c>
      <c r="I449" s="21" t="s">
        <v>550</v>
      </c>
      <c r="J449" s="25" t="s">
        <v>71</v>
      </c>
    </row>
    <row r="450" ht="15.75" customHeight="1">
      <c r="A450" s="25" t="s">
        <v>1752</v>
      </c>
      <c r="B450" s="25" t="s">
        <v>110</v>
      </c>
      <c r="C450" s="69">
        <v>45047.0</v>
      </c>
      <c r="D450" s="21" t="s">
        <v>112</v>
      </c>
      <c r="E450" s="25">
        <v>1.0</v>
      </c>
      <c r="F450" s="21">
        <v>30000.0</v>
      </c>
      <c r="G450" s="21">
        <f t="shared" si="1"/>
        <v>30000</v>
      </c>
      <c r="H450" s="21" t="s">
        <v>758</v>
      </c>
      <c r="I450" s="21" t="s">
        <v>550</v>
      </c>
      <c r="J450" s="25" t="s">
        <v>71</v>
      </c>
    </row>
    <row r="451" ht="15.75" customHeight="1">
      <c r="A451" s="25" t="s">
        <v>1755</v>
      </c>
      <c r="B451" s="25" t="s">
        <v>110</v>
      </c>
      <c r="C451" s="69">
        <v>45078.0</v>
      </c>
      <c r="D451" s="21" t="s">
        <v>112</v>
      </c>
      <c r="E451" s="25">
        <v>4.0</v>
      </c>
      <c r="F451" s="21">
        <v>30000.0</v>
      </c>
      <c r="G451" s="21">
        <f t="shared" si="1"/>
        <v>120000</v>
      </c>
      <c r="H451" s="21" t="s">
        <v>758</v>
      </c>
      <c r="I451" s="21" t="s">
        <v>550</v>
      </c>
      <c r="J451" s="25" t="s">
        <v>71</v>
      </c>
    </row>
    <row r="452" ht="15.75" customHeight="1">
      <c r="A452" s="25" t="s">
        <v>1757</v>
      </c>
      <c r="B452" s="25" t="s">
        <v>110</v>
      </c>
      <c r="C452" s="69">
        <v>45108.0</v>
      </c>
      <c r="D452" s="21" t="s">
        <v>112</v>
      </c>
      <c r="E452" s="25">
        <v>4.0</v>
      </c>
      <c r="F452" s="21">
        <v>30000.0</v>
      </c>
      <c r="G452" s="21">
        <f t="shared" si="1"/>
        <v>120000</v>
      </c>
      <c r="H452" s="21" t="s">
        <v>758</v>
      </c>
      <c r="I452" s="21" t="s">
        <v>550</v>
      </c>
      <c r="J452" s="25" t="s">
        <v>71</v>
      </c>
    </row>
    <row r="453" ht="15.75" customHeight="1">
      <c r="A453" s="25" t="s">
        <v>1760</v>
      </c>
      <c r="B453" s="25" t="s">
        <v>110</v>
      </c>
      <c r="C453" s="69">
        <v>45139.0</v>
      </c>
      <c r="D453" s="21" t="s">
        <v>112</v>
      </c>
      <c r="E453" s="25">
        <v>3.0</v>
      </c>
      <c r="F453" s="21">
        <v>30000.0</v>
      </c>
      <c r="G453" s="21">
        <f t="shared" si="1"/>
        <v>90000</v>
      </c>
      <c r="H453" s="21" t="s">
        <v>758</v>
      </c>
      <c r="I453" s="21" t="s">
        <v>550</v>
      </c>
      <c r="J453" s="25" t="s">
        <v>71</v>
      </c>
    </row>
    <row r="454" ht="15.75" customHeight="1">
      <c r="A454" s="25" t="s">
        <v>1762</v>
      </c>
      <c r="B454" s="25" t="s">
        <v>110</v>
      </c>
      <c r="C454" s="69">
        <v>45170.0</v>
      </c>
      <c r="D454" s="21" t="s">
        <v>112</v>
      </c>
      <c r="E454" s="25">
        <v>0.0</v>
      </c>
      <c r="F454" s="21">
        <v>30000.0</v>
      </c>
      <c r="G454" s="21">
        <f t="shared" si="1"/>
        <v>0</v>
      </c>
      <c r="H454" s="21" t="s">
        <v>758</v>
      </c>
      <c r="I454" s="21" t="s">
        <v>550</v>
      </c>
      <c r="J454" s="25" t="s">
        <v>71</v>
      </c>
    </row>
    <row r="455" ht="15.75" customHeight="1">
      <c r="A455" s="25" t="s">
        <v>1765</v>
      </c>
      <c r="B455" s="25" t="s">
        <v>110</v>
      </c>
      <c r="C455" s="69">
        <v>45200.0</v>
      </c>
      <c r="D455" s="21" t="s">
        <v>112</v>
      </c>
      <c r="E455" s="25">
        <v>3.0</v>
      </c>
      <c r="F455" s="21">
        <v>30000.0</v>
      </c>
      <c r="G455" s="21">
        <f t="shared" si="1"/>
        <v>90000</v>
      </c>
      <c r="H455" s="21" t="s">
        <v>758</v>
      </c>
      <c r="I455" s="21" t="s">
        <v>550</v>
      </c>
      <c r="J455" s="25" t="s">
        <v>71</v>
      </c>
    </row>
    <row r="456" ht="15.75" customHeight="1">
      <c r="A456" s="25" t="s">
        <v>1766</v>
      </c>
      <c r="B456" s="25" t="s">
        <v>110</v>
      </c>
      <c r="C456" s="69">
        <v>45231.0</v>
      </c>
      <c r="D456" s="21" t="s">
        <v>112</v>
      </c>
      <c r="E456" s="25">
        <v>2.0</v>
      </c>
      <c r="F456" s="21">
        <v>30000.0</v>
      </c>
      <c r="G456" s="21">
        <f t="shared" si="1"/>
        <v>60000</v>
      </c>
      <c r="H456" s="21" t="s">
        <v>758</v>
      </c>
      <c r="I456" s="21" t="s">
        <v>550</v>
      </c>
      <c r="J456" s="25" t="s">
        <v>71</v>
      </c>
    </row>
    <row r="457" ht="15.75" customHeight="1">
      <c r="A457" s="25" t="s">
        <v>1768</v>
      </c>
      <c r="B457" s="25" t="s">
        <v>110</v>
      </c>
      <c r="C457" s="69">
        <v>45261.0</v>
      </c>
      <c r="D457" s="21" t="s">
        <v>112</v>
      </c>
      <c r="E457" s="25">
        <v>1.0</v>
      </c>
      <c r="F457" s="21">
        <v>30000.0</v>
      </c>
      <c r="G457" s="21">
        <f t="shared" si="1"/>
        <v>30000</v>
      </c>
      <c r="H457" s="21" t="s">
        <v>758</v>
      </c>
      <c r="I457" s="21" t="s">
        <v>550</v>
      </c>
      <c r="J457" s="25" t="s">
        <v>71</v>
      </c>
    </row>
    <row r="458" ht="15.75" customHeight="1">
      <c r="A458" s="25" t="s">
        <v>1771</v>
      </c>
      <c r="B458" s="25" t="s">
        <v>124</v>
      </c>
      <c r="C458" s="69">
        <v>44927.0</v>
      </c>
      <c r="D458" s="21" t="s">
        <v>125</v>
      </c>
      <c r="E458" s="25">
        <v>1.0</v>
      </c>
      <c r="F458" s="21">
        <v>49500.0</v>
      </c>
      <c r="G458" s="21">
        <f t="shared" si="1"/>
        <v>49500</v>
      </c>
      <c r="H458" s="21" t="s">
        <v>549</v>
      </c>
      <c r="I458" s="21" t="s">
        <v>550</v>
      </c>
      <c r="J458" s="25" t="s">
        <v>71</v>
      </c>
    </row>
    <row r="459" ht="15.75" customHeight="1">
      <c r="A459" s="25" t="s">
        <v>1773</v>
      </c>
      <c r="B459" s="25" t="s">
        <v>124</v>
      </c>
      <c r="C459" s="69">
        <v>44958.0</v>
      </c>
      <c r="D459" s="21" t="s">
        <v>125</v>
      </c>
      <c r="E459" s="25">
        <v>2.0</v>
      </c>
      <c r="F459" s="21">
        <v>49500.0</v>
      </c>
      <c r="G459" s="21">
        <f t="shared" si="1"/>
        <v>99000</v>
      </c>
      <c r="H459" s="21" t="s">
        <v>549</v>
      </c>
      <c r="I459" s="21" t="s">
        <v>550</v>
      </c>
      <c r="J459" s="25" t="s">
        <v>71</v>
      </c>
    </row>
    <row r="460" ht="15.75" customHeight="1">
      <c r="A460" s="25" t="s">
        <v>1775</v>
      </c>
      <c r="B460" s="25" t="s">
        <v>124</v>
      </c>
      <c r="C460" s="69">
        <v>44986.0</v>
      </c>
      <c r="D460" s="21" t="s">
        <v>125</v>
      </c>
      <c r="E460" s="25">
        <v>1.0</v>
      </c>
      <c r="F460" s="21">
        <v>49500.0</v>
      </c>
      <c r="G460" s="21">
        <f t="shared" si="1"/>
        <v>49500</v>
      </c>
      <c r="H460" s="21" t="s">
        <v>549</v>
      </c>
      <c r="I460" s="21" t="s">
        <v>550</v>
      </c>
      <c r="J460" s="25" t="s">
        <v>71</v>
      </c>
    </row>
    <row r="461" ht="15.75" customHeight="1">
      <c r="A461" s="25" t="s">
        <v>1777</v>
      </c>
      <c r="B461" s="25" t="s">
        <v>124</v>
      </c>
      <c r="C461" s="69">
        <v>45017.0</v>
      </c>
      <c r="D461" s="21" t="s">
        <v>125</v>
      </c>
      <c r="E461" s="25">
        <v>2.0</v>
      </c>
      <c r="F461" s="21">
        <v>49500.0</v>
      </c>
      <c r="G461" s="21">
        <f t="shared" si="1"/>
        <v>99000</v>
      </c>
      <c r="H461" s="21" t="s">
        <v>549</v>
      </c>
      <c r="I461" s="21" t="s">
        <v>550</v>
      </c>
      <c r="J461" s="25" t="s">
        <v>71</v>
      </c>
    </row>
    <row r="462" ht="15.75" customHeight="1">
      <c r="A462" s="25" t="s">
        <v>1779</v>
      </c>
      <c r="B462" s="25" t="s">
        <v>124</v>
      </c>
      <c r="C462" s="69">
        <v>45047.0</v>
      </c>
      <c r="D462" s="21" t="s">
        <v>125</v>
      </c>
      <c r="E462" s="25">
        <v>1.0</v>
      </c>
      <c r="F462" s="21">
        <v>49500.0</v>
      </c>
      <c r="G462" s="21">
        <f t="shared" si="1"/>
        <v>49500</v>
      </c>
      <c r="H462" s="21" t="s">
        <v>549</v>
      </c>
      <c r="I462" s="21" t="s">
        <v>550</v>
      </c>
      <c r="J462" s="25" t="s">
        <v>71</v>
      </c>
    </row>
    <row r="463" ht="15.75" customHeight="1">
      <c r="A463" s="25" t="s">
        <v>1782</v>
      </c>
      <c r="B463" s="25" t="s">
        <v>124</v>
      </c>
      <c r="C463" s="69">
        <v>45078.0</v>
      </c>
      <c r="D463" s="21" t="s">
        <v>125</v>
      </c>
      <c r="E463" s="25">
        <v>0.0</v>
      </c>
      <c r="F463" s="21">
        <v>49500.0</v>
      </c>
      <c r="G463" s="21">
        <f t="shared" si="1"/>
        <v>0</v>
      </c>
      <c r="H463" s="21" t="s">
        <v>549</v>
      </c>
      <c r="I463" s="21" t="s">
        <v>550</v>
      </c>
      <c r="J463" s="25" t="s">
        <v>71</v>
      </c>
    </row>
    <row r="464" ht="15.75" customHeight="1">
      <c r="A464" s="25" t="s">
        <v>1784</v>
      </c>
      <c r="B464" s="25" t="s">
        <v>124</v>
      </c>
      <c r="C464" s="69">
        <v>45108.0</v>
      </c>
      <c r="D464" s="21" t="s">
        <v>125</v>
      </c>
      <c r="E464" s="25">
        <v>1.0</v>
      </c>
      <c r="F464" s="21">
        <v>49500.0</v>
      </c>
      <c r="G464" s="21">
        <f t="shared" si="1"/>
        <v>49500</v>
      </c>
      <c r="H464" s="21" t="s">
        <v>549</v>
      </c>
      <c r="I464" s="21" t="s">
        <v>550</v>
      </c>
      <c r="J464" s="25" t="s">
        <v>71</v>
      </c>
    </row>
    <row r="465" ht="15.75" customHeight="1">
      <c r="A465" s="25" t="s">
        <v>1786</v>
      </c>
      <c r="B465" s="25" t="s">
        <v>124</v>
      </c>
      <c r="C465" s="69">
        <v>45139.0</v>
      </c>
      <c r="D465" s="21" t="s">
        <v>125</v>
      </c>
      <c r="E465" s="25">
        <v>1.0</v>
      </c>
      <c r="F465" s="21">
        <v>49500.0</v>
      </c>
      <c r="G465" s="21">
        <f t="shared" si="1"/>
        <v>49500</v>
      </c>
      <c r="H465" s="21" t="s">
        <v>549</v>
      </c>
      <c r="I465" s="21" t="s">
        <v>550</v>
      </c>
      <c r="J465" s="25" t="s">
        <v>71</v>
      </c>
    </row>
    <row r="466" ht="15.75" customHeight="1">
      <c r="A466" s="25" t="s">
        <v>1789</v>
      </c>
      <c r="B466" s="25" t="s">
        <v>124</v>
      </c>
      <c r="C466" s="69">
        <v>45170.0</v>
      </c>
      <c r="D466" s="21" t="s">
        <v>125</v>
      </c>
      <c r="E466" s="25">
        <v>0.0</v>
      </c>
      <c r="F466" s="21">
        <v>49500.0</v>
      </c>
      <c r="G466" s="21">
        <f t="shared" si="1"/>
        <v>0</v>
      </c>
      <c r="H466" s="21" t="s">
        <v>549</v>
      </c>
      <c r="I466" s="21" t="s">
        <v>550</v>
      </c>
      <c r="J466" s="25" t="s">
        <v>71</v>
      </c>
    </row>
    <row r="467" ht="15.75" customHeight="1">
      <c r="A467" s="25" t="s">
        <v>1791</v>
      </c>
      <c r="B467" s="25" t="s">
        <v>124</v>
      </c>
      <c r="C467" s="69">
        <v>45200.0</v>
      </c>
      <c r="D467" s="21" t="s">
        <v>125</v>
      </c>
      <c r="E467" s="25">
        <v>5.0</v>
      </c>
      <c r="F467" s="21">
        <v>49500.0</v>
      </c>
      <c r="G467" s="21">
        <f t="shared" si="1"/>
        <v>247500</v>
      </c>
      <c r="H467" s="21" t="s">
        <v>549</v>
      </c>
      <c r="I467" s="21" t="s">
        <v>550</v>
      </c>
      <c r="J467" s="25" t="s">
        <v>71</v>
      </c>
    </row>
    <row r="468" ht="15.75" customHeight="1">
      <c r="A468" s="25" t="s">
        <v>1793</v>
      </c>
      <c r="B468" s="25" t="s">
        <v>124</v>
      </c>
      <c r="C468" s="69">
        <v>45231.0</v>
      </c>
      <c r="D468" s="21" t="s">
        <v>125</v>
      </c>
      <c r="E468" s="25">
        <v>1.0</v>
      </c>
      <c r="F468" s="21">
        <v>49500.0</v>
      </c>
      <c r="G468" s="21">
        <f t="shared" si="1"/>
        <v>49500</v>
      </c>
      <c r="H468" s="21" t="s">
        <v>549</v>
      </c>
      <c r="I468" s="21" t="s">
        <v>550</v>
      </c>
      <c r="J468" s="25" t="s">
        <v>71</v>
      </c>
    </row>
    <row r="469" ht="15.75" customHeight="1">
      <c r="A469" s="25" t="s">
        <v>1799</v>
      </c>
      <c r="B469" s="25" t="s">
        <v>124</v>
      </c>
      <c r="C469" s="69">
        <v>45261.0</v>
      </c>
      <c r="D469" s="21" t="s">
        <v>125</v>
      </c>
      <c r="E469" s="25">
        <v>2.0</v>
      </c>
      <c r="F469" s="21">
        <v>49500.0</v>
      </c>
      <c r="G469" s="21">
        <f t="shared" si="1"/>
        <v>99000</v>
      </c>
      <c r="H469" s="21" t="s">
        <v>549</v>
      </c>
      <c r="I469" s="21" t="s">
        <v>550</v>
      </c>
      <c r="J469" s="25" t="s">
        <v>71</v>
      </c>
    </row>
    <row r="470" ht="15.75" customHeight="1">
      <c r="A470" s="25" t="s">
        <v>1801</v>
      </c>
      <c r="B470" s="25" t="s">
        <v>139</v>
      </c>
      <c r="C470" s="69">
        <v>44927.0</v>
      </c>
      <c r="D470" s="21" t="s">
        <v>140</v>
      </c>
      <c r="E470" s="25">
        <v>1.0</v>
      </c>
      <c r="F470" s="21">
        <v>30000.0</v>
      </c>
      <c r="G470" s="21">
        <f t="shared" si="1"/>
        <v>30000</v>
      </c>
      <c r="H470" s="21" t="s">
        <v>758</v>
      </c>
      <c r="I470" s="21" t="s">
        <v>550</v>
      </c>
      <c r="J470" s="25" t="s">
        <v>71</v>
      </c>
    </row>
    <row r="471" ht="15.75" customHeight="1">
      <c r="A471" s="25" t="s">
        <v>1804</v>
      </c>
      <c r="B471" s="25" t="s">
        <v>139</v>
      </c>
      <c r="C471" s="69">
        <v>44958.0</v>
      </c>
      <c r="D471" s="21" t="s">
        <v>140</v>
      </c>
      <c r="E471" s="25">
        <v>0.0</v>
      </c>
      <c r="F471" s="21">
        <v>30000.0</v>
      </c>
      <c r="G471" s="21">
        <f t="shared" si="1"/>
        <v>0</v>
      </c>
      <c r="H471" s="21" t="s">
        <v>758</v>
      </c>
      <c r="I471" s="21" t="s">
        <v>550</v>
      </c>
      <c r="J471" s="25" t="s">
        <v>71</v>
      </c>
    </row>
    <row r="472" ht="15.75" customHeight="1">
      <c r="A472" s="25" t="s">
        <v>1806</v>
      </c>
      <c r="B472" s="25" t="s">
        <v>139</v>
      </c>
      <c r="C472" s="69">
        <v>44986.0</v>
      </c>
      <c r="D472" s="21" t="s">
        <v>140</v>
      </c>
      <c r="E472" s="25">
        <v>1.0</v>
      </c>
      <c r="F472" s="21">
        <v>30000.0</v>
      </c>
      <c r="G472" s="21">
        <f t="shared" si="1"/>
        <v>30000</v>
      </c>
      <c r="H472" s="21" t="s">
        <v>758</v>
      </c>
      <c r="I472" s="21" t="s">
        <v>550</v>
      </c>
      <c r="J472" s="25" t="s">
        <v>71</v>
      </c>
    </row>
    <row r="473" ht="15.75" customHeight="1">
      <c r="A473" s="25" t="s">
        <v>1808</v>
      </c>
      <c r="B473" s="25" t="s">
        <v>139</v>
      </c>
      <c r="C473" s="69">
        <v>45017.0</v>
      </c>
      <c r="D473" s="21" t="s">
        <v>140</v>
      </c>
      <c r="E473" s="25">
        <v>1.0</v>
      </c>
      <c r="F473" s="21">
        <v>30000.0</v>
      </c>
      <c r="G473" s="21">
        <f t="shared" si="1"/>
        <v>30000</v>
      </c>
      <c r="H473" s="21" t="s">
        <v>758</v>
      </c>
      <c r="I473" s="21" t="s">
        <v>550</v>
      </c>
      <c r="J473" s="25" t="s">
        <v>71</v>
      </c>
    </row>
    <row r="474" ht="15.75" customHeight="1">
      <c r="A474" s="25" t="s">
        <v>1811</v>
      </c>
      <c r="B474" s="25" t="s">
        <v>139</v>
      </c>
      <c r="C474" s="69">
        <v>45047.0</v>
      </c>
      <c r="D474" s="21" t="s">
        <v>140</v>
      </c>
      <c r="E474" s="25">
        <v>0.0</v>
      </c>
      <c r="F474" s="21">
        <v>30000.0</v>
      </c>
      <c r="G474" s="21">
        <f t="shared" si="1"/>
        <v>0</v>
      </c>
      <c r="H474" s="21" t="s">
        <v>758</v>
      </c>
      <c r="I474" s="21" t="s">
        <v>550</v>
      </c>
      <c r="J474" s="25" t="s">
        <v>71</v>
      </c>
    </row>
    <row r="475" ht="15.75" customHeight="1">
      <c r="A475" s="25" t="s">
        <v>1813</v>
      </c>
      <c r="B475" s="25" t="s">
        <v>139</v>
      </c>
      <c r="C475" s="69">
        <v>45078.0</v>
      </c>
      <c r="D475" s="21" t="s">
        <v>140</v>
      </c>
      <c r="E475" s="25">
        <v>0.0</v>
      </c>
      <c r="F475" s="21">
        <v>30000.0</v>
      </c>
      <c r="G475" s="21">
        <f t="shared" si="1"/>
        <v>0</v>
      </c>
      <c r="H475" s="21" t="s">
        <v>758</v>
      </c>
      <c r="I475" s="21" t="s">
        <v>550</v>
      </c>
      <c r="J475" s="25" t="s">
        <v>71</v>
      </c>
    </row>
    <row r="476" ht="15.75" customHeight="1">
      <c r="A476" s="25" t="s">
        <v>1815</v>
      </c>
      <c r="B476" s="25" t="s">
        <v>139</v>
      </c>
      <c r="C476" s="69">
        <v>45108.0</v>
      </c>
      <c r="D476" s="21" t="s">
        <v>140</v>
      </c>
      <c r="E476" s="25">
        <v>0.0</v>
      </c>
      <c r="F476" s="21">
        <v>30000.0</v>
      </c>
      <c r="G476" s="21">
        <f t="shared" si="1"/>
        <v>0</v>
      </c>
      <c r="H476" s="21" t="s">
        <v>758</v>
      </c>
      <c r="I476" s="21" t="s">
        <v>550</v>
      </c>
      <c r="J476" s="25" t="s">
        <v>71</v>
      </c>
    </row>
    <row r="477" ht="15.75" customHeight="1">
      <c r="A477" s="25" t="s">
        <v>1817</v>
      </c>
      <c r="B477" s="25" t="s">
        <v>139</v>
      </c>
      <c r="C477" s="69">
        <v>45139.0</v>
      </c>
      <c r="D477" s="21" t="s">
        <v>140</v>
      </c>
      <c r="E477" s="25">
        <v>0.0</v>
      </c>
      <c r="F477" s="21">
        <v>30000.0</v>
      </c>
      <c r="G477" s="21">
        <f t="shared" si="1"/>
        <v>0</v>
      </c>
      <c r="H477" s="21" t="s">
        <v>758</v>
      </c>
      <c r="I477" s="21" t="s">
        <v>550</v>
      </c>
      <c r="J477" s="25" t="s">
        <v>71</v>
      </c>
    </row>
    <row r="478" ht="15.75" customHeight="1">
      <c r="A478" s="25" t="s">
        <v>1819</v>
      </c>
      <c r="B478" s="25" t="s">
        <v>139</v>
      </c>
      <c r="C478" s="69">
        <v>45170.0</v>
      </c>
      <c r="D478" s="21" t="s">
        <v>140</v>
      </c>
      <c r="E478" s="25">
        <v>0.0</v>
      </c>
      <c r="F478" s="21">
        <v>30000.0</v>
      </c>
      <c r="G478" s="21">
        <f t="shared" si="1"/>
        <v>0</v>
      </c>
      <c r="H478" s="21" t="s">
        <v>758</v>
      </c>
      <c r="I478" s="21" t="s">
        <v>550</v>
      </c>
      <c r="J478" s="25" t="s">
        <v>71</v>
      </c>
    </row>
    <row r="479" ht="15.75" customHeight="1">
      <c r="A479" s="25" t="s">
        <v>1821</v>
      </c>
      <c r="B479" s="25" t="s">
        <v>139</v>
      </c>
      <c r="C479" s="69">
        <v>45200.0</v>
      </c>
      <c r="D479" s="21" t="s">
        <v>140</v>
      </c>
      <c r="E479" s="25">
        <v>1.0</v>
      </c>
      <c r="F479" s="21">
        <v>30000.0</v>
      </c>
      <c r="G479" s="21">
        <f t="shared" si="1"/>
        <v>30000</v>
      </c>
      <c r="H479" s="21" t="s">
        <v>758</v>
      </c>
      <c r="I479" s="21" t="s">
        <v>550</v>
      </c>
      <c r="J479" s="25" t="s">
        <v>71</v>
      </c>
    </row>
    <row r="480" ht="15.75" customHeight="1">
      <c r="A480" s="25" t="s">
        <v>1824</v>
      </c>
      <c r="B480" s="25" t="s">
        <v>139</v>
      </c>
      <c r="C480" s="69">
        <v>45231.0</v>
      </c>
      <c r="D480" s="21" t="s">
        <v>140</v>
      </c>
      <c r="E480" s="25">
        <v>0.0</v>
      </c>
      <c r="F480" s="21">
        <v>30000.0</v>
      </c>
      <c r="G480" s="21">
        <f t="shared" si="1"/>
        <v>0</v>
      </c>
      <c r="H480" s="21" t="s">
        <v>758</v>
      </c>
      <c r="I480" s="21" t="s">
        <v>550</v>
      </c>
      <c r="J480" s="25" t="s">
        <v>71</v>
      </c>
    </row>
    <row r="481" ht="15.75" customHeight="1">
      <c r="A481" s="25" t="s">
        <v>1826</v>
      </c>
      <c r="B481" s="25" t="s">
        <v>139</v>
      </c>
      <c r="C481" s="69">
        <v>45261.0</v>
      </c>
      <c r="D481" s="21" t="s">
        <v>140</v>
      </c>
      <c r="E481" s="25">
        <v>1.0</v>
      </c>
      <c r="F481" s="21">
        <v>30000.0</v>
      </c>
      <c r="G481" s="21">
        <f t="shared" si="1"/>
        <v>30000</v>
      </c>
      <c r="H481" s="21" t="s">
        <v>758</v>
      </c>
      <c r="I481" s="21" t="s">
        <v>550</v>
      </c>
      <c r="J481" s="25" t="s">
        <v>71</v>
      </c>
    </row>
    <row r="482" ht="15.75" customHeight="1">
      <c r="A482" s="25" t="s">
        <v>1828</v>
      </c>
      <c r="B482" s="25" t="s">
        <v>150</v>
      </c>
      <c r="C482" s="69">
        <v>44927.0</v>
      </c>
      <c r="D482" s="21" t="s">
        <v>151</v>
      </c>
      <c r="E482" s="25">
        <v>1.0</v>
      </c>
      <c r="F482" s="21">
        <v>30000.0</v>
      </c>
      <c r="G482" s="21">
        <f t="shared" si="1"/>
        <v>30000</v>
      </c>
      <c r="H482" s="21" t="s">
        <v>758</v>
      </c>
      <c r="I482" s="21" t="s">
        <v>550</v>
      </c>
      <c r="J482" s="25" t="s">
        <v>71</v>
      </c>
    </row>
    <row r="483" ht="15.75" customHeight="1">
      <c r="A483" s="25" t="s">
        <v>1831</v>
      </c>
      <c r="B483" s="25" t="s">
        <v>150</v>
      </c>
      <c r="C483" s="69">
        <v>44958.0</v>
      </c>
      <c r="D483" s="21" t="s">
        <v>151</v>
      </c>
      <c r="E483" s="25">
        <v>1.0</v>
      </c>
      <c r="F483" s="21">
        <v>30000.0</v>
      </c>
      <c r="G483" s="21">
        <f t="shared" si="1"/>
        <v>30000</v>
      </c>
      <c r="H483" s="21" t="s">
        <v>758</v>
      </c>
      <c r="I483" s="21" t="s">
        <v>550</v>
      </c>
      <c r="J483" s="25" t="s">
        <v>71</v>
      </c>
    </row>
    <row r="484" ht="15.75" customHeight="1">
      <c r="A484" s="25" t="s">
        <v>1833</v>
      </c>
      <c r="B484" s="25" t="s">
        <v>150</v>
      </c>
      <c r="C484" s="69">
        <v>44986.0</v>
      </c>
      <c r="D484" s="21" t="s">
        <v>151</v>
      </c>
      <c r="E484" s="25">
        <v>0.0</v>
      </c>
      <c r="F484" s="21">
        <v>30000.0</v>
      </c>
      <c r="G484" s="21">
        <f t="shared" si="1"/>
        <v>0</v>
      </c>
      <c r="H484" s="21" t="s">
        <v>758</v>
      </c>
      <c r="I484" s="21" t="s">
        <v>550</v>
      </c>
      <c r="J484" s="25" t="s">
        <v>71</v>
      </c>
    </row>
    <row r="485" ht="15.75" customHeight="1">
      <c r="A485" s="25" t="s">
        <v>1834</v>
      </c>
      <c r="B485" s="25" t="s">
        <v>150</v>
      </c>
      <c r="C485" s="69">
        <v>45017.0</v>
      </c>
      <c r="D485" s="21" t="s">
        <v>151</v>
      </c>
      <c r="E485" s="25">
        <v>0.0</v>
      </c>
      <c r="F485" s="21">
        <v>30000.0</v>
      </c>
      <c r="G485" s="21">
        <f t="shared" si="1"/>
        <v>0</v>
      </c>
      <c r="H485" s="21" t="s">
        <v>758</v>
      </c>
      <c r="I485" s="21" t="s">
        <v>550</v>
      </c>
      <c r="J485" s="25" t="s">
        <v>71</v>
      </c>
    </row>
    <row r="486" ht="15.75" customHeight="1">
      <c r="A486" s="25" t="s">
        <v>1835</v>
      </c>
      <c r="B486" s="25" t="s">
        <v>150</v>
      </c>
      <c r="C486" s="69">
        <v>45047.0</v>
      </c>
      <c r="D486" s="21" t="s">
        <v>151</v>
      </c>
      <c r="E486" s="25">
        <v>0.0</v>
      </c>
      <c r="F486" s="21">
        <v>30000.0</v>
      </c>
      <c r="G486" s="21">
        <f t="shared" si="1"/>
        <v>0</v>
      </c>
      <c r="H486" s="21" t="s">
        <v>758</v>
      </c>
      <c r="I486" s="21" t="s">
        <v>550</v>
      </c>
      <c r="J486" s="25" t="s">
        <v>71</v>
      </c>
    </row>
    <row r="487" ht="15.75" customHeight="1">
      <c r="A487" s="25" t="s">
        <v>1836</v>
      </c>
      <c r="B487" s="25" t="s">
        <v>150</v>
      </c>
      <c r="C487" s="69">
        <v>45078.0</v>
      </c>
      <c r="D487" s="21" t="s">
        <v>151</v>
      </c>
      <c r="E487" s="25">
        <v>0.0</v>
      </c>
      <c r="F487" s="21">
        <v>30000.0</v>
      </c>
      <c r="G487" s="21">
        <f t="shared" si="1"/>
        <v>0</v>
      </c>
      <c r="H487" s="21" t="s">
        <v>758</v>
      </c>
      <c r="I487" s="21" t="s">
        <v>550</v>
      </c>
      <c r="J487" s="25" t="s">
        <v>71</v>
      </c>
    </row>
    <row r="488" ht="15.75" customHeight="1">
      <c r="A488" s="25" t="s">
        <v>1837</v>
      </c>
      <c r="B488" s="25" t="s">
        <v>150</v>
      </c>
      <c r="C488" s="69">
        <v>45108.0</v>
      </c>
      <c r="D488" s="21" t="s">
        <v>151</v>
      </c>
      <c r="E488" s="25">
        <v>1.0</v>
      </c>
      <c r="F488" s="21">
        <v>30000.0</v>
      </c>
      <c r="G488" s="21">
        <f t="shared" si="1"/>
        <v>30000</v>
      </c>
      <c r="H488" s="21" t="s">
        <v>758</v>
      </c>
      <c r="I488" s="21" t="s">
        <v>550</v>
      </c>
      <c r="J488" s="25" t="s">
        <v>71</v>
      </c>
    </row>
    <row r="489" ht="15.75" customHeight="1">
      <c r="A489" s="25" t="s">
        <v>1838</v>
      </c>
      <c r="B489" s="25" t="s">
        <v>150</v>
      </c>
      <c r="C489" s="69">
        <v>45139.0</v>
      </c>
      <c r="D489" s="21" t="s">
        <v>151</v>
      </c>
      <c r="E489" s="25">
        <v>0.0</v>
      </c>
      <c r="F489" s="21">
        <v>30000.0</v>
      </c>
      <c r="G489" s="21">
        <f t="shared" si="1"/>
        <v>0</v>
      </c>
      <c r="H489" s="21" t="s">
        <v>758</v>
      </c>
      <c r="I489" s="21" t="s">
        <v>550</v>
      </c>
      <c r="J489" s="25" t="s">
        <v>71</v>
      </c>
    </row>
    <row r="490" ht="15.75" customHeight="1">
      <c r="A490" s="25" t="s">
        <v>1839</v>
      </c>
      <c r="B490" s="25" t="s">
        <v>150</v>
      </c>
      <c r="C490" s="69">
        <v>45170.0</v>
      </c>
      <c r="D490" s="21" t="s">
        <v>151</v>
      </c>
      <c r="E490" s="25">
        <v>1.0</v>
      </c>
      <c r="F490" s="21">
        <v>30000.0</v>
      </c>
      <c r="G490" s="21">
        <f t="shared" si="1"/>
        <v>30000</v>
      </c>
      <c r="H490" s="21" t="s">
        <v>758</v>
      </c>
      <c r="I490" s="21" t="s">
        <v>550</v>
      </c>
      <c r="J490" s="25" t="s">
        <v>71</v>
      </c>
    </row>
    <row r="491" ht="15.75" customHeight="1">
      <c r="A491" s="25" t="s">
        <v>1840</v>
      </c>
      <c r="B491" s="25" t="s">
        <v>150</v>
      </c>
      <c r="C491" s="69">
        <v>45200.0</v>
      </c>
      <c r="D491" s="21" t="s">
        <v>151</v>
      </c>
      <c r="E491" s="25">
        <v>0.0</v>
      </c>
      <c r="F491" s="21">
        <v>30000.0</v>
      </c>
      <c r="G491" s="21">
        <f t="shared" si="1"/>
        <v>0</v>
      </c>
      <c r="H491" s="21" t="s">
        <v>758</v>
      </c>
      <c r="I491" s="21" t="s">
        <v>550</v>
      </c>
      <c r="J491" s="25" t="s">
        <v>71</v>
      </c>
    </row>
    <row r="492" ht="15.75" customHeight="1">
      <c r="A492" s="25" t="s">
        <v>1841</v>
      </c>
      <c r="B492" s="25" t="s">
        <v>150</v>
      </c>
      <c r="C492" s="69">
        <v>45231.0</v>
      </c>
      <c r="D492" s="21" t="s">
        <v>151</v>
      </c>
      <c r="E492" s="25">
        <v>0.0</v>
      </c>
      <c r="F492" s="21">
        <v>30000.0</v>
      </c>
      <c r="G492" s="21">
        <f t="shared" si="1"/>
        <v>0</v>
      </c>
      <c r="H492" s="21" t="s">
        <v>758</v>
      </c>
      <c r="I492" s="21" t="s">
        <v>550</v>
      </c>
      <c r="J492" s="25" t="s">
        <v>71</v>
      </c>
    </row>
    <row r="493" ht="15.75" customHeight="1">
      <c r="A493" s="25" t="s">
        <v>1842</v>
      </c>
      <c r="B493" s="25" t="s">
        <v>150</v>
      </c>
      <c r="C493" s="69">
        <v>45261.0</v>
      </c>
      <c r="D493" s="21" t="s">
        <v>151</v>
      </c>
      <c r="E493" s="25">
        <v>0.0</v>
      </c>
      <c r="F493" s="21">
        <v>30000.0</v>
      </c>
      <c r="G493" s="21">
        <f t="shared" si="1"/>
        <v>0</v>
      </c>
      <c r="H493" s="21" t="s">
        <v>758</v>
      </c>
      <c r="I493" s="21" t="s">
        <v>550</v>
      </c>
      <c r="J493" s="25" t="s">
        <v>71</v>
      </c>
    </row>
    <row r="494" ht="15.75" customHeight="1">
      <c r="A494" s="25" t="s">
        <v>1843</v>
      </c>
      <c r="B494" s="25" t="s">
        <v>163</v>
      </c>
      <c r="C494" s="69">
        <v>44927.0</v>
      </c>
      <c r="D494" s="21" t="s">
        <v>165</v>
      </c>
      <c r="E494" s="25">
        <v>1.0</v>
      </c>
      <c r="F494" s="21">
        <v>49500.0</v>
      </c>
      <c r="G494" s="21">
        <f t="shared" si="1"/>
        <v>49500</v>
      </c>
      <c r="H494" s="21" t="s">
        <v>549</v>
      </c>
      <c r="I494" s="21" t="s">
        <v>550</v>
      </c>
      <c r="J494" s="25" t="s">
        <v>71</v>
      </c>
    </row>
    <row r="495" ht="15.75" customHeight="1">
      <c r="A495" s="25" t="s">
        <v>1844</v>
      </c>
      <c r="B495" s="25" t="s">
        <v>163</v>
      </c>
      <c r="C495" s="69">
        <v>44958.0</v>
      </c>
      <c r="D495" s="21" t="s">
        <v>165</v>
      </c>
      <c r="E495" s="25">
        <v>1.0</v>
      </c>
      <c r="F495" s="21">
        <v>49500.0</v>
      </c>
      <c r="G495" s="21">
        <f t="shared" si="1"/>
        <v>49500</v>
      </c>
      <c r="H495" s="21" t="s">
        <v>549</v>
      </c>
      <c r="I495" s="21" t="s">
        <v>550</v>
      </c>
      <c r="J495" s="25" t="s">
        <v>71</v>
      </c>
    </row>
    <row r="496" ht="15.75" customHeight="1">
      <c r="A496" s="25" t="s">
        <v>1845</v>
      </c>
      <c r="B496" s="25" t="s">
        <v>163</v>
      </c>
      <c r="C496" s="69">
        <v>44986.0</v>
      </c>
      <c r="D496" s="21" t="s">
        <v>165</v>
      </c>
      <c r="E496" s="25">
        <v>0.0</v>
      </c>
      <c r="F496" s="21">
        <v>49500.0</v>
      </c>
      <c r="G496" s="21">
        <f t="shared" si="1"/>
        <v>0</v>
      </c>
      <c r="H496" s="21" t="s">
        <v>549</v>
      </c>
      <c r="I496" s="21" t="s">
        <v>550</v>
      </c>
      <c r="J496" s="25" t="s">
        <v>71</v>
      </c>
    </row>
    <row r="497" ht="15.75" customHeight="1">
      <c r="A497" s="25" t="s">
        <v>1846</v>
      </c>
      <c r="B497" s="25" t="s">
        <v>163</v>
      </c>
      <c r="C497" s="69">
        <v>45017.0</v>
      </c>
      <c r="D497" s="21" t="s">
        <v>165</v>
      </c>
      <c r="E497" s="25">
        <v>0.0</v>
      </c>
      <c r="F497" s="21">
        <v>49500.0</v>
      </c>
      <c r="G497" s="21">
        <f t="shared" si="1"/>
        <v>0</v>
      </c>
      <c r="H497" s="21" t="s">
        <v>549</v>
      </c>
      <c r="I497" s="21" t="s">
        <v>550</v>
      </c>
      <c r="J497" s="25" t="s">
        <v>71</v>
      </c>
    </row>
    <row r="498" ht="15.75" customHeight="1">
      <c r="A498" s="25" t="s">
        <v>1847</v>
      </c>
      <c r="B498" s="25" t="s">
        <v>163</v>
      </c>
      <c r="C498" s="69">
        <v>45047.0</v>
      </c>
      <c r="D498" s="21" t="s">
        <v>165</v>
      </c>
      <c r="E498" s="25">
        <v>0.0</v>
      </c>
      <c r="F498" s="21">
        <v>49500.0</v>
      </c>
      <c r="G498" s="21">
        <f t="shared" si="1"/>
        <v>0</v>
      </c>
      <c r="H498" s="21" t="s">
        <v>549</v>
      </c>
      <c r="I498" s="21" t="s">
        <v>550</v>
      </c>
      <c r="J498" s="25" t="s">
        <v>71</v>
      </c>
    </row>
    <row r="499" ht="15.75" customHeight="1">
      <c r="A499" s="25" t="s">
        <v>1848</v>
      </c>
      <c r="B499" s="25" t="s">
        <v>163</v>
      </c>
      <c r="C499" s="69">
        <v>45078.0</v>
      </c>
      <c r="D499" s="21" t="s">
        <v>165</v>
      </c>
      <c r="E499" s="25">
        <v>0.0</v>
      </c>
      <c r="F499" s="21">
        <v>49500.0</v>
      </c>
      <c r="G499" s="21">
        <f t="shared" si="1"/>
        <v>0</v>
      </c>
      <c r="H499" s="21" t="s">
        <v>549</v>
      </c>
      <c r="I499" s="21" t="s">
        <v>550</v>
      </c>
      <c r="J499" s="25" t="s">
        <v>71</v>
      </c>
    </row>
    <row r="500" ht="15.75" customHeight="1">
      <c r="A500" s="25" t="s">
        <v>1849</v>
      </c>
      <c r="B500" s="25" t="s">
        <v>163</v>
      </c>
      <c r="C500" s="69">
        <v>45108.0</v>
      </c>
      <c r="D500" s="21" t="s">
        <v>165</v>
      </c>
      <c r="E500" s="25">
        <v>0.0</v>
      </c>
      <c r="F500" s="21">
        <v>49500.0</v>
      </c>
      <c r="G500" s="21">
        <f t="shared" si="1"/>
        <v>0</v>
      </c>
      <c r="H500" s="21" t="s">
        <v>549</v>
      </c>
      <c r="I500" s="21" t="s">
        <v>550</v>
      </c>
      <c r="J500" s="25" t="s">
        <v>71</v>
      </c>
    </row>
    <row r="501" ht="15.75" customHeight="1">
      <c r="A501" s="25" t="s">
        <v>1850</v>
      </c>
      <c r="B501" s="25" t="s">
        <v>163</v>
      </c>
      <c r="C501" s="69">
        <v>45139.0</v>
      </c>
      <c r="D501" s="21" t="s">
        <v>165</v>
      </c>
      <c r="E501" s="25">
        <v>1.0</v>
      </c>
      <c r="F501" s="21">
        <v>49500.0</v>
      </c>
      <c r="G501" s="21">
        <f t="shared" si="1"/>
        <v>49500</v>
      </c>
      <c r="H501" s="21" t="s">
        <v>549</v>
      </c>
      <c r="I501" s="21" t="s">
        <v>550</v>
      </c>
      <c r="J501" s="25" t="s">
        <v>71</v>
      </c>
    </row>
    <row r="502" ht="15.75" customHeight="1">
      <c r="A502" s="25" t="s">
        <v>1851</v>
      </c>
      <c r="B502" s="25" t="s">
        <v>163</v>
      </c>
      <c r="C502" s="69">
        <v>45170.0</v>
      </c>
      <c r="D502" s="21" t="s">
        <v>165</v>
      </c>
      <c r="E502" s="25">
        <v>0.0</v>
      </c>
      <c r="F502" s="21">
        <v>49500.0</v>
      </c>
      <c r="G502" s="21">
        <f t="shared" si="1"/>
        <v>0</v>
      </c>
      <c r="H502" s="21" t="s">
        <v>549</v>
      </c>
      <c r="I502" s="21" t="s">
        <v>550</v>
      </c>
      <c r="J502" s="25" t="s">
        <v>71</v>
      </c>
    </row>
    <row r="503" ht="15.75" customHeight="1">
      <c r="A503" s="25" t="s">
        <v>1852</v>
      </c>
      <c r="B503" s="25" t="s">
        <v>163</v>
      </c>
      <c r="C503" s="69">
        <v>45200.0</v>
      </c>
      <c r="D503" s="21" t="s">
        <v>165</v>
      </c>
      <c r="E503" s="25">
        <v>1.0</v>
      </c>
      <c r="F503" s="21">
        <v>49500.0</v>
      </c>
      <c r="G503" s="21">
        <f t="shared" si="1"/>
        <v>49500</v>
      </c>
      <c r="H503" s="21" t="s">
        <v>549</v>
      </c>
      <c r="I503" s="21" t="s">
        <v>550</v>
      </c>
      <c r="J503" s="25" t="s">
        <v>71</v>
      </c>
    </row>
    <row r="504" ht="15.75" customHeight="1">
      <c r="A504" s="25" t="s">
        <v>1853</v>
      </c>
      <c r="B504" s="25" t="s">
        <v>163</v>
      </c>
      <c r="C504" s="69">
        <v>45231.0</v>
      </c>
      <c r="D504" s="21" t="s">
        <v>165</v>
      </c>
      <c r="E504" s="25">
        <v>0.0</v>
      </c>
      <c r="F504" s="21">
        <v>49500.0</v>
      </c>
      <c r="G504" s="21">
        <f t="shared" si="1"/>
        <v>0</v>
      </c>
      <c r="H504" s="21" t="s">
        <v>549</v>
      </c>
      <c r="I504" s="21" t="s">
        <v>550</v>
      </c>
      <c r="J504" s="25" t="s">
        <v>71</v>
      </c>
    </row>
    <row r="505" ht="15.75" customHeight="1">
      <c r="A505" s="25" t="s">
        <v>1854</v>
      </c>
      <c r="B505" s="25" t="s">
        <v>163</v>
      </c>
      <c r="C505" s="69">
        <v>45261.0</v>
      </c>
      <c r="D505" s="21" t="s">
        <v>165</v>
      </c>
      <c r="E505" s="25">
        <v>0.0</v>
      </c>
      <c r="F505" s="21">
        <v>49500.0</v>
      </c>
      <c r="G505" s="21">
        <f t="shared" si="1"/>
        <v>0</v>
      </c>
      <c r="H505" s="21" t="s">
        <v>549</v>
      </c>
      <c r="I505" s="21" t="s">
        <v>550</v>
      </c>
      <c r="J505" s="25" t="s">
        <v>71</v>
      </c>
    </row>
    <row r="506" ht="15.75" customHeight="1">
      <c r="A506" s="25" t="s">
        <v>1855</v>
      </c>
      <c r="B506" s="25" t="s">
        <v>175</v>
      </c>
      <c r="C506" s="69">
        <v>44927.0</v>
      </c>
      <c r="D506" s="21" t="s">
        <v>176</v>
      </c>
      <c r="E506" s="25">
        <v>8.0</v>
      </c>
      <c r="F506" s="21">
        <v>49500.0</v>
      </c>
      <c r="G506" s="21">
        <f t="shared" si="1"/>
        <v>396000</v>
      </c>
      <c r="H506" s="21" t="s">
        <v>549</v>
      </c>
      <c r="I506" s="21" t="s">
        <v>550</v>
      </c>
      <c r="J506" s="25" t="s">
        <v>71</v>
      </c>
    </row>
    <row r="507" ht="15.75" customHeight="1">
      <c r="A507" s="25" t="s">
        <v>1856</v>
      </c>
      <c r="B507" s="25" t="s">
        <v>175</v>
      </c>
      <c r="C507" s="69">
        <v>44958.0</v>
      </c>
      <c r="D507" s="21" t="s">
        <v>176</v>
      </c>
      <c r="E507" s="25">
        <v>0.0</v>
      </c>
      <c r="F507" s="21">
        <v>49500.0</v>
      </c>
      <c r="G507" s="21">
        <f t="shared" si="1"/>
        <v>0</v>
      </c>
      <c r="H507" s="21" t="s">
        <v>549</v>
      </c>
      <c r="I507" s="21" t="s">
        <v>550</v>
      </c>
      <c r="J507" s="25" t="s">
        <v>71</v>
      </c>
    </row>
    <row r="508" ht="15.75" customHeight="1">
      <c r="A508" s="25" t="s">
        <v>1857</v>
      </c>
      <c r="B508" s="25" t="s">
        <v>175</v>
      </c>
      <c r="C508" s="69">
        <v>44986.0</v>
      </c>
      <c r="D508" s="21" t="s">
        <v>176</v>
      </c>
      <c r="E508" s="25">
        <v>2.0</v>
      </c>
      <c r="F508" s="21">
        <v>49500.0</v>
      </c>
      <c r="G508" s="21">
        <f t="shared" si="1"/>
        <v>99000</v>
      </c>
      <c r="H508" s="21" t="s">
        <v>549</v>
      </c>
      <c r="I508" s="21" t="s">
        <v>550</v>
      </c>
      <c r="J508" s="25" t="s">
        <v>71</v>
      </c>
    </row>
    <row r="509" ht="15.75" customHeight="1">
      <c r="A509" s="25" t="s">
        <v>1858</v>
      </c>
      <c r="B509" s="25" t="s">
        <v>175</v>
      </c>
      <c r="C509" s="69">
        <v>45017.0</v>
      </c>
      <c r="D509" s="21" t="s">
        <v>176</v>
      </c>
      <c r="E509" s="25">
        <v>0.0</v>
      </c>
      <c r="F509" s="21">
        <v>49500.0</v>
      </c>
      <c r="G509" s="21">
        <f t="shared" si="1"/>
        <v>0</v>
      </c>
      <c r="H509" s="21" t="s">
        <v>549</v>
      </c>
      <c r="I509" s="21" t="s">
        <v>550</v>
      </c>
      <c r="J509" s="25" t="s">
        <v>71</v>
      </c>
    </row>
    <row r="510" ht="15.75" customHeight="1">
      <c r="A510" s="25" t="s">
        <v>1859</v>
      </c>
      <c r="B510" s="25" t="s">
        <v>175</v>
      </c>
      <c r="C510" s="69">
        <v>45047.0</v>
      </c>
      <c r="D510" s="21" t="s">
        <v>176</v>
      </c>
      <c r="E510" s="25">
        <v>5.0</v>
      </c>
      <c r="F510" s="21">
        <v>49500.0</v>
      </c>
      <c r="G510" s="21">
        <f t="shared" si="1"/>
        <v>247500</v>
      </c>
      <c r="H510" s="21" t="s">
        <v>549</v>
      </c>
      <c r="I510" s="21" t="s">
        <v>550</v>
      </c>
      <c r="J510" s="25" t="s">
        <v>71</v>
      </c>
    </row>
    <row r="511" ht="15.75" customHeight="1">
      <c r="A511" s="25" t="s">
        <v>1860</v>
      </c>
      <c r="B511" s="25" t="s">
        <v>175</v>
      </c>
      <c r="C511" s="69">
        <v>45078.0</v>
      </c>
      <c r="D511" s="21" t="s">
        <v>176</v>
      </c>
      <c r="E511" s="25">
        <v>1.0</v>
      </c>
      <c r="F511" s="21">
        <v>49500.0</v>
      </c>
      <c r="G511" s="21">
        <f t="shared" si="1"/>
        <v>49500</v>
      </c>
      <c r="H511" s="21" t="s">
        <v>549</v>
      </c>
      <c r="I511" s="21" t="s">
        <v>550</v>
      </c>
      <c r="J511" s="25" t="s">
        <v>71</v>
      </c>
    </row>
    <row r="512" ht="15.75" customHeight="1">
      <c r="A512" s="25" t="s">
        <v>1861</v>
      </c>
      <c r="B512" s="25" t="s">
        <v>175</v>
      </c>
      <c r="C512" s="69">
        <v>45108.0</v>
      </c>
      <c r="D512" s="21" t="s">
        <v>176</v>
      </c>
      <c r="E512" s="25">
        <v>4.0</v>
      </c>
      <c r="F512" s="21">
        <v>49500.0</v>
      </c>
      <c r="G512" s="21">
        <f t="shared" si="1"/>
        <v>198000</v>
      </c>
      <c r="H512" s="21" t="s">
        <v>549</v>
      </c>
      <c r="I512" s="21" t="s">
        <v>550</v>
      </c>
      <c r="J512" s="25" t="s">
        <v>71</v>
      </c>
    </row>
    <row r="513" ht="15.75" customHeight="1">
      <c r="A513" s="25" t="s">
        <v>1863</v>
      </c>
      <c r="B513" s="25" t="s">
        <v>175</v>
      </c>
      <c r="C513" s="69">
        <v>45139.0</v>
      </c>
      <c r="D513" s="21" t="s">
        <v>176</v>
      </c>
      <c r="E513" s="25">
        <v>4.0</v>
      </c>
      <c r="F513" s="21">
        <v>49500.0</v>
      </c>
      <c r="G513" s="21">
        <f t="shared" si="1"/>
        <v>198000</v>
      </c>
      <c r="H513" s="21" t="s">
        <v>549</v>
      </c>
      <c r="I513" s="21" t="s">
        <v>550</v>
      </c>
      <c r="J513" s="25" t="s">
        <v>71</v>
      </c>
    </row>
    <row r="514" ht="15.75" customHeight="1">
      <c r="A514" s="25" t="s">
        <v>1867</v>
      </c>
      <c r="B514" s="25" t="s">
        <v>175</v>
      </c>
      <c r="C514" s="69">
        <v>45170.0</v>
      </c>
      <c r="D514" s="21" t="s">
        <v>176</v>
      </c>
      <c r="E514" s="25">
        <v>0.0</v>
      </c>
      <c r="F514" s="21">
        <v>49500.0</v>
      </c>
      <c r="G514" s="21">
        <f t="shared" si="1"/>
        <v>0</v>
      </c>
      <c r="H514" s="21" t="s">
        <v>549</v>
      </c>
      <c r="I514" s="21" t="s">
        <v>550</v>
      </c>
      <c r="J514" s="25" t="s">
        <v>71</v>
      </c>
    </row>
    <row r="515" ht="15.75" customHeight="1">
      <c r="A515" s="25" t="s">
        <v>1873</v>
      </c>
      <c r="B515" s="25" t="s">
        <v>175</v>
      </c>
      <c r="C515" s="69">
        <v>45200.0</v>
      </c>
      <c r="D515" s="21" t="s">
        <v>176</v>
      </c>
      <c r="E515" s="25">
        <v>5.0</v>
      </c>
      <c r="F515" s="21">
        <v>49500.0</v>
      </c>
      <c r="G515" s="21">
        <f t="shared" si="1"/>
        <v>247500</v>
      </c>
      <c r="H515" s="21" t="s">
        <v>549</v>
      </c>
      <c r="I515" s="21" t="s">
        <v>550</v>
      </c>
      <c r="J515" s="25" t="s">
        <v>71</v>
      </c>
    </row>
    <row r="516" ht="15.75" customHeight="1">
      <c r="A516" s="25" t="s">
        <v>1878</v>
      </c>
      <c r="B516" s="25" t="s">
        <v>175</v>
      </c>
      <c r="C516" s="69">
        <v>45231.0</v>
      </c>
      <c r="D516" s="21" t="s">
        <v>176</v>
      </c>
      <c r="E516" s="25">
        <v>2.0</v>
      </c>
      <c r="F516" s="21">
        <v>49500.0</v>
      </c>
      <c r="G516" s="21">
        <f t="shared" si="1"/>
        <v>99000</v>
      </c>
      <c r="H516" s="21" t="s">
        <v>549</v>
      </c>
      <c r="I516" s="21" t="s">
        <v>550</v>
      </c>
      <c r="J516" s="25" t="s">
        <v>71</v>
      </c>
    </row>
    <row r="517" ht="15.75" customHeight="1">
      <c r="A517" s="25" t="s">
        <v>1880</v>
      </c>
      <c r="B517" s="25" t="s">
        <v>175</v>
      </c>
      <c r="C517" s="69">
        <v>45261.0</v>
      </c>
      <c r="D517" s="21" t="s">
        <v>176</v>
      </c>
      <c r="E517" s="25">
        <v>1.0</v>
      </c>
      <c r="F517" s="21">
        <v>49500.0</v>
      </c>
      <c r="G517" s="21">
        <f t="shared" si="1"/>
        <v>49500</v>
      </c>
      <c r="H517" s="21" t="s">
        <v>549</v>
      </c>
      <c r="I517" s="21" t="s">
        <v>550</v>
      </c>
      <c r="J517" s="25" t="s">
        <v>71</v>
      </c>
    </row>
    <row r="518" ht="15.75" customHeight="1">
      <c r="A518" s="25" t="s">
        <v>1883</v>
      </c>
      <c r="B518" s="25" t="s">
        <v>188</v>
      </c>
      <c r="C518" s="69">
        <v>44927.0</v>
      </c>
      <c r="D518" s="21" t="s">
        <v>189</v>
      </c>
      <c r="E518" s="25">
        <v>0.0</v>
      </c>
      <c r="F518" s="21">
        <v>49500.0</v>
      </c>
      <c r="G518" s="21">
        <f t="shared" si="1"/>
        <v>0</v>
      </c>
      <c r="H518" s="21" t="s">
        <v>549</v>
      </c>
      <c r="I518" s="21" t="s">
        <v>550</v>
      </c>
      <c r="J518" s="25" t="s">
        <v>71</v>
      </c>
    </row>
    <row r="519" ht="15.75" customHeight="1">
      <c r="A519" s="25" t="s">
        <v>1885</v>
      </c>
      <c r="B519" s="25" t="s">
        <v>188</v>
      </c>
      <c r="C519" s="69">
        <v>44958.0</v>
      </c>
      <c r="D519" s="21" t="s">
        <v>189</v>
      </c>
      <c r="E519" s="25">
        <v>2.0</v>
      </c>
      <c r="F519" s="21">
        <v>49500.0</v>
      </c>
      <c r="G519" s="21">
        <f t="shared" si="1"/>
        <v>99000</v>
      </c>
      <c r="H519" s="21" t="s">
        <v>549</v>
      </c>
      <c r="I519" s="21" t="s">
        <v>550</v>
      </c>
      <c r="J519" s="25" t="s">
        <v>71</v>
      </c>
    </row>
    <row r="520" ht="15.75" customHeight="1">
      <c r="A520" s="25" t="s">
        <v>1889</v>
      </c>
      <c r="B520" s="25" t="s">
        <v>188</v>
      </c>
      <c r="C520" s="69">
        <v>44986.0</v>
      </c>
      <c r="D520" s="21" t="s">
        <v>189</v>
      </c>
      <c r="E520" s="25">
        <v>0.0</v>
      </c>
      <c r="F520" s="21">
        <v>49500.0</v>
      </c>
      <c r="G520" s="21">
        <f t="shared" si="1"/>
        <v>0</v>
      </c>
      <c r="H520" s="21" t="s">
        <v>549</v>
      </c>
      <c r="I520" s="21" t="s">
        <v>550</v>
      </c>
      <c r="J520" s="25" t="s">
        <v>71</v>
      </c>
    </row>
    <row r="521" ht="15.75" customHeight="1">
      <c r="A521" s="25" t="s">
        <v>1891</v>
      </c>
      <c r="B521" s="25" t="s">
        <v>188</v>
      </c>
      <c r="C521" s="69">
        <v>45017.0</v>
      </c>
      <c r="D521" s="21" t="s">
        <v>189</v>
      </c>
      <c r="E521" s="25">
        <v>0.0</v>
      </c>
      <c r="F521" s="21">
        <v>49500.0</v>
      </c>
      <c r="G521" s="21">
        <f t="shared" si="1"/>
        <v>0</v>
      </c>
      <c r="H521" s="21" t="s">
        <v>549</v>
      </c>
      <c r="I521" s="21" t="s">
        <v>550</v>
      </c>
      <c r="J521" s="25" t="s">
        <v>71</v>
      </c>
    </row>
    <row r="522" ht="15.75" customHeight="1">
      <c r="A522" s="25" t="s">
        <v>1895</v>
      </c>
      <c r="B522" s="25" t="s">
        <v>188</v>
      </c>
      <c r="C522" s="69">
        <v>45047.0</v>
      </c>
      <c r="D522" s="21" t="s">
        <v>189</v>
      </c>
      <c r="E522" s="25">
        <v>1.0</v>
      </c>
      <c r="F522" s="21">
        <v>49500.0</v>
      </c>
      <c r="G522" s="21">
        <f t="shared" si="1"/>
        <v>49500</v>
      </c>
      <c r="H522" s="21" t="s">
        <v>549</v>
      </c>
      <c r="I522" s="21" t="s">
        <v>550</v>
      </c>
      <c r="J522" s="25" t="s">
        <v>71</v>
      </c>
    </row>
    <row r="523" ht="15.75" customHeight="1">
      <c r="A523" s="25" t="s">
        <v>1897</v>
      </c>
      <c r="B523" s="25" t="s">
        <v>188</v>
      </c>
      <c r="C523" s="69">
        <v>45078.0</v>
      </c>
      <c r="D523" s="21" t="s">
        <v>189</v>
      </c>
      <c r="E523" s="25">
        <v>0.0</v>
      </c>
      <c r="F523" s="21">
        <v>49500.0</v>
      </c>
      <c r="G523" s="21">
        <f t="shared" si="1"/>
        <v>0</v>
      </c>
      <c r="H523" s="21" t="s">
        <v>549</v>
      </c>
      <c r="I523" s="21" t="s">
        <v>550</v>
      </c>
      <c r="J523" s="25" t="s">
        <v>71</v>
      </c>
    </row>
    <row r="524" ht="15.75" customHeight="1">
      <c r="A524" s="25" t="s">
        <v>1901</v>
      </c>
      <c r="B524" s="25" t="s">
        <v>188</v>
      </c>
      <c r="C524" s="69">
        <v>45108.0</v>
      </c>
      <c r="D524" s="21" t="s">
        <v>189</v>
      </c>
      <c r="E524" s="25">
        <v>0.0</v>
      </c>
      <c r="F524" s="21">
        <v>49500.0</v>
      </c>
      <c r="G524" s="21">
        <f t="shared" si="1"/>
        <v>0</v>
      </c>
      <c r="H524" s="21" t="s">
        <v>549</v>
      </c>
      <c r="I524" s="21" t="s">
        <v>550</v>
      </c>
      <c r="J524" s="25" t="s">
        <v>71</v>
      </c>
    </row>
    <row r="525" ht="15.75" customHeight="1">
      <c r="A525" s="25" t="s">
        <v>1904</v>
      </c>
      <c r="B525" s="25" t="s">
        <v>188</v>
      </c>
      <c r="C525" s="69">
        <v>45139.0</v>
      </c>
      <c r="D525" s="21" t="s">
        <v>189</v>
      </c>
      <c r="E525" s="25">
        <v>2.0</v>
      </c>
      <c r="F525" s="21">
        <v>49500.0</v>
      </c>
      <c r="G525" s="21">
        <f t="shared" si="1"/>
        <v>99000</v>
      </c>
      <c r="H525" s="21" t="s">
        <v>549</v>
      </c>
      <c r="I525" s="21" t="s">
        <v>550</v>
      </c>
      <c r="J525" s="25" t="s">
        <v>71</v>
      </c>
    </row>
    <row r="526" ht="15.75" customHeight="1">
      <c r="A526" s="25" t="s">
        <v>1908</v>
      </c>
      <c r="B526" s="25" t="s">
        <v>188</v>
      </c>
      <c r="C526" s="69">
        <v>45170.0</v>
      </c>
      <c r="D526" s="21" t="s">
        <v>189</v>
      </c>
      <c r="E526" s="25">
        <v>1.0</v>
      </c>
      <c r="F526" s="21">
        <v>49500.0</v>
      </c>
      <c r="G526" s="21">
        <f t="shared" si="1"/>
        <v>49500</v>
      </c>
      <c r="H526" s="21" t="s">
        <v>549</v>
      </c>
      <c r="I526" s="21" t="s">
        <v>550</v>
      </c>
      <c r="J526" s="25" t="s">
        <v>71</v>
      </c>
    </row>
    <row r="527" ht="15.75" customHeight="1">
      <c r="A527" s="25" t="s">
        <v>1912</v>
      </c>
      <c r="B527" s="25" t="s">
        <v>188</v>
      </c>
      <c r="C527" s="69">
        <v>45200.0</v>
      </c>
      <c r="D527" s="21" t="s">
        <v>189</v>
      </c>
      <c r="E527" s="25">
        <v>0.0</v>
      </c>
      <c r="F527" s="21">
        <v>49500.0</v>
      </c>
      <c r="G527" s="21">
        <f t="shared" si="1"/>
        <v>0</v>
      </c>
      <c r="H527" s="21" t="s">
        <v>549</v>
      </c>
      <c r="I527" s="21" t="s">
        <v>550</v>
      </c>
      <c r="J527" s="25" t="s">
        <v>71</v>
      </c>
    </row>
    <row r="528" ht="15.75" customHeight="1">
      <c r="A528" s="25" t="s">
        <v>1914</v>
      </c>
      <c r="B528" s="25" t="s">
        <v>188</v>
      </c>
      <c r="C528" s="69">
        <v>45231.0</v>
      </c>
      <c r="D528" s="21" t="s">
        <v>189</v>
      </c>
      <c r="E528" s="25">
        <v>1.0</v>
      </c>
      <c r="F528" s="21">
        <v>49500.0</v>
      </c>
      <c r="G528" s="21">
        <f t="shared" si="1"/>
        <v>49500</v>
      </c>
      <c r="H528" s="21" t="s">
        <v>549</v>
      </c>
      <c r="I528" s="21" t="s">
        <v>550</v>
      </c>
      <c r="J528" s="25" t="s">
        <v>71</v>
      </c>
    </row>
    <row r="529" ht="15.75" customHeight="1">
      <c r="A529" s="25" t="s">
        <v>1915</v>
      </c>
      <c r="B529" s="25" t="s">
        <v>188</v>
      </c>
      <c r="C529" s="69">
        <v>45261.0</v>
      </c>
      <c r="D529" s="21" t="s">
        <v>189</v>
      </c>
      <c r="E529" s="25">
        <v>1.0</v>
      </c>
      <c r="F529" s="21">
        <v>49500.0</v>
      </c>
      <c r="G529" s="21">
        <f t="shared" si="1"/>
        <v>49500</v>
      </c>
      <c r="H529" s="21" t="s">
        <v>549</v>
      </c>
      <c r="I529" s="21" t="s">
        <v>550</v>
      </c>
      <c r="J529" s="25" t="s">
        <v>71</v>
      </c>
    </row>
    <row r="530" ht="15.75" customHeight="1">
      <c r="A530" s="25" t="s">
        <v>1916</v>
      </c>
      <c r="B530" s="25" t="s">
        <v>38</v>
      </c>
      <c r="C530" s="69">
        <v>45292.0</v>
      </c>
      <c r="D530" s="21" t="s">
        <v>41</v>
      </c>
      <c r="E530" s="25">
        <v>40.0</v>
      </c>
      <c r="F530" s="21">
        <v>45000.0</v>
      </c>
      <c r="G530" s="21">
        <f t="shared" si="1"/>
        <v>1800000</v>
      </c>
      <c r="H530" s="21" t="s">
        <v>549</v>
      </c>
      <c r="I530" s="21" t="s">
        <v>550</v>
      </c>
      <c r="J530" s="25" t="s">
        <v>71</v>
      </c>
    </row>
    <row r="531" ht="15.75" customHeight="1">
      <c r="A531" s="25" t="s">
        <v>1917</v>
      </c>
      <c r="B531" s="25" t="s">
        <v>38</v>
      </c>
      <c r="C531" s="69">
        <v>45323.0</v>
      </c>
      <c r="D531" s="21" t="s">
        <v>41</v>
      </c>
      <c r="E531" s="25">
        <v>43.0</v>
      </c>
      <c r="F531" s="21">
        <v>45000.0</v>
      </c>
      <c r="G531" s="21">
        <f t="shared" si="1"/>
        <v>1935000</v>
      </c>
      <c r="H531" s="21" t="s">
        <v>549</v>
      </c>
      <c r="I531" s="21" t="s">
        <v>550</v>
      </c>
      <c r="J531" s="25" t="s">
        <v>71</v>
      </c>
    </row>
    <row r="532" ht="15.75" customHeight="1">
      <c r="A532" s="25" t="s">
        <v>1918</v>
      </c>
      <c r="B532" s="25" t="s">
        <v>38</v>
      </c>
      <c r="C532" s="69">
        <v>45352.0</v>
      </c>
      <c r="D532" s="21" t="s">
        <v>41</v>
      </c>
      <c r="E532" s="25">
        <v>22.0</v>
      </c>
      <c r="F532" s="21">
        <v>45000.0</v>
      </c>
      <c r="G532" s="21">
        <f t="shared" si="1"/>
        <v>990000</v>
      </c>
      <c r="H532" s="21" t="s">
        <v>549</v>
      </c>
      <c r="I532" s="21" t="s">
        <v>550</v>
      </c>
      <c r="J532" s="25" t="s">
        <v>71</v>
      </c>
    </row>
    <row r="533" ht="15.75" customHeight="1">
      <c r="A533" s="25" t="s">
        <v>1919</v>
      </c>
      <c r="B533" s="25" t="s">
        <v>38</v>
      </c>
      <c r="C533" s="69">
        <v>45383.0</v>
      </c>
      <c r="D533" s="21" t="s">
        <v>41</v>
      </c>
      <c r="E533" s="25">
        <v>37.0</v>
      </c>
      <c r="F533" s="21">
        <v>45000.0</v>
      </c>
      <c r="G533" s="21">
        <f t="shared" si="1"/>
        <v>1665000</v>
      </c>
      <c r="H533" s="21" t="s">
        <v>549</v>
      </c>
      <c r="I533" s="21" t="s">
        <v>550</v>
      </c>
      <c r="J533" s="25" t="s">
        <v>71</v>
      </c>
    </row>
    <row r="534" ht="15.75" customHeight="1">
      <c r="A534" s="25" t="s">
        <v>1920</v>
      </c>
      <c r="B534" s="25" t="s">
        <v>38</v>
      </c>
      <c r="C534" s="69">
        <v>45413.0</v>
      </c>
      <c r="D534" s="21" t="s">
        <v>41</v>
      </c>
      <c r="E534" s="25">
        <v>70.0</v>
      </c>
      <c r="F534" s="21">
        <v>45000.0</v>
      </c>
      <c r="G534" s="21">
        <f t="shared" si="1"/>
        <v>3150000</v>
      </c>
      <c r="H534" s="21" t="s">
        <v>549</v>
      </c>
      <c r="I534" s="21" t="s">
        <v>550</v>
      </c>
      <c r="J534" s="25" t="s">
        <v>71</v>
      </c>
    </row>
    <row r="535" ht="15.75" customHeight="1">
      <c r="A535" s="25" t="s">
        <v>1921</v>
      </c>
      <c r="B535" s="25" t="s">
        <v>38</v>
      </c>
      <c r="C535" s="69">
        <v>45444.0</v>
      </c>
      <c r="D535" s="21" t="s">
        <v>41</v>
      </c>
      <c r="E535" s="25">
        <v>54.0</v>
      </c>
      <c r="F535" s="21">
        <v>45000.0</v>
      </c>
      <c r="G535" s="21">
        <f t="shared" si="1"/>
        <v>2430000</v>
      </c>
      <c r="H535" s="21" t="s">
        <v>549</v>
      </c>
      <c r="I535" s="21" t="s">
        <v>550</v>
      </c>
      <c r="J535" s="25" t="s">
        <v>71</v>
      </c>
    </row>
    <row r="536" ht="15.75" customHeight="1">
      <c r="A536" s="25" t="s">
        <v>1922</v>
      </c>
      <c r="B536" s="25" t="s">
        <v>38</v>
      </c>
      <c r="C536" s="69">
        <v>45474.0</v>
      </c>
      <c r="D536" s="21" t="s">
        <v>41</v>
      </c>
      <c r="E536" s="25">
        <v>35.0</v>
      </c>
      <c r="F536" s="21">
        <v>45000.0</v>
      </c>
      <c r="G536" s="21">
        <f t="shared" si="1"/>
        <v>1575000</v>
      </c>
      <c r="H536" s="21" t="s">
        <v>549</v>
      </c>
      <c r="I536" s="21" t="s">
        <v>550</v>
      </c>
      <c r="J536" s="25" t="s">
        <v>71</v>
      </c>
    </row>
    <row r="537" ht="15.75" customHeight="1">
      <c r="A537" s="25" t="s">
        <v>1923</v>
      </c>
      <c r="B537" s="25" t="s">
        <v>38</v>
      </c>
      <c r="C537" s="69">
        <v>45505.0</v>
      </c>
      <c r="D537" s="21" t="s">
        <v>41</v>
      </c>
      <c r="E537" s="25">
        <v>23.0</v>
      </c>
      <c r="F537" s="21">
        <v>45000.0</v>
      </c>
      <c r="G537" s="21">
        <f t="shared" si="1"/>
        <v>1035000</v>
      </c>
      <c r="H537" s="21" t="s">
        <v>549</v>
      </c>
      <c r="I537" s="21" t="s">
        <v>550</v>
      </c>
      <c r="J537" s="25" t="s">
        <v>71</v>
      </c>
    </row>
    <row r="538" ht="15.75" customHeight="1">
      <c r="A538" s="25" t="s">
        <v>1924</v>
      </c>
      <c r="B538" s="25" t="s">
        <v>38</v>
      </c>
      <c r="C538" s="69">
        <v>45536.0</v>
      </c>
      <c r="D538" s="21" t="s">
        <v>41</v>
      </c>
      <c r="E538" s="25">
        <v>8.0</v>
      </c>
      <c r="F538" s="21">
        <v>45000.0</v>
      </c>
      <c r="G538" s="21">
        <f t="shared" si="1"/>
        <v>360000</v>
      </c>
      <c r="H538" s="21" t="s">
        <v>549</v>
      </c>
      <c r="I538" s="21" t="s">
        <v>550</v>
      </c>
      <c r="J538" s="25" t="s">
        <v>71</v>
      </c>
    </row>
    <row r="539" ht="15.75" customHeight="1">
      <c r="A539" s="25" t="s">
        <v>1925</v>
      </c>
      <c r="B539" s="25" t="s">
        <v>38</v>
      </c>
      <c r="C539" s="69">
        <v>45566.0</v>
      </c>
      <c r="D539" s="21" t="s">
        <v>41</v>
      </c>
      <c r="E539" s="25">
        <v>25.0</v>
      </c>
      <c r="F539" s="21">
        <v>45000.0</v>
      </c>
      <c r="G539" s="21">
        <f t="shared" si="1"/>
        <v>1125000</v>
      </c>
      <c r="H539" s="21" t="s">
        <v>549</v>
      </c>
      <c r="I539" s="21" t="s">
        <v>550</v>
      </c>
      <c r="J539" s="25" t="s">
        <v>71</v>
      </c>
    </row>
    <row r="540" ht="15.75" customHeight="1">
      <c r="A540" s="25" t="s">
        <v>1926</v>
      </c>
      <c r="B540" s="25" t="s">
        <v>38</v>
      </c>
      <c r="C540" s="69">
        <v>45597.0</v>
      </c>
      <c r="D540" s="21" t="s">
        <v>41</v>
      </c>
      <c r="E540" s="25">
        <v>38.0</v>
      </c>
      <c r="F540" s="21">
        <v>45000.0</v>
      </c>
      <c r="G540" s="21">
        <f t="shared" si="1"/>
        <v>1710000</v>
      </c>
      <c r="H540" s="21" t="s">
        <v>549</v>
      </c>
      <c r="I540" s="21" t="s">
        <v>550</v>
      </c>
      <c r="J540" s="25" t="s">
        <v>71</v>
      </c>
    </row>
    <row r="541" ht="15.75" customHeight="1">
      <c r="A541" s="25" t="s">
        <v>1927</v>
      </c>
      <c r="B541" s="25" t="s">
        <v>38</v>
      </c>
      <c r="C541" s="69">
        <v>45627.0</v>
      </c>
      <c r="D541" s="21" t="s">
        <v>41</v>
      </c>
      <c r="E541" s="25">
        <v>15.0</v>
      </c>
      <c r="F541" s="21">
        <v>45000.0</v>
      </c>
      <c r="G541" s="21">
        <f t="shared" si="1"/>
        <v>675000</v>
      </c>
      <c r="H541" s="21" t="s">
        <v>549</v>
      </c>
      <c r="I541" s="21" t="s">
        <v>550</v>
      </c>
      <c r="J541" s="25" t="s">
        <v>71</v>
      </c>
    </row>
    <row r="542" ht="15.75" customHeight="1">
      <c r="A542" s="25" t="s">
        <v>1928</v>
      </c>
      <c r="B542" s="25" t="s">
        <v>40</v>
      </c>
      <c r="C542" s="69">
        <v>45292.0</v>
      </c>
      <c r="D542" s="21" t="s">
        <v>42</v>
      </c>
      <c r="E542" s="25">
        <v>4.0</v>
      </c>
      <c r="F542" s="21">
        <v>45500.0</v>
      </c>
      <c r="G542" s="21">
        <f t="shared" si="1"/>
        <v>182000</v>
      </c>
      <c r="H542" s="21" t="s">
        <v>549</v>
      </c>
      <c r="I542" s="21" t="s">
        <v>550</v>
      </c>
      <c r="J542" s="25" t="s">
        <v>71</v>
      </c>
    </row>
    <row r="543" ht="15.75" customHeight="1">
      <c r="A543" s="25" t="s">
        <v>1929</v>
      </c>
      <c r="B543" s="25" t="s">
        <v>40</v>
      </c>
      <c r="C543" s="69">
        <v>45323.0</v>
      </c>
      <c r="D543" s="21" t="s">
        <v>42</v>
      </c>
      <c r="E543" s="25">
        <v>4.0</v>
      </c>
      <c r="F543" s="21">
        <v>45500.0</v>
      </c>
      <c r="G543" s="21">
        <f t="shared" si="1"/>
        <v>182000</v>
      </c>
      <c r="H543" s="21" t="s">
        <v>549</v>
      </c>
      <c r="I543" s="21" t="s">
        <v>550</v>
      </c>
      <c r="J543" s="25" t="s">
        <v>71</v>
      </c>
    </row>
    <row r="544" ht="15.75" customHeight="1">
      <c r="A544" s="25" t="s">
        <v>1930</v>
      </c>
      <c r="B544" s="25" t="s">
        <v>40</v>
      </c>
      <c r="C544" s="69">
        <v>45352.0</v>
      </c>
      <c r="D544" s="21" t="s">
        <v>42</v>
      </c>
      <c r="E544" s="25">
        <v>3.0</v>
      </c>
      <c r="F544" s="21">
        <v>45500.0</v>
      </c>
      <c r="G544" s="21">
        <f t="shared" si="1"/>
        <v>136500</v>
      </c>
      <c r="H544" s="21" t="s">
        <v>549</v>
      </c>
      <c r="I544" s="21" t="s">
        <v>550</v>
      </c>
      <c r="J544" s="25" t="s">
        <v>71</v>
      </c>
    </row>
    <row r="545" ht="15.75" customHeight="1">
      <c r="A545" s="25" t="s">
        <v>1931</v>
      </c>
      <c r="B545" s="25" t="s">
        <v>40</v>
      </c>
      <c r="C545" s="69">
        <v>45383.0</v>
      </c>
      <c r="D545" s="21" t="s">
        <v>42</v>
      </c>
      <c r="E545" s="25">
        <v>5.0</v>
      </c>
      <c r="F545" s="21">
        <v>45500.0</v>
      </c>
      <c r="G545" s="21">
        <f t="shared" si="1"/>
        <v>227500</v>
      </c>
      <c r="H545" s="21" t="s">
        <v>549</v>
      </c>
      <c r="I545" s="21" t="s">
        <v>550</v>
      </c>
      <c r="J545" s="25" t="s">
        <v>71</v>
      </c>
    </row>
    <row r="546" ht="15.75" customHeight="1">
      <c r="A546" s="25" t="s">
        <v>1932</v>
      </c>
      <c r="B546" s="25" t="s">
        <v>40</v>
      </c>
      <c r="C546" s="69">
        <v>45413.0</v>
      </c>
      <c r="D546" s="21" t="s">
        <v>42</v>
      </c>
      <c r="E546" s="25">
        <v>5.0</v>
      </c>
      <c r="F546" s="21">
        <v>45500.0</v>
      </c>
      <c r="G546" s="21">
        <f t="shared" si="1"/>
        <v>227500</v>
      </c>
      <c r="H546" s="21" t="s">
        <v>549</v>
      </c>
      <c r="I546" s="21" t="s">
        <v>550</v>
      </c>
      <c r="J546" s="25" t="s">
        <v>71</v>
      </c>
    </row>
    <row r="547" ht="15.75" customHeight="1">
      <c r="A547" s="25" t="s">
        <v>1933</v>
      </c>
      <c r="B547" s="25" t="s">
        <v>40</v>
      </c>
      <c r="C547" s="69">
        <v>45444.0</v>
      </c>
      <c r="D547" s="21" t="s">
        <v>42</v>
      </c>
      <c r="E547" s="25">
        <v>8.0</v>
      </c>
      <c r="F547" s="21">
        <v>45500.0</v>
      </c>
      <c r="G547" s="21">
        <f t="shared" si="1"/>
        <v>364000</v>
      </c>
      <c r="H547" s="21" t="s">
        <v>549</v>
      </c>
      <c r="I547" s="21" t="s">
        <v>550</v>
      </c>
      <c r="J547" s="25" t="s">
        <v>71</v>
      </c>
    </row>
    <row r="548" ht="15.75" customHeight="1">
      <c r="A548" s="25" t="s">
        <v>1934</v>
      </c>
      <c r="B548" s="25" t="s">
        <v>40</v>
      </c>
      <c r="C548" s="69">
        <v>45474.0</v>
      </c>
      <c r="D548" s="21" t="s">
        <v>42</v>
      </c>
      <c r="E548" s="25">
        <v>4.0</v>
      </c>
      <c r="F548" s="21">
        <v>45500.0</v>
      </c>
      <c r="G548" s="21">
        <f t="shared" si="1"/>
        <v>182000</v>
      </c>
      <c r="H548" s="21" t="s">
        <v>549</v>
      </c>
      <c r="I548" s="21" t="s">
        <v>550</v>
      </c>
      <c r="J548" s="25" t="s">
        <v>71</v>
      </c>
    </row>
    <row r="549" ht="15.75" customHeight="1">
      <c r="A549" s="25" t="s">
        <v>1935</v>
      </c>
      <c r="B549" s="25" t="s">
        <v>40</v>
      </c>
      <c r="C549" s="69">
        <v>45505.0</v>
      </c>
      <c r="D549" s="21" t="s">
        <v>42</v>
      </c>
      <c r="E549" s="25">
        <v>10.0</v>
      </c>
      <c r="F549" s="21">
        <v>45500.0</v>
      </c>
      <c r="G549" s="21">
        <f t="shared" si="1"/>
        <v>455000</v>
      </c>
      <c r="H549" s="21" t="s">
        <v>549</v>
      </c>
      <c r="I549" s="21" t="s">
        <v>550</v>
      </c>
      <c r="J549" s="25" t="s">
        <v>71</v>
      </c>
    </row>
    <row r="550" ht="15.75" customHeight="1">
      <c r="A550" s="25" t="s">
        <v>1936</v>
      </c>
      <c r="B550" s="25" t="s">
        <v>40</v>
      </c>
      <c r="C550" s="69">
        <v>45536.0</v>
      </c>
      <c r="D550" s="21" t="s">
        <v>42</v>
      </c>
      <c r="E550" s="25">
        <v>14.0</v>
      </c>
      <c r="F550" s="21">
        <v>45500.0</v>
      </c>
      <c r="G550" s="21">
        <f t="shared" si="1"/>
        <v>637000</v>
      </c>
      <c r="H550" s="21" t="s">
        <v>549</v>
      </c>
      <c r="I550" s="21" t="s">
        <v>550</v>
      </c>
      <c r="J550" s="25" t="s">
        <v>71</v>
      </c>
    </row>
    <row r="551" ht="15.75" customHeight="1">
      <c r="A551" s="25" t="s">
        <v>1937</v>
      </c>
      <c r="B551" s="25" t="s">
        <v>40</v>
      </c>
      <c r="C551" s="69">
        <v>45566.0</v>
      </c>
      <c r="D551" s="21" t="s">
        <v>42</v>
      </c>
      <c r="E551" s="25">
        <v>6.0</v>
      </c>
      <c r="F551" s="21">
        <v>45500.0</v>
      </c>
      <c r="G551" s="21">
        <f t="shared" si="1"/>
        <v>273000</v>
      </c>
      <c r="H551" s="21" t="s">
        <v>549</v>
      </c>
      <c r="I551" s="21" t="s">
        <v>550</v>
      </c>
      <c r="J551" s="25" t="s">
        <v>71</v>
      </c>
    </row>
    <row r="552" ht="15.75" customHeight="1">
      <c r="A552" s="25" t="s">
        <v>1938</v>
      </c>
      <c r="B552" s="25" t="s">
        <v>40</v>
      </c>
      <c r="C552" s="69">
        <v>45597.0</v>
      </c>
      <c r="D552" s="21" t="s">
        <v>42</v>
      </c>
      <c r="E552" s="25">
        <v>1.0</v>
      </c>
      <c r="F552" s="21">
        <v>45500.0</v>
      </c>
      <c r="G552" s="21">
        <f t="shared" si="1"/>
        <v>45500</v>
      </c>
      <c r="H552" s="21" t="s">
        <v>549</v>
      </c>
      <c r="I552" s="21" t="s">
        <v>550</v>
      </c>
      <c r="J552" s="25" t="s">
        <v>71</v>
      </c>
    </row>
    <row r="553" ht="15.75" customHeight="1">
      <c r="A553" s="25" t="s">
        <v>1939</v>
      </c>
      <c r="B553" s="25" t="s">
        <v>40</v>
      </c>
      <c r="C553" s="69">
        <v>45627.0</v>
      </c>
      <c r="D553" s="21" t="s">
        <v>42</v>
      </c>
      <c r="E553" s="25">
        <v>7.0</v>
      </c>
      <c r="F553" s="21">
        <v>45500.0</v>
      </c>
      <c r="G553" s="21">
        <f t="shared" si="1"/>
        <v>318500</v>
      </c>
      <c r="H553" s="21" t="s">
        <v>549</v>
      </c>
      <c r="I553" s="21" t="s">
        <v>550</v>
      </c>
      <c r="J553" s="25" t="s">
        <v>71</v>
      </c>
    </row>
    <row r="554" ht="15.75" customHeight="1">
      <c r="A554" s="25" t="s">
        <v>1940</v>
      </c>
      <c r="B554" s="25" t="s">
        <v>82</v>
      </c>
      <c r="C554" s="69">
        <v>45292.0</v>
      </c>
      <c r="D554" s="21" t="s">
        <v>84</v>
      </c>
      <c r="E554" s="25">
        <v>31.0</v>
      </c>
      <c r="F554" s="21">
        <v>45000.0</v>
      </c>
      <c r="G554" s="21">
        <f t="shared" si="1"/>
        <v>1395000</v>
      </c>
      <c r="H554" s="21" t="s">
        <v>549</v>
      </c>
      <c r="I554" s="21" t="s">
        <v>550</v>
      </c>
      <c r="J554" s="25" t="s">
        <v>71</v>
      </c>
    </row>
    <row r="555" ht="15.75" customHeight="1">
      <c r="A555" s="25" t="s">
        <v>1941</v>
      </c>
      <c r="B555" s="25" t="s">
        <v>82</v>
      </c>
      <c r="C555" s="69">
        <v>45323.0</v>
      </c>
      <c r="D555" s="21" t="s">
        <v>84</v>
      </c>
      <c r="E555" s="25">
        <v>5.0</v>
      </c>
      <c r="F555" s="21">
        <v>45000.0</v>
      </c>
      <c r="G555" s="21">
        <f t="shared" si="1"/>
        <v>225000</v>
      </c>
      <c r="H555" s="21" t="s">
        <v>549</v>
      </c>
      <c r="I555" s="21" t="s">
        <v>550</v>
      </c>
      <c r="J555" s="25" t="s">
        <v>71</v>
      </c>
    </row>
    <row r="556" ht="15.75" customHeight="1">
      <c r="A556" s="25" t="s">
        <v>1942</v>
      </c>
      <c r="B556" s="25" t="s">
        <v>82</v>
      </c>
      <c r="C556" s="69">
        <v>45352.0</v>
      </c>
      <c r="D556" s="21" t="s">
        <v>84</v>
      </c>
      <c r="E556" s="25">
        <v>20.0</v>
      </c>
      <c r="F556" s="21">
        <v>45000.0</v>
      </c>
      <c r="G556" s="21">
        <f t="shared" si="1"/>
        <v>900000</v>
      </c>
      <c r="H556" s="21" t="s">
        <v>549</v>
      </c>
      <c r="I556" s="21" t="s">
        <v>550</v>
      </c>
      <c r="J556" s="25" t="s">
        <v>71</v>
      </c>
    </row>
    <row r="557" ht="15.75" customHeight="1">
      <c r="A557" s="25" t="s">
        <v>1943</v>
      </c>
      <c r="B557" s="25" t="s">
        <v>82</v>
      </c>
      <c r="C557" s="69">
        <v>45383.0</v>
      </c>
      <c r="D557" s="21" t="s">
        <v>84</v>
      </c>
      <c r="E557" s="25">
        <v>12.0</v>
      </c>
      <c r="F557" s="21">
        <v>45000.0</v>
      </c>
      <c r="G557" s="21">
        <f t="shared" si="1"/>
        <v>540000</v>
      </c>
      <c r="H557" s="21" t="s">
        <v>549</v>
      </c>
      <c r="I557" s="21" t="s">
        <v>550</v>
      </c>
      <c r="J557" s="25" t="s">
        <v>71</v>
      </c>
    </row>
    <row r="558" ht="15.75" customHeight="1">
      <c r="A558" s="25" t="s">
        <v>1944</v>
      </c>
      <c r="B558" s="25" t="s">
        <v>82</v>
      </c>
      <c r="C558" s="69">
        <v>45413.0</v>
      </c>
      <c r="D558" s="21" t="s">
        <v>84</v>
      </c>
      <c r="E558" s="25">
        <v>50.0</v>
      </c>
      <c r="F558" s="21">
        <v>45000.0</v>
      </c>
      <c r="G558" s="21">
        <f t="shared" si="1"/>
        <v>2250000</v>
      </c>
      <c r="H558" s="21" t="s">
        <v>549</v>
      </c>
      <c r="I558" s="21" t="s">
        <v>550</v>
      </c>
      <c r="J558" s="25" t="s">
        <v>71</v>
      </c>
    </row>
    <row r="559" ht="15.75" customHeight="1">
      <c r="A559" s="25" t="s">
        <v>1945</v>
      </c>
      <c r="B559" s="25" t="s">
        <v>82</v>
      </c>
      <c r="C559" s="69">
        <v>45444.0</v>
      </c>
      <c r="D559" s="21" t="s">
        <v>84</v>
      </c>
      <c r="E559" s="25">
        <v>26.0</v>
      </c>
      <c r="F559" s="21">
        <v>45000.0</v>
      </c>
      <c r="G559" s="21">
        <f t="shared" si="1"/>
        <v>1170000</v>
      </c>
      <c r="H559" s="21" t="s">
        <v>549</v>
      </c>
      <c r="I559" s="21" t="s">
        <v>550</v>
      </c>
      <c r="J559" s="25" t="s">
        <v>71</v>
      </c>
    </row>
    <row r="560" ht="15.75" customHeight="1">
      <c r="A560" s="25" t="s">
        <v>1946</v>
      </c>
      <c r="B560" s="25" t="s">
        <v>82</v>
      </c>
      <c r="C560" s="69">
        <v>45474.0</v>
      </c>
      <c r="D560" s="21" t="s">
        <v>84</v>
      </c>
      <c r="E560" s="25">
        <v>17.0</v>
      </c>
      <c r="F560" s="21">
        <v>45000.0</v>
      </c>
      <c r="G560" s="21">
        <f t="shared" si="1"/>
        <v>765000</v>
      </c>
      <c r="H560" s="21" t="s">
        <v>549</v>
      </c>
      <c r="I560" s="21" t="s">
        <v>550</v>
      </c>
      <c r="J560" s="25" t="s">
        <v>71</v>
      </c>
    </row>
    <row r="561" ht="15.75" customHeight="1">
      <c r="A561" s="25" t="s">
        <v>1947</v>
      </c>
      <c r="B561" s="25" t="s">
        <v>82</v>
      </c>
      <c r="C561" s="69">
        <v>45505.0</v>
      </c>
      <c r="D561" s="21" t="s">
        <v>84</v>
      </c>
      <c r="E561" s="25">
        <v>8.0</v>
      </c>
      <c r="F561" s="21">
        <v>45000.0</v>
      </c>
      <c r="G561" s="21">
        <f t="shared" si="1"/>
        <v>360000</v>
      </c>
      <c r="H561" s="21" t="s">
        <v>549</v>
      </c>
      <c r="I561" s="21" t="s">
        <v>550</v>
      </c>
      <c r="J561" s="25" t="s">
        <v>71</v>
      </c>
    </row>
    <row r="562" ht="15.75" customHeight="1">
      <c r="A562" s="25" t="s">
        <v>1948</v>
      </c>
      <c r="B562" s="25" t="s">
        <v>82</v>
      </c>
      <c r="C562" s="69">
        <v>45536.0</v>
      </c>
      <c r="D562" s="21" t="s">
        <v>84</v>
      </c>
      <c r="E562" s="25">
        <v>10.0</v>
      </c>
      <c r="F562" s="21">
        <v>45000.0</v>
      </c>
      <c r="G562" s="21">
        <f t="shared" si="1"/>
        <v>450000</v>
      </c>
      <c r="H562" s="21" t="s">
        <v>549</v>
      </c>
      <c r="I562" s="21" t="s">
        <v>550</v>
      </c>
      <c r="J562" s="25" t="s">
        <v>71</v>
      </c>
    </row>
    <row r="563" ht="15.75" customHeight="1">
      <c r="A563" s="25" t="s">
        <v>1949</v>
      </c>
      <c r="B563" s="25" t="s">
        <v>82</v>
      </c>
      <c r="C563" s="69">
        <v>45566.0</v>
      </c>
      <c r="D563" s="21" t="s">
        <v>84</v>
      </c>
      <c r="E563" s="25">
        <v>9.0</v>
      </c>
      <c r="F563" s="21">
        <v>45000.0</v>
      </c>
      <c r="G563" s="21">
        <f t="shared" si="1"/>
        <v>405000</v>
      </c>
      <c r="H563" s="21" t="s">
        <v>549</v>
      </c>
      <c r="I563" s="21" t="s">
        <v>550</v>
      </c>
      <c r="J563" s="25" t="s">
        <v>71</v>
      </c>
    </row>
    <row r="564" ht="15.75" customHeight="1">
      <c r="A564" s="25" t="s">
        <v>1950</v>
      </c>
      <c r="B564" s="25" t="s">
        <v>82</v>
      </c>
      <c r="C564" s="69">
        <v>45597.0</v>
      </c>
      <c r="D564" s="21" t="s">
        <v>84</v>
      </c>
      <c r="E564" s="25">
        <v>6.0</v>
      </c>
      <c r="F564" s="21">
        <v>45000.0</v>
      </c>
      <c r="G564" s="21">
        <f t="shared" si="1"/>
        <v>270000</v>
      </c>
      <c r="H564" s="21" t="s">
        <v>549</v>
      </c>
      <c r="I564" s="21" t="s">
        <v>550</v>
      </c>
      <c r="J564" s="25" t="s">
        <v>71</v>
      </c>
    </row>
    <row r="565" ht="15.75" customHeight="1">
      <c r="A565" s="25" t="s">
        <v>1951</v>
      </c>
      <c r="B565" s="25" t="s">
        <v>82</v>
      </c>
      <c r="C565" s="69">
        <v>45627.0</v>
      </c>
      <c r="D565" s="21" t="s">
        <v>84</v>
      </c>
      <c r="E565" s="25">
        <v>46.0</v>
      </c>
      <c r="F565" s="21">
        <v>45000.0</v>
      </c>
      <c r="G565" s="21">
        <f t="shared" si="1"/>
        <v>2070000</v>
      </c>
      <c r="H565" s="21" t="s">
        <v>549</v>
      </c>
      <c r="I565" s="21" t="s">
        <v>550</v>
      </c>
      <c r="J565" s="25" t="s">
        <v>71</v>
      </c>
    </row>
    <row r="566" ht="15.75" customHeight="1">
      <c r="A566" s="25" t="s">
        <v>1952</v>
      </c>
      <c r="B566" s="25" t="s">
        <v>97</v>
      </c>
      <c r="C566" s="69">
        <v>45292.0</v>
      </c>
      <c r="D566" s="21" t="s">
        <v>99</v>
      </c>
      <c r="E566" s="25">
        <v>0.0</v>
      </c>
      <c r="F566" s="21">
        <v>36000.0</v>
      </c>
      <c r="G566" s="21">
        <f t="shared" si="1"/>
        <v>0</v>
      </c>
      <c r="H566" s="21" t="s">
        <v>424</v>
      </c>
      <c r="I566" s="21" t="s">
        <v>550</v>
      </c>
      <c r="J566" s="25" t="s">
        <v>71</v>
      </c>
    </row>
    <row r="567" ht="15.75" customHeight="1">
      <c r="A567" s="25" t="s">
        <v>1953</v>
      </c>
      <c r="B567" s="25" t="s">
        <v>97</v>
      </c>
      <c r="C567" s="69">
        <v>45323.0</v>
      </c>
      <c r="D567" s="21" t="s">
        <v>99</v>
      </c>
      <c r="E567" s="25">
        <v>3.0</v>
      </c>
      <c r="F567" s="21">
        <v>36000.0</v>
      </c>
      <c r="G567" s="21">
        <f t="shared" si="1"/>
        <v>108000</v>
      </c>
      <c r="H567" s="21" t="s">
        <v>424</v>
      </c>
      <c r="I567" s="21" t="s">
        <v>550</v>
      </c>
      <c r="J567" s="25" t="s">
        <v>71</v>
      </c>
    </row>
    <row r="568" ht="15.75" customHeight="1">
      <c r="A568" s="25" t="s">
        <v>1954</v>
      </c>
      <c r="B568" s="25" t="s">
        <v>97</v>
      </c>
      <c r="C568" s="69">
        <v>45352.0</v>
      </c>
      <c r="D568" s="21" t="s">
        <v>99</v>
      </c>
      <c r="E568" s="25">
        <v>2.0</v>
      </c>
      <c r="F568" s="21">
        <v>36000.0</v>
      </c>
      <c r="G568" s="21">
        <f t="shared" si="1"/>
        <v>72000</v>
      </c>
      <c r="H568" s="21" t="s">
        <v>424</v>
      </c>
      <c r="I568" s="21" t="s">
        <v>550</v>
      </c>
      <c r="J568" s="25" t="s">
        <v>71</v>
      </c>
    </row>
    <row r="569" ht="15.75" customHeight="1">
      <c r="A569" s="25" t="s">
        <v>1955</v>
      </c>
      <c r="B569" s="25" t="s">
        <v>97</v>
      </c>
      <c r="C569" s="69">
        <v>45383.0</v>
      </c>
      <c r="D569" s="21" t="s">
        <v>99</v>
      </c>
      <c r="E569" s="25">
        <v>15.0</v>
      </c>
      <c r="F569" s="21">
        <v>36000.0</v>
      </c>
      <c r="G569" s="21">
        <f t="shared" si="1"/>
        <v>540000</v>
      </c>
      <c r="H569" s="21" t="s">
        <v>424</v>
      </c>
      <c r="I569" s="21" t="s">
        <v>550</v>
      </c>
      <c r="J569" s="25" t="s">
        <v>71</v>
      </c>
    </row>
    <row r="570" ht="15.75" customHeight="1">
      <c r="A570" s="25" t="s">
        <v>1956</v>
      </c>
      <c r="B570" s="25" t="s">
        <v>97</v>
      </c>
      <c r="C570" s="69">
        <v>45413.0</v>
      </c>
      <c r="D570" s="21" t="s">
        <v>99</v>
      </c>
      <c r="E570" s="25">
        <v>0.0</v>
      </c>
      <c r="F570" s="21">
        <v>36000.0</v>
      </c>
      <c r="G570" s="21">
        <f t="shared" si="1"/>
        <v>0</v>
      </c>
      <c r="H570" s="21" t="s">
        <v>424</v>
      </c>
      <c r="I570" s="21" t="s">
        <v>550</v>
      </c>
      <c r="J570" s="25" t="s">
        <v>71</v>
      </c>
    </row>
    <row r="571" ht="15.75" customHeight="1">
      <c r="A571" s="25" t="s">
        <v>1957</v>
      </c>
      <c r="B571" s="25" t="s">
        <v>97</v>
      </c>
      <c r="C571" s="69">
        <v>45444.0</v>
      </c>
      <c r="D571" s="21" t="s">
        <v>99</v>
      </c>
      <c r="E571" s="25">
        <v>10.0</v>
      </c>
      <c r="F571" s="21">
        <v>36000.0</v>
      </c>
      <c r="G571" s="21">
        <f t="shared" si="1"/>
        <v>360000</v>
      </c>
      <c r="H571" s="21" t="s">
        <v>424</v>
      </c>
      <c r="I571" s="21" t="s">
        <v>550</v>
      </c>
      <c r="J571" s="25" t="s">
        <v>71</v>
      </c>
    </row>
    <row r="572" ht="15.75" customHeight="1">
      <c r="A572" s="25" t="s">
        <v>1958</v>
      </c>
      <c r="B572" s="25" t="s">
        <v>97</v>
      </c>
      <c r="C572" s="69">
        <v>45474.0</v>
      </c>
      <c r="D572" s="21" t="s">
        <v>99</v>
      </c>
      <c r="E572" s="25">
        <v>2.0</v>
      </c>
      <c r="F572" s="21">
        <v>36000.0</v>
      </c>
      <c r="G572" s="21">
        <f t="shared" si="1"/>
        <v>72000</v>
      </c>
      <c r="H572" s="21" t="s">
        <v>424</v>
      </c>
      <c r="I572" s="21" t="s">
        <v>550</v>
      </c>
      <c r="J572" s="25" t="s">
        <v>71</v>
      </c>
    </row>
    <row r="573" ht="15.75" customHeight="1">
      <c r="A573" s="25" t="s">
        <v>1959</v>
      </c>
      <c r="B573" s="25" t="s">
        <v>97</v>
      </c>
      <c r="C573" s="69">
        <v>45505.0</v>
      </c>
      <c r="D573" s="21" t="s">
        <v>99</v>
      </c>
      <c r="E573" s="25">
        <v>2.0</v>
      </c>
      <c r="F573" s="21">
        <v>36000.0</v>
      </c>
      <c r="G573" s="21">
        <f t="shared" si="1"/>
        <v>72000</v>
      </c>
      <c r="H573" s="21" t="s">
        <v>424</v>
      </c>
      <c r="I573" s="21" t="s">
        <v>550</v>
      </c>
      <c r="J573" s="25" t="s">
        <v>71</v>
      </c>
    </row>
    <row r="574" ht="15.75" customHeight="1">
      <c r="A574" s="25" t="s">
        <v>1960</v>
      </c>
      <c r="B574" s="25" t="s">
        <v>97</v>
      </c>
      <c r="C574" s="69">
        <v>45536.0</v>
      </c>
      <c r="D574" s="21" t="s">
        <v>99</v>
      </c>
      <c r="E574" s="25">
        <v>0.0</v>
      </c>
      <c r="F574" s="21">
        <v>36000.0</v>
      </c>
      <c r="G574" s="21">
        <f t="shared" si="1"/>
        <v>0</v>
      </c>
      <c r="H574" s="21" t="s">
        <v>424</v>
      </c>
      <c r="I574" s="21" t="s">
        <v>550</v>
      </c>
      <c r="J574" s="25" t="s">
        <v>71</v>
      </c>
    </row>
    <row r="575" ht="15.75" customHeight="1">
      <c r="A575" s="25" t="s">
        <v>1961</v>
      </c>
      <c r="B575" s="25" t="s">
        <v>97</v>
      </c>
      <c r="C575" s="69">
        <v>45566.0</v>
      </c>
      <c r="D575" s="21" t="s">
        <v>99</v>
      </c>
      <c r="E575" s="25">
        <v>2.0</v>
      </c>
      <c r="F575" s="21">
        <v>36000.0</v>
      </c>
      <c r="G575" s="21">
        <f t="shared" si="1"/>
        <v>72000</v>
      </c>
      <c r="H575" s="21" t="s">
        <v>424</v>
      </c>
      <c r="I575" s="21" t="s">
        <v>550</v>
      </c>
      <c r="J575" s="25" t="s">
        <v>71</v>
      </c>
    </row>
    <row r="576" ht="15.75" customHeight="1">
      <c r="A576" s="25" t="s">
        <v>1962</v>
      </c>
      <c r="B576" s="25" t="s">
        <v>97</v>
      </c>
      <c r="C576" s="69">
        <v>45597.0</v>
      </c>
      <c r="D576" s="21" t="s">
        <v>99</v>
      </c>
      <c r="E576" s="25">
        <v>2.0</v>
      </c>
      <c r="F576" s="21">
        <v>36000.0</v>
      </c>
      <c r="G576" s="21">
        <f t="shared" si="1"/>
        <v>72000</v>
      </c>
      <c r="H576" s="21" t="s">
        <v>424</v>
      </c>
      <c r="I576" s="21" t="s">
        <v>550</v>
      </c>
      <c r="J576" s="25" t="s">
        <v>71</v>
      </c>
    </row>
    <row r="577" ht="15.75" customHeight="1">
      <c r="A577" s="25" t="s">
        <v>1963</v>
      </c>
      <c r="B577" s="25" t="s">
        <v>97</v>
      </c>
      <c r="C577" s="69">
        <v>45627.0</v>
      </c>
      <c r="D577" s="21" t="s">
        <v>99</v>
      </c>
      <c r="E577" s="25">
        <v>1.0</v>
      </c>
      <c r="F577" s="21">
        <v>36000.0</v>
      </c>
      <c r="G577" s="21">
        <f t="shared" si="1"/>
        <v>36000</v>
      </c>
      <c r="H577" s="21" t="s">
        <v>424</v>
      </c>
      <c r="I577" s="21" t="s">
        <v>550</v>
      </c>
      <c r="J577" s="25" t="s">
        <v>71</v>
      </c>
    </row>
    <row r="578" ht="15.75" customHeight="1">
      <c r="A578" s="25" t="s">
        <v>1964</v>
      </c>
      <c r="B578" s="25" t="s">
        <v>110</v>
      </c>
      <c r="C578" s="69">
        <v>45292.0</v>
      </c>
      <c r="D578" s="21" t="s">
        <v>112</v>
      </c>
      <c r="E578" s="25">
        <v>0.0</v>
      </c>
      <c r="F578" s="21">
        <v>30000.0</v>
      </c>
      <c r="G578" s="21">
        <f t="shared" si="1"/>
        <v>0</v>
      </c>
      <c r="H578" s="21" t="s">
        <v>758</v>
      </c>
      <c r="I578" s="21" t="s">
        <v>550</v>
      </c>
      <c r="J578" s="25" t="s">
        <v>71</v>
      </c>
    </row>
    <row r="579" ht="15.75" customHeight="1">
      <c r="A579" s="25" t="s">
        <v>1965</v>
      </c>
      <c r="B579" s="25" t="s">
        <v>110</v>
      </c>
      <c r="C579" s="69">
        <v>45323.0</v>
      </c>
      <c r="D579" s="21" t="s">
        <v>112</v>
      </c>
      <c r="E579" s="25">
        <v>8.0</v>
      </c>
      <c r="F579" s="21">
        <v>30000.0</v>
      </c>
      <c r="G579" s="21">
        <f t="shared" si="1"/>
        <v>240000</v>
      </c>
      <c r="H579" s="21" t="s">
        <v>758</v>
      </c>
      <c r="I579" s="21" t="s">
        <v>550</v>
      </c>
      <c r="J579" s="25" t="s">
        <v>71</v>
      </c>
    </row>
    <row r="580" ht="15.75" customHeight="1">
      <c r="A580" s="25" t="s">
        <v>1966</v>
      </c>
      <c r="B580" s="25" t="s">
        <v>110</v>
      </c>
      <c r="C580" s="69">
        <v>45352.0</v>
      </c>
      <c r="D580" s="21" t="s">
        <v>112</v>
      </c>
      <c r="E580" s="25">
        <v>3.0</v>
      </c>
      <c r="F580" s="21">
        <v>30000.0</v>
      </c>
      <c r="G580" s="21">
        <f t="shared" si="1"/>
        <v>90000</v>
      </c>
      <c r="H580" s="21" t="s">
        <v>758</v>
      </c>
      <c r="I580" s="21" t="s">
        <v>550</v>
      </c>
      <c r="J580" s="25" t="s">
        <v>71</v>
      </c>
    </row>
    <row r="581" ht="15.75" customHeight="1">
      <c r="A581" s="25" t="s">
        <v>1967</v>
      </c>
      <c r="B581" s="25" t="s">
        <v>110</v>
      </c>
      <c r="C581" s="69">
        <v>45383.0</v>
      </c>
      <c r="D581" s="21" t="s">
        <v>112</v>
      </c>
      <c r="E581" s="25">
        <v>0.0</v>
      </c>
      <c r="F581" s="21">
        <v>30000.0</v>
      </c>
      <c r="G581" s="21">
        <f t="shared" si="1"/>
        <v>0</v>
      </c>
      <c r="H581" s="21" t="s">
        <v>758</v>
      </c>
      <c r="I581" s="21" t="s">
        <v>550</v>
      </c>
      <c r="J581" s="25" t="s">
        <v>71</v>
      </c>
    </row>
    <row r="582" ht="15.75" customHeight="1">
      <c r="A582" s="25" t="s">
        <v>1968</v>
      </c>
      <c r="B582" s="25" t="s">
        <v>110</v>
      </c>
      <c r="C582" s="69">
        <v>45413.0</v>
      </c>
      <c r="D582" s="21" t="s">
        <v>112</v>
      </c>
      <c r="E582" s="25">
        <v>5.0</v>
      </c>
      <c r="F582" s="21">
        <v>30000.0</v>
      </c>
      <c r="G582" s="21">
        <f t="shared" si="1"/>
        <v>150000</v>
      </c>
      <c r="H582" s="21" t="s">
        <v>758</v>
      </c>
      <c r="I582" s="21" t="s">
        <v>550</v>
      </c>
      <c r="J582" s="25" t="s">
        <v>71</v>
      </c>
    </row>
    <row r="583" ht="15.75" customHeight="1">
      <c r="A583" s="25" t="s">
        <v>1969</v>
      </c>
      <c r="B583" s="25" t="s">
        <v>110</v>
      </c>
      <c r="C583" s="69">
        <v>45444.0</v>
      </c>
      <c r="D583" s="21" t="s">
        <v>112</v>
      </c>
      <c r="E583" s="25">
        <v>1.0</v>
      </c>
      <c r="F583" s="21">
        <v>30000.0</v>
      </c>
      <c r="G583" s="21">
        <f t="shared" si="1"/>
        <v>30000</v>
      </c>
      <c r="H583" s="21" t="s">
        <v>758</v>
      </c>
      <c r="I583" s="21" t="s">
        <v>550</v>
      </c>
      <c r="J583" s="25" t="s">
        <v>71</v>
      </c>
    </row>
    <row r="584" ht="15.75" customHeight="1">
      <c r="A584" s="25" t="s">
        <v>1970</v>
      </c>
      <c r="B584" s="25" t="s">
        <v>110</v>
      </c>
      <c r="C584" s="69">
        <v>45474.0</v>
      </c>
      <c r="D584" s="21" t="s">
        <v>112</v>
      </c>
      <c r="E584" s="25">
        <v>3.0</v>
      </c>
      <c r="F584" s="21">
        <v>30000.0</v>
      </c>
      <c r="G584" s="21">
        <f t="shared" si="1"/>
        <v>90000</v>
      </c>
      <c r="H584" s="21" t="s">
        <v>758</v>
      </c>
      <c r="I584" s="21" t="s">
        <v>550</v>
      </c>
      <c r="J584" s="25" t="s">
        <v>71</v>
      </c>
    </row>
    <row r="585" ht="15.75" customHeight="1">
      <c r="A585" s="25" t="s">
        <v>1971</v>
      </c>
      <c r="B585" s="25" t="s">
        <v>110</v>
      </c>
      <c r="C585" s="69">
        <v>45505.0</v>
      </c>
      <c r="D585" s="21" t="s">
        <v>112</v>
      </c>
      <c r="E585" s="25">
        <v>2.0</v>
      </c>
      <c r="F585" s="21">
        <v>30000.0</v>
      </c>
      <c r="G585" s="21">
        <f t="shared" si="1"/>
        <v>60000</v>
      </c>
      <c r="H585" s="21" t="s">
        <v>758</v>
      </c>
      <c r="I585" s="21" t="s">
        <v>550</v>
      </c>
      <c r="J585" s="25" t="s">
        <v>71</v>
      </c>
    </row>
    <row r="586" ht="15.75" customHeight="1">
      <c r="A586" s="25" t="s">
        <v>1972</v>
      </c>
      <c r="B586" s="25" t="s">
        <v>110</v>
      </c>
      <c r="C586" s="69">
        <v>45536.0</v>
      </c>
      <c r="D586" s="21" t="s">
        <v>112</v>
      </c>
      <c r="E586" s="25">
        <v>3.0</v>
      </c>
      <c r="F586" s="21">
        <v>30000.0</v>
      </c>
      <c r="G586" s="21">
        <f t="shared" si="1"/>
        <v>90000</v>
      </c>
      <c r="H586" s="21" t="s">
        <v>758</v>
      </c>
      <c r="I586" s="21" t="s">
        <v>550</v>
      </c>
      <c r="J586" s="25" t="s">
        <v>71</v>
      </c>
    </row>
    <row r="587" ht="15.75" customHeight="1">
      <c r="A587" s="25" t="s">
        <v>1973</v>
      </c>
      <c r="B587" s="25" t="s">
        <v>110</v>
      </c>
      <c r="C587" s="69">
        <v>45566.0</v>
      </c>
      <c r="D587" s="21" t="s">
        <v>112</v>
      </c>
      <c r="E587" s="25">
        <v>5.0</v>
      </c>
      <c r="F587" s="21">
        <v>30000.0</v>
      </c>
      <c r="G587" s="21">
        <f t="shared" si="1"/>
        <v>150000</v>
      </c>
      <c r="H587" s="21" t="s">
        <v>758</v>
      </c>
      <c r="I587" s="21" t="s">
        <v>550</v>
      </c>
      <c r="J587" s="25" t="s">
        <v>71</v>
      </c>
    </row>
    <row r="588" ht="15.75" customHeight="1">
      <c r="A588" s="25" t="s">
        <v>1974</v>
      </c>
      <c r="B588" s="25" t="s">
        <v>110</v>
      </c>
      <c r="C588" s="69">
        <v>45597.0</v>
      </c>
      <c r="D588" s="21" t="s">
        <v>112</v>
      </c>
      <c r="E588" s="25">
        <v>1.0</v>
      </c>
      <c r="F588" s="21">
        <v>30000.0</v>
      </c>
      <c r="G588" s="21">
        <f t="shared" si="1"/>
        <v>30000</v>
      </c>
      <c r="H588" s="21" t="s">
        <v>758</v>
      </c>
      <c r="I588" s="21" t="s">
        <v>550</v>
      </c>
      <c r="J588" s="25" t="s">
        <v>71</v>
      </c>
    </row>
    <row r="589" ht="15.75" customHeight="1">
      <c r="A589" s="25" t="s">
        <v>1975</v>
      </c>
      <c r="B589" s="25" t="s">
        <v>110</v>
      </c>
      <c r="C589" s="69">
        <v>45627.0</v>
      </c>
      <c r="D589" s="21" t="s">
        <v>112</v>
      </c>
      <c r="E589" s="25">
        <v>0.0</v>
      </c>
      <c r="F589" s="21">
        <v>30000.0</v>
      </c>
      <c r="G589" s="21">
        <f t="shared" si="1"/>
        <v>0</v>
      </c>
      <c r="H589" s="21" t="s">
        <v>758</v>
      </c>
      <c r="I589" s="21" t="s">
        <v>550</v>
      </c>
      <c r="J589" s="25" t="s">
        <v>71</v>
      </c>
    </row>
    <row r="590" ht="15.75" customHeight="1">
      <c r="A590" s="25" t="s">
        <v>1976</v>
      </c>
      <c r="B590" s="25" t="s">
        <v>124</v>
      </c>
      <c r="C590" s="69">
        <v>45292.0</v>
      </c>
      <c r="D590" s="21" t="s">
        <v>125</v>
      </c>
      <c r="E590" s="25">
        <v>2.0</v>
      </c>
      <c r="F590" s="21">
        <v>49500.0</v>
      </c>
      <c r="G590" s="21">
        <f t="shared" si="1"/>
        <v>99000</v>
      </c>
      <c r="H590" s="21" t="s">
        <v>549</v>
      </c>
      <c r="I590" s="21" t="s">
        <v>550</v>
      </c>
      <c r="J590" s="25" t="s">
        <v>71</v>
      </c>
    </row>
    <row r="591" ht="15.75" customHeight="1">
      <c r="A591" s="25" t="s">
        <v>1977</v>
      </c>
      <c r="B591" s="25" t="s">
        <v>124</v>
      </c>
      <c r="C591" s="69">
        <v>45323.0</v>
      </c>
      <c r="D591" s="21" t="s">
        <v>125</v>
      </c>
      <c r="E591" s="25">
        <v>5.0</v>
      </c>
      <c r="F591" s="21">
        <v>49500.0</v>
      </c>
      <c r="G591" s="21">
        <f t="shared" si="1"/>
        <v>247500</v>
      </c>
      <c r="H591" s="21" t="s">
        <v>549</v>
      </c>
      <c r="I591" s="21" t="s">
        <v>550</v>
      </c>
      <c r="J591" s="25" t="s">
        <v>71</v>
      </c>
    </row>
    <row r="592" ht="15.75" customHeight="1">
      <c r="A592" s="25" t="s">
        <v>1978</v>
      </c>
      <c r="B592" s="25" t="s">
        <v>124</v>
      </c>
      <c r="C592" s="69">
        <v>45352.0</v>
      </c>
      <c r="D592" s="21" t="s">
        <v>125</v>
      </c>
      <c r="E592" s="25">
        <v>0.0</v>
      </c>
      <c r="F592" s="21">
        <v>49500.0</v>
      </c>
      <c r="G592" s="21">
        <f t="shared" si="1"/>
        <v>0</v>
      </c>
      <c r="H592" s="21" t="s">
        <v>549</v>
      </c>
      <c r="I592" s="21" t="s">
        <v>550</v>
      </c>
      <c r="J592" s="25" t="s">
        <v>71</v>
      </c>
    </row>
    <row r="593" ht="15.75" customHeight="1">
      <c r="A593" s="25" t="s">
        <v>1979</v>
      </c>
      <c r="B593" s="25" t="s">
        <v>124</v>
      </c>
      <c r="C593" s="69">
        <v>45383.0</v>
      </c>
      <c r="D593" s="21" t="s">
        <v>125</v>
      </c>
      <c r="E593" s="25">
        <v>5.0</v>
      </c>
      <c r="F593" s="21">
        <v>49500.0</v>
      </c>
      <c r="G593" s="21">
        <f t="shared" si="1"/>
        <v>247500</v>
      </c>
      <c r="H593" s="21" t="s">
        <v>549</v>
      </c>
      <c r="I593" s="21" t="s">
        <v>550</v>
      </c>
      <c r="J593" s="25" t="s">
        <v>71</v>
      </c>
    </row>
    <row r="594" ht="15.75" customHeight="1">
      <c r="A594" s="25" t="s">
        <v>1980</v>
      </c>
      <c r="B594" s="25" t="s">
        <v>124</v>
      </c>
      <c r="C594" s="69">
        <v>45413.0</v>
      </c>
      <c r="D594" s="21" t="s">
        <v>125</v>
      </c>
      <c r="E594" s="25">
        <v>0.0</v>
      </c>
      <c r="F594" s="21">
        <v>49500.0</v>
      </c>
      <c r="G594" s="21">
        <f t="shared" si="1"/>
        <v>0</v>
      </c>
      <c r="H594" s="21" t="s">
        <v>549</v>
      </c>
      <c r="I594" s="21" t="s">
        <v>550</v>
      </c>
      <c r="J594" s="25" t="s">
        <v>71</v>
      </c>
    </row>
    <row r="595" ht="15.75" customHeight="1">
      <c r="A595" s="25" t="s">
        <v>1983</v>
      </c>
      <c r="B595" s="25" t="s">
        <v>124</v>
      </c>
      <c r="C595" s="69">
        <v>45444.0</v>
      </c>
      <c r="D595" s="21" t="s">
        <v>125</v>
      </c>
      <c r="E595" s="25">
        <v>2.0</v>
      </c>
      <c r="F595" s="21">
        <v>49500.0</v>
      </c>
      <c r="G595" s="21">
        <f t="shared" si="1"/>
        <v>99000</v>
      </c>
      <c r="H595" s="21" t="s">
        <v>549</v>
      </c>
      <c r="I595" s="21" t="s">
        <v>550</v>
      </c>
      <c r="J595" s="25" t="s">
        <v>71</v>
      </c>
    </row>
    <row r="596" ht="15.75" customHeight="1">
      <c r="A596" s="25" t="s">
        <v>1984</v>
      </c>
      <c r="B596" s="25" t="s">
        <v>124</v>
      </c>
      <c r="C596" s="69">
        <v>45474.0</v>
      </c>
      <c r="D596" s="21" t="s">
        <v>125</v>
      </c>
      <c r="E596" s="25">
        <v>3.0</v>
      </c>
      <c r="F596" s="21">
        <v>49500.0</v>
      </c>
      <c r="G596" s="21">
        <f t="shared" si="1"/>
        <v>148500</v>
      </c>
      <c r="H596" s="21" t="s">
        <v>549</v>
      </c>
      <c r="I596" s="21" t="s">
        <v>550</v>
      </c>
      <c r="J596" s="25" t="s">
        <v>71</v>
      </c>
    </row>
    <row r="597" ht="15.75" customHeight="1">
      <c r="A597" s="25" t="s">
        <v>1985</v>
      </c>
      <c r="B597" s="25" t="s">
        <v>124</v>
      </c>
      <c r="C597" s="69">
        <v>45505.0</v>
      </c>
      <c r="D597" s="21" t="s">
        <v>125</v>
      </c>
      <c r="E597" s="25">
        <v>5.0</v>
      </c>
      <c r="F597" s="21">
        <v>49500.0</v>
      </c>
      <c r="G597" s="21">
        <f t="shared" si="1"/>
        <v>247500</v>
      </c>
      <c r="H597" s="21" t="s">
        <v>549</v>
      </c>
      <c r="I597" s="21" t="s">
        <v>550</v>
      </c>
      <c r="J597" s="25" t="s">
        <v>71</v>
      </c>
    </row>
    <row r="598" ht="15.75" customHeight="1">
      <c r="A598" s="25" t="s">
        <v>1986</v>
      </c>
      <c r="B598" s="25" t="s">
        <v>124</v>
      </c>
      <c r="C598" s="69">
        <v>45536.0</v>
      </c>
      <c r="D598" s="21" t="s">
        <v>125</v>
      </c>
      <c r="E598" s="25">
        <v>0.0</v>
      </c>
      <c r="F598" s="21">
        <v>49500.0</v>
      </c>
      <c r="G598" s="21">
        <f t="shared" si="1"/>
        <v>0</v>
      </c>
      <c r="H598" s="21" t="s">
        <v>549</v>
      </c>
      <c r="I598" s="21" t="s">
        <v>550</v>
      </c>
      <c r="J598" s="25" t="s">
        <v>71</v>
      </c>
    </row>
    <row r="599" ht="15.75" customHeight="1">
      <c r="A599" s="25" t="s">
        <v>1988</v>
      </c>
      <c r="B599" s="25" t="s">
        <v>124</v>
      </c>
      <c r="C599" s="69">
        <v>45566.0</v>
      </c>
      <c r="D599" s="21" t="s">
        <v>125</v>
      </c>
      <c r="E599" s="25">
        <v>0.0</v>
      </c>
      <c r="F599" s="21">
        <v>49500.0</v>
      </c>
      <c r="G599" s="21">
        <f t="shared" si="1"/>
        <v>0</v>
      </c>
      <c r="H599" s="21" t="s">
        <v>549</v>
      </c>
      <c r="I599" s="21" t="s">
        <v>550</v>
      </c>
      <c r="J599" s="25" t="s">
        <v>71</v>
      </c>
    </row>
    <row r="600" ht="15.75" customHeight="1">
      <c r="A600" s="25" t="s">
        <v>1989</v>
      </c>
      <c r="B600" s="25" t="s">
        <v>124</v>
      </c>
      <c r="C600" s="69">
        <v>45597.0</v>
      </c>
      <c r="D600" s="21" t="s">
        <v>125</v>
      </c>
      <c r="E600" s="25">
        <v>2.0</v>
      </c>
      <c r="F600" s="21">
        <v>49500.0</v>
      </c>
      <c r="G600" s="21">
        <f t="shared" si="1"/>
        <v>99000</v>
      </c>
      <c r="H600" s="21" t="s">
        <v>549</v>
      </c>
      <c r="I600" s="21" t="s">
        <v>550</v>
      </c>
      <c r="J600" s="25" t="s">
        <v>71</v>
      </c>
    </row>
    <row r="601" ht="15.75" customHeight="1">
      <c r="A601" s="25" t="s">
        <v>1991</v>
      </c>
      <c r="B601" s="25" t="s">
        <v>124</v>
      </c>
      <c r="C601" s="69">
        <v>45627.0</v>
      </c>
      <c r="D601" s="21" t="s">
        <v>125</v>
      </c>
      <c r="E601" s="25">
        <v>2.0</v>
      </c>
      <c r="F601" s="21">
        <v>49500.0</v>
      </c>
      <c r="G601" s="21">
        <f t="shared" si="1"/>
        <v>99000</v>
      </c>
      <c r="H601" s="21" t="s">
        <v>549</v>
      </c>
      <c r="I601" s="21" t="s">
        <v>550</v>
      </c>
      <c r="J601" s="25" t="s">
        <v>71</v>
      </c>
    </row>
    <row r="602" ht="15.75" customHeight="1">
      <c r="A602" s="25" t="s">
        <v>1992</v>
      </c>
      <c r="B602" s="25" t="s">
        <v>139</v>
      </c>
      <c r="C602" s="69">
        <v>45292.0</v>
      </c>
      <c r="D602" s="21" t="s">
        <v>140</v>
      </c>
      <c r="E602" s="25">
        <v>1.0</v>
      </c>
      <c r="F602" s="21">
        <v>30000.0</v>
      </c>
      <c r="G602" s="21">
        <f t="shared" si="1"/>
        <v>30000</v>
      </c>
      <c r="H602" s="21" t="s">
        <v>758</v>
      </c>
      <c r="I602" s="21" t="s">
        <v>550</v>
      </c>
      <c r="J602" s="25" t="s">
        <v>71</v>
      </c>
    </row>
    <row r="603" ht="15.75" customHeight="1">
      <c r="A603" s="25" t="s">
        <v>1995</v>
      </c>
      <c r="B603" s="25" t="s">
        <v>139</v>
      </c>
      <c r="C603" s="69">
        <v>45323.0</v>
      </c>
      <c r="D603" s="21" t="s">
        <v>140</v>
      </c>
      <c r="E603" s="25">
        <v>0.0</v>
      </c>
      <c r="F603" s="21">
        <v>30000.0</v>
      </c>
      <c r="G603" s="21">
        <f t="shared" si="1"/>
        <v>0</v>
      </c>
      <c r="H603" s="21" t="s">
        <v>758</v>
      </c>
      <c r="I603" s="21" t="s">
        <v>550</v>
      </c>
      <c r="J603" s="25" t="s">
        <v>71</v>
      </c>
    </row>
    <row r="604" ht="15.75" customHeight="1">
      <c r="A604" s="25" t="s">
        <v>1996</v>
      </c>
      <c r="B604" s="25" t="s">
        <v>139</v>
      </c>
      <c r="C604" s="69">
        <v>45352.0</v>
      </c>
      <c r="D604" s="21" t="s">
        <v>140</v>
      </c>
      <c r="E604" s="25">
        <v>0.0</v>
      </c>
      <c r="F604" s="21">
        <v>30000.0</v>
      </c>
      <c r="G604" s="21">
        <f t="shared" si="1"/>
        <v>0</v>
      </c>
      <c r="H604" s="21" t="s">
        <v>758</v>
      </c>
      <c r="I604" s="21" t="s">
        <v>550</v>
      </c>
      <c r="J604" s="25" t="s">
        <v>71</v>
      </c>
    </row>
    <row r="605" ht="15.75" customHeight="1">
      <c r="A605" s="25" t="s">
        <v>1998</v>
      </c>
      <c r="B605" s="25" t="s">
        <v>139</v>
      </c>
      <c r="C605" s="69">
        <v>45383.0</v>
      </c>
      <c r="D605" s="21" t="s">
        <v>140</v>
      </c>
      <c r="E605" s="25">
        <v>1.0</v>
      </c>
      <c r="F605" s="21">
        <v>30000.0</v>
      </c>
      <c r="G605" s="21">
        <f t="shared" si="1"/>
        <v>30000</v>
      </c>
      <c r="H605" s="21" t="s">
        <v>758</v>
      </c>
      <c r="I605" s="21" t="s">
        <v>550</v>
      </c>
      <c r="J605" s="25" t="s">
        <v>71</v>
      </c>
    </row>
    <row r="606" ht="15.75" customHeight="1">
      <c r="A606" s="25" t="s">
        <v>1999</v>
      </c>
      <c r="B606" s="25" t="s">
        <v>139</v>
      </c>
      <c r="C606" s="69">
        <v>45413.0</v>
      </c>
      <c r="D606" s="21" t="s">
        <v>140</v>
      </c>
      <c r="E606" s="25">
        <v>0.0</v>
      </c>
      <c r="F606" s="21">
        <v>30000.0</v>
      </c>
      <c r="G606" s="21">
        <f t="shared" si="1"/>
        <v>0</v>
      </c>
      <c r="H606" s="21" t="s">
        <v>758</v>
      </c>
      <c r="I606" s="21" t="s">
        <v>550</v>
      </c>
      <c r="J606" s="25" t="s">
        <v>71</v>
      </c>
    </row>
    <row r="607" ht="15.75" customHeight="1">
      <c r="A607" s="25" t="s">
        <v>2001</v>
      </c>
      <c r="B607" s="25" t="s">
        <v>139</v>
      </c>
      <c r="C607" s="69">
        <v>45444.0</v>
      </c>
      <c r="D607" s="21" t="s">
        <v>140</v>
      </c>
      <c r="E607" s="25">
        <v>3.0</v>
      </c>
      <c r="F607" s="21">
        <v>30000.0</v>
      </c>
      <c r="G607" s="21">
        <f t="shared" si="1"/>
        <v>90000</v>
      </c>
      <c r="H607" s="21" t="s">
        <v>758</v>
      </c>
      <c r="I607" s="21" t="s">
        <v>550</v>
      </c>
      <c r="J607" s="25" t="s">
        <v>71</v>
      </c>
    </row>
    <row r="608" ht="15.75" customHeight="1">
      <c r="A608" s="25" t="s">
        <v>2004</v>
      </c>
      <c r="B608" s="25" t="s">
        <v>139</v>
      </c>
      <c r="C608" s="69">
        <v>45474.0</v>
      </c>
      <c r="D608" s="21" t="s">
        <v>140</v>
      </c>
      <c r="E608" s="25">
        <v>0.0</v>
      </c>
      <c r="F608" s="21">
        <v>30000.0</v>
      </c>
      <c r="G608" s="21">
        <f t="shared" si="1"/>
        <v>0</v>
      </c>
      <c r="H608" s="21" t="s">
        <v>758</v>
      </c>
      <c r="I608" s="21" t="s">
        <v>550</v>
      </c>
      <c r="J608" s="25" t="s">
        <v>71</v>
      </c>
    </row>
    <row r="609" ht="15.75" customHeight="1">
      <c r="A609" s="25" t="s">
        <v>2006</v>
      </c>
      <c r="B609" s="25" t="s">
        <v>139</v>
      </c>
      <c r="C609" s="69">
        <v>45505.0</v>
      </c>
      <c r="D609" s="21" t="s">
        <v>140</v>
      </c>
      <c r="E609" s="25">
        <v>1.0</v>
      </c>
      <c r="F609" s="21">
        <v>30000.0</v>
      </c>
      <c r="G609" s="21">
        <f t="shared" si="1"/>
        <v>30000</v>
      </c>
      <c r="H609" s="21" t="s">
        <v>758</v>
      </c>
      <c r="I609" s="21" t="s">
        <v>550</v>
      </c>
      <c r="J609" s="25" t="s">
        <v>71</v>
      </c>
    </row>
    <row r="610" ht="15.75" customHeight="1">
      <c r="A610" s="25" t="s">
        <v>2007</v>
      </c>
      <c r="B610" s="25" t="s">
        <v>139</v>
      </c>
      <c r="C610" s="69">
        <v>45536.0</v>
      </c>
      <c r="D610" s="21" t="s">
        <v>140</v>
      </c>
      <c r="E610" s="25">
        <v>0.0</v>
      </c>
      <c r="F610" s="21">
        <v>30000.0</v>
      </c>
      <c r="G610" s="21">
        <f t="shared" si="1"/>
        <v>0</v>
      </c>
      <c r="H610" s="21" t="s">
        <v>758</v>
      </c>
      <c r="I610" s="21" t="s">
        <v>550</v>
      </c>
      <c r="J610" s="25" t="s">
        <v>71</v>
      </c>
    </row>
    <row r="611" ht="15.75" customHeight="1">
      <c r="A611" s="25" t="s">
        <v>2008</v>
      </c>
      <c r="B611" s="25" t="s">
        <v>139</v>
      </c>
      <c r="C611" s="69">
        <v>45566.0</v>
      </c>
      <c r="D611" s="21" t="s">
        <v>140</v>
      </c>
      <c r="E611" s="25">
        <v>2.0</v>
      </c>
      <c r="F611" s="21">
        <v>30000.0</v>
      </c>
      <c r="G611" s="21">
        <f t="shared" si="1"/>
        <v>60000</v>
      </c>
      <c r="H611" s="21" t="s">
        <v>758</v>
      </c>
      <c r="I611" s="21" t="s">
        <v>550</v>
      </c>
      <c r="J611" s="25" t="s">
        <v>71</v>
      </c>
    </row>
    <row r="612" ht="15.75" customHeight="1">
      <c r="A612" s="25" t="s">
        <v>2009</v>
      </c>
      <c r="B612" s="25" t="s">
        <v>139</v>
      </c>
      <c r="C612" s="69">
        <v>45597.0</v>
      </c>
      <c r="D612" s="21" t="s">
        <v>140</v>
      </c>
      <c r="E612" s="25">
        <v>1.0</v>
      </c>
      <c r="F612" s="21">
        <v>30000.0</v>
      </c>
      <c r="G612" s="21">
        <f t="shared" si="1"/>
        <v>30000</v>
      </c>
      <c r="H612" s="21" t="s">
        <v>758</v>
      </c>
      <c r="I612" s="21" t="s">
        <v>550</v>
      </c>
      <c r="J612" s="25" t="s">
        <v>71</v>
      </c>
    </row>
    <row r="613" ht="15.75" customHeight="1">
      <c r="A613" s="25" t="s">
        <v>2010</v>
      </c>
      <c r="B613" s="25" t="s">
        <v>139</v>
      </c>
      <c r="C613" s="69">
        <v>45627.0</v>
      </c>
      <c r="D613" s="21" t="s">
        <v>140</v>
      </c>
      <c r="E613" s="25">
        <v>0.0</v>
      </c>
      <c r="F613" s="21">
        <v>30000.0</v>
      </c>
      <c r="G613" s="21">
        <f t="shared" si="1"/>
        <v>0</v>
      </c>
      <c r="H613" s="21" t="s">
        <v>758</v>
      </c>
      <c r="I613" s="21" t="s">
        <v>550</v>
      </c>
      <c r="J613" s="25" t="s">
        <v>71</v>
      </c>
    </row>
    <row r="614" ht="15.75" customHeight="1">
      <c r="A614" s="25" t="s">
        <v>2011</v>
      </c>
      <c r="B614" s="25" t="s">
        <v>150</v>
      </c>
      <c r="C614" s="69">
        <v>45292.0</v>
      </c>
      <c r="D614" s="21" t="s">
        <v>151</v>
      </c>
      <c r="E614" s="25">
        <v>2.0</v>
      </c>
      <c r="F614" s="21">
        <v>30000.0</v>
      </c>
      <c r="G614" s="21">
        <f t="shared" si="1"/>
        <v>60000</v>
      </c>
      <c r="H614" s="21" t="s">
        <v>758</v>
      </c>
      <c r="I614" s="21" t="s">
        <v>550</v>
      </c>
      <c r="J614" s="25" t="s">
        <v>71</v>
      </c>
    </row>
    <row r="615" ht="15.75" customHeight="1">
      <c r="A615" s="25" t="s">
        <v>2012</v>
      </c>
      <c r="B615" s="25" t="s">
        <v>150</v>
      </c>
      <c r="C615" s="69">
        <v>45323.0</v>
      </c>
      <c r="D615" s="21" t="s">
        <v>151</v>
      </c>
      <c r="E615" s="25">
        <v>1.0</v>
      </c>
      <c r="F615" s="21">
        <v>30000.0</v>
      </c>
      <c r="G615" s="21">
        <f t="shared" si="1"/>
        <v>30000</v>
      </c>
      <c r="H615" s="21" t="s">
        <v>758</v>
      </c>
      <c r="I615" s="21" t="s">
        <v>550</v>
      </c>
      <c r="J615" s="25" t="s">
        <v>71</v>
      </c>
    </row>
    <row r="616" ht="15.75" customHeight="1">
      <c r="A616" s="25" t="s">
        <v>2013</v>
      </c>
      <c r="B616" s="25" t="s">
        <v>150</v>
      </c>
      <c r="C616" s="69">
        <v>45352.0</v>
      </c>
      <c r="D616" s="21" t="s">
        <v>151</v>
      </c>
      <c r="E616" s="25">
        <v>0.0</v>
      </c>
      <c r="F616" s="21">
        <v>30000.0</v>
      </c>
      <c r="G616" s="21">
        <f t="shared" si="1"/>
        <v>0</v>
      </c>
      <c r="H616" s="21" t="s">
        <v>758</v>
      </c>
      <c r="I616" s="21" t="s">
        <v>550</v>
      </c>
      <c r="J616" s="25" t="s">
        <v>71</v>
      </c>
    </row>
    <row r="617" ht="15.75" customHeight="1">
      <c r="A617" s="25" t="s">
        <v>2014</v>
      </c>
      <c r="B617" s="25" t="s">
        <v>150</v>
      </c>
      <c r="C617" s="69">
        <v>45383.0</v>
      </c>
      <c r="D617" s="21" t="s">
        <v>151</v>
      </c>
      <c r="E617" s="25">
        <v>2.0</v>
      </c>
      <c r="F617" s="21">
        <v>30000.0</v>
      </c>
      <c r="G617" s="21">
        <f t="shared" si="1"/>
        <v>60000</v>
      </c>
      <c r="H617" s="21" t="s">
        <v>758</v>
      </c>
      <c r="I617" s="21" t="s">
        <v>550</v>
      </c>
      <c r="J617" s="25" t="s">
        <v>71</v>
      </c>
    </row>
    <row r="618" ht="15.75" customHeight="1">
      <c r="A618" s="25" t="s">
        <v>2015</v>
      </c>
      <c r="B618" s="25" t="s">
        <v>150</v>
      </c>
      <c r="C618" s="69">
        <v>45413.0</v>
      </c>
      <c r="D618" s="21" t="s">
        <v>151</v>
      </c>
      <c r="E618" s="25">
        <v>1.0</v>
      </c>
      <c r="F618" s="21">
        <v>30000.0</v>
      </c>
      <c r="G618" s="21">
        <f t="shared" si="1"/>
        <v>30000</v>
      </c>
      <c r="H618" s="21" t="s">
        <v>758</v>
      </c>
      <c r="I618" s="21" t="s">
        <v>550</v>
      </c>
      <c r="J618" s="25" t="s">
        <v>71</v>
      </c>
    </row>
    <row r="619" ht="15.75" customHeight="1">
      <c r="A619" s="25" t="s">
        <v>2016</v>
      </c>
      <c r="B619" s="25" t="s">
        <v>150</v>
      </c>
      <c r="C619" s="69">
        <v>45444.0</v>
      </c>
      <c r="D619" s="21" t="s">
        <v>151</v>
      </c>
      <c r="E619" s="25">
        <v>2.0</v>
      </c>
      <c r="F619" s="21">
        <v>30000.0</v>
      </c>
      <c r="G619" s="21">
        <f t="shared" si="1"/>
        <v>60000</v>
      </c>
      <c r="H619" s="21" t="s">
        <v>758</v>
      </c>
      <c r="I619" s="21" t="s">
        <v>550</v>
      </c>
      <c r="J619" s="25" t="s">
        <v>71</v>
      </c>
    </row>
    <row r="620" ht="15.75" customHeight="1">
      <c r="A620" s="25" t="s">
        <v>2017</v>
      </c>
      <c r="B620" s="25" t="s">
        <v>150</v>
      </c>
      <c r="C620" s="69">
        <v>45474.0</v>
      </c>
      <c r="D620" s="21" t="s">
        <v>151</v>
      </c>
      <c r="E620" s="25">
        <v>0.0</v>
      </c>
      <c r="F620" s="21">
        <v>30000.0</v>
      </c>
      <c r="G620" s="21">
        <f t="shared" si="1"/>
        <v>0</v>
      </c>
      <c r="H620" s="21" t="s">
        <v>758</v>
      </c>
      <c r="I620" s="21" t="s">
        <v>550</v>
      </c>
      <c r="J620" s="25" t="s">
        <v>71</v>
      </c>
    </row>
    <row r="621" ht="15.75" customHeight="1">
      <c r="A621" s="25" t="s">
        <v>2018</v>
      </c>
      <c r="B621" s="25" t="s">
        <v>150</v>
      </c>
      <c r="C621" s="69">
        <v>45505.0</v>
      </c>
      <c r="D621" s="21" t="s">
        <v>151</v>
      </c>
      <c r="E621" s="25">
        <v>0.0</v>
      </c>
      <c r="F621" s="21">
        <v>30000.0</v>
      </c>
      <c r="G621" s="21">
        <f t="shared" si="1"/>
        <v>0</v>
      </c>
      <c r="H621" s="21" t="s">
        <v>758</v>
      </c>
      <c r="I621" s="21" t="s">
        <v>550</v>
      </c>
      <c r="J621" s="25" t="s">
        <v>71</v>
      </c>
    </row>
    <row r="622" ht="15.75" customHeight="1">
      <c r="A622" s="25" t="s">
        <v>2019</v>
      </c>
      <c r="B622" s="25" t="s">
        <v>150</v>
      </c>
      <c r="C622" s="69">
        <v>45536.0</v>
      </c>
      <c r="D622" s="21" t="s">
        <v>151</v>
      </c>
      <c r="E622" s="25">
        <v>0.0</v>
      </c>
      <c r="F622" s="21">
        <v>30000.0</v>
      </c>
      <c r="G622" s="21">
        <f t="shared" si="1"/>
        <v>0</v>
      </c>
      <c r="H622" s="21" t="s">
        <v>758</v>
      </c>
      <c r="I622" s="21" t="s">
        <v>550</v>
      </c>
      <c r="J622" s="25" t="s">
        <v>71</v>
      </c>
    </row>
    <row r="623" ht="15.75" customHeight="1">
      <c r="A623" s="25" t="s">
        <v>2020</v>
      </c>
      <c r="B623" s="25" t="s">
        <v>150</v>
      </c>
      <c r="C623" s="69">
        <v>45566.0</v>
      </c>
      <c r="D623" s="21" t="s">
        <v>151</v>
      </c>
      <c r="E623" s="25">
        <v>0.0</v>
      </c>
      <c r="F623" s="21">
        <v>30000.0</v>
      </c>
      <c r="G623" s="21">
        <f t="shared" si="1"/>
        <v>0</v>
      </c>
      <c r="H623" s="21" t="s">
        <v>758</v>
      </c>
      <c r="I623" s="21" t="s">
        <v>550</v>
      </c>
      <c r="J623" s="25" t="s">
        <v>71</v>
      </c>
    </row>
    <row r="624" ht="15.75" customHeight="1">
      <c r="A624" s="25" t="s">
        <v>2021</v>
      </c>
      <c r="B624" s="25" t="s">
        <v>150</v>
      </c>
      <c r="C624" s="69">
        <v>45597.0</v>
      </c>
      <c r="D624" s="21" t="s">
        <v>151</v>
      </c>
      <c r="E624" s="25">
        <v>1.0</v>
      </c>
      <c r="F624" s="21">
        <v>30000.0</v>
      </c>
      <c r="G624" s="21">
        <f t="shared" si="1"/>
        <v>30000</v>
      </c>
      <c r="H624" s="21" t="s">
        <v>758</v>
      </c>
      <c r="I624" s="21" t="s">
        <v>550</v>
      </c>
      <c r="J624" s="25" t="s">
        <v>71</v>
      </c>
    </row>
    <row r="625" ht="15.75" customHeight="1">
      <c r="A625" s="25" t="s">
        <v>2022</v>
      </c>
      <c r="B625" s="25" t="s">
        <v>150</v>
      </c>
      <c r="C625" s="69">
        <v>45627.0</v>
      </c>
      <c r="D625" s="21" t="s">
        <v>151</v>
      </c>
      <c r="E625" s="25">
        <v>0.0</v>
      </c>
      <c r="F625" s="21">
        <v>30000.0</v>
      </c>
      <c r="G625" s="21">
        <f t="shared" si="1"/>
        <v>0</v>
      </c>
      <c r="H625" s="21" t="s">
        <v>758</v>
      </c>
      <c r="I625" s="21" t="s">
        <v>550</v>
      </c>
      <c r="J625" s="25" t="s">
        <v>71</v>
      </c>
    </row>
    <row r="626" ht="15.75" customHeight="1">
      <c r="A626" s="25" t="s">
        <v>2023</v>
      </c>
      <c r="B626" s="25" t="s">
        <v>163</v>
      </c>
      <c r="C626" s="69">
        <v>45292.0</v>
      </c>
      <c r="D626" s="21" t="s">
        <v>165</v>
      </c>
      <c r="E626" s="25">
        <v>1.0</v>
      </c>
      <c r="F626" s="21">
        <v>49500.0</v>
      </c>
      <c r="G626" s="21">
        <f t="shared" si="1"/>
        <v>49500</v>
      </c>
      <c r="H626" s="21" t="s">
        <v>549</v>
      </c>
      <c r="I626" s="21" t="s">
        <v>550</v>
      </c>
      <c r="J626" s="25" t="s">
        <v>71</v>
      </c>
    </row>
    <row r="627" ht="15.75" customHeight="1">
      <c r="A627" s="25" t="s">
        <v>2024</v>
      </c>
      <c r="B627" s="25" t="s">
        <v>163</v>
      </c>
      <c r="C627" s="69">
        <v>45323.0</v>
      </c>
      <c r="D627" s="21" t="s">
        <v>165</v>
      </c>
      <c r="E627" s="25">
        <v>0.0</v>
      </c>
      <c r="F627" s="21">
        <v>49500.0</v>
      </c>
      <c r="G627" s="21">
        <f t="shared" si="1"/>
        <v>0</v>
      </c>
      <c r="H627" s="21" t="s">
        <v>549</v>
      </c>
      <c r="I627" s="21" t="s">
        <v>550</v>
      </c>
      <c r="J627" s="25" t="s">
        <v>71</v>
      </c>
    </row>
    <row r="628" ht="15.75" customHeight="1">
      <c r="A628" s="25" t="s">
        <v>2025</v>
      </c>
      <c r="B628" s="25" t="s">
        <v>163</v>
      </c>
      <c r="C628" s="69">
        <v>45352.0</v>
      </c>
      <c r="D628" s="21" t="s">
        <v>165</v>
      </c>
      <c r="E628" s="25">
        <v>1.0</v>
      </c>
      <c r="F628" s="21">
        <v>49500.0</v>
      </c>
      <c r="G628" s="21">
        <f t="shared" si="1"/>
        <v>49500</v>
      </c>
      <c r="H628" s="21" t="s">
        <v>549</v>
      </c>
      <c r="I628" s="21" t="s">
        <v>550</v>
      </c>
      <c r="J628" s="25" t="s">
        <v>71</v>
      </c>
    </row>
    <row r="629" ht="15.75" customHeight="1">
      <c r="A629" s="25" t="s">
        <v>2026</v>
      </c>
      <c r="B629" s="25" t="s">
        <v>163</v>
      </c>
      <c r="C629" s="69">
        <v>45383.0</v>
      </c>
      <c r="D629" s="21" t="s">
        <v>165</v>
      </c>
      <c r="E629" s="25">
        <v>0.0</v>
      </c>
      <c r="F629" s="21">
        <v>49500.0</v>
      </c>
      <c r="G629" s="21">
        <f t="shared" si="1"/>
        <v>0</v>
      </c>
      <c r="H629" s="21" t="s">
        <v>549</v>
      </c>
      <c r="I629" s="21" t="s">
        <v>550</v>
      </c>
      <c r="J629" s="25" t="s">
        <v>71</v>
      </c>
    </row>
    <row r="630" ht="15.75" customHeight="1">
      <c r="A630" s="25" t="s">
        <v>2027</v>
      </c>
      <c r="B630" s="25" t="s">
        <v>163</v>
      </c>
      <c r="C630" s="69">
        <v>45413.0</v>
      </c>
      <c r="D630" s="21" t="s">
        <v>165</v>
      </c>
      <c r="E630" s="25">
        <v>0.0</v>
      </c>
      <c r="F630" s="21">
        <v>49500.0</v>
      </c>
      <c r="G630" s="21">
        <f t="shared" si="1"/>
        <v>0</v>
      </c>
      <c r="H630" s="21" t="s">
        <v>549</v>
      </c>
      <c r="I630" s="21" t="s">
        <v>550</v>
      </c>
      <c r="J630" s="25" t="s">
        <v>71</v>
      </c>
    </row>
    <row r="631" ht="15.75" customHeight="1">
      <c r="A631" s="25" t="s">
        <v>2028</v>
      </c>
      <c r="B631" s="25" t="s">
        <v>163</v>
      </c>
      <c r="C631" s="69">
        <v>45444.0</v>
      </c>
      <c r="D631" s="21" t="s">
        <v>165</v>
      </c>
      <c r="E631" s="25">
        <v>3.0</v>
      </c>
      <c r="F631" s="21">
        <v>49500.0</v>
      </c>
      <c r="G631" s="21">
        <f t="shared" si="1"/>
        <v>148500</v>
      </c>
      <c r="H631" s="21" t="s">
        <v>549</v>
      </c>
      <c r="I631" s="21" t="s">
        <v>550</v>
      </c>
      <c r="J631" s="25" t="s">
        <v>71</v>
      </c>
    </row>
    <row r="632" ht="15.75" customHeight="1">
      <c r="A632" s="25" t="s">
        <v>2029</v>
      </c>
      <c r="B632" s="25" t="s">
        <v>163</v>
      </c>
      <c r="C632" s="69">
        <v>45474.0</v>
      </c>
      <c r="D632" s="21" t="s">
        <v>165</v>
      </c>
      <c r="E632" s="25">
        <v>0.0</v>
      </c>
      <c r="F632" s="21">
        <v>49500.0</v>
      </c>
      <c r="G632" s="21">
        <f t="shared" si="1"/>
        <v>0</v>
      </c>
      <c r="H632" s="21" t="s">
        <v>549</v>
      </c>
      <c r="I632" s="21" t="s">
        <v>550</v>
      </c>
      <c r="J632" s="25" t="s">
        <v>71</v>
      </c>
    </row>
    <row r="633" ht="15.75" customHeight="1">
      <c r="A633" s="25" t="s">
        <v>2030</v>
      </c>
      <c r="B633" s="25" t="s">
        <v>163</v>
      </c>
      <c r="C633" s="69">
        <v>45505.0</v>
      </c>
      <c r="D633" s="21" t="s">
        <v>165</v>
      </c>
      <c r="E633" s="25">
        <v>1.0</v>
      </c>
      <c r="F633" s="21">
        <v>49500.0</v>
      </c>
      <c r="G633" s="21">
        <f t="shared" si="1"/>
        <v>49500</v>
      </c>
      <c r="H633" s="21" t="s">
        <v>549</v>
      </c>
      <c r="I633" s="21" t="s">
        <v>550</v>
      </c>
      <c r="J633" s="25" t="s">
        <v>71</v>
      </c>
    </row>
    <row r="634" ht="15.75" customHeight="1">
      <c r="A634" s="25" t="s">
        <v>2031</v>
      </c>
      <c r="B634" s="25" t="s">
        <v>163</v>
      </c>
      <c r="C634" s="69">
        <v>45536.0</v>
      </c>
      <c r="D634" s="21" t="s">
        <v>165</v>
      </c>
      <c r="E634" s="25">
        <v>0.0</v>
      </c>
      <c r="F634" s="21">
        <v>49500.0</v>
      </c>
      <c r="G634" s="21">
        <f t="shared" si="1"/>
        <v>0</v>
      </c>
      <c r="H634" s="21" t="s">
        <v>549</v>
      </c>
      <c r="I634" s="21" t="s">
        <v>550</v>
      </c>
      <c r="J634" s="25" t="s">
        <v>71</v>
      </c>
    </row>
    <row r="635" ht="15.75" customHeight="1">
      <c r="A635" s="25" t="s">
        <v>2032</v>
      </c>
      <c r="B635" s="25" t="s">
        <v>163</v>
      </c>
      <c r="C635" s="69">
        <v>45566.0</v>
      </c>
      <c r="D635" s="21" t="s">
        <v>165</v>
      </c>
      <c r="E635" s="25">
        <v>2.0</v>
      </c>
      <c r="F635" s="21">
        <v>49500.0</v>
      </c>
      <c r="G635" s="21">
        <f t="shared" si="1"/>
        <v>99000</v>
      </c>
      <c r="H635" s="21" t="s">
        <v>549</v>
      </c>
      <c r="I635" s="21" t="s">
        <v>550</v>
      </c>
      <c r="J635" s="25" t="s">
        <v>71</v>
      </c>
    </row>
    <row r="636" ht="15.75" customHeight="1">
      <c r="A636" s="25" t="s">
        <v>2033</v>
      </c>
      <c r="B636" s="25" t="s">
        <v>163</v>
      </c>
      <c r="C636" s="69">
        <v>45597.0</v>
      </c>
      <c r="D636" s="21" t="s">
        <v>165</v>
      </c>
      <c r="E636" s="25">
        <v>0.0</v>
      </c>
      <c r="F636" s="21">
        <v>49500.0</v>
      </c>
      <c r="G636" s="21">
        <f t="shared" si="1"/>
        <v>0</v>
      </c>
      <c r="H636" s="21" t="s">
        <v>549</v>
      </c>
      <c r="I636" s="21" t="s">
        <v>550</v>
      </c>
      <c r="J636" s="25" t="s">
        <v>71</v>
      </c>
    </row>
    <row r="637" ht="15.75" customHeight="1">
      <c r="A637" s="25" t="s">
        <v>2034</v>
      </c>
      <c r="B637" s="25" t="s">
        <v>163</v>
      </c>
      <c r="C637" s="69">
        <v>45627.0</v>
      </c>
      <c r="D637" s="21" t="s">
        <v>165</v>
      </c>
      <c r="E637" s="25">
        <v>0.0</v>
      </c>
      <c r="F637" s="21">
        <v>49500.0</v>
      </c>
      <c r="G637" s="21">
        <f t="shared" si="1"/>
        <v>0</v>
      </c>
      <c r="H637" s="21" t="s">
        <v>549</v>
      </c>
      <c r="I637" s="21" t="s">
        <v>550</v>
      </c>
      <c r="J637" s="25" t="s">
        <v>71</v>
      </c>
    </row>
    <row r="638" ht="15.75" customHeight="1">
      <c r="A638" s="25" t="s">
        <v>2035</v>
      </c>
      <c r="B638" s="25" t="s">
        <v>175</v>
      </c>
      <c r="C638" s="69">
        <v>45292.0</v>
      </c>
      <c r="D638" s="21" t="s">
        <v>176</v>
      </c>
      <c r="E638" s="25">
        <v>4.0</v>
      </c>
      <c r="F638" s="21">
        <v>49500.0</v>
      </c>
      <c r="G638" s="21">
        <f t="shared" si="1"/>
        <v>198000</v>
      </c>
      <c r="H638" s="21" t="s">
        <v>549</v>
      </c>
      <c r="I638" s="21" t="s">
        <v>550</v>
      </c>
      <c r="J638" s="25" t="s">
        <v>71</v>
      </c>
    </row>
    <row r="639" ht="15.75" customHeight="1">
      <c r="A639" s="25" t="s">
        <v>2036</v>
      </c>
      <c r="B639" s="25" t="s">
        <v>175</v>
      </c>
      <c r="C639" s="69">
        <v>45323.0</v>
      </c>
      <c r="D639" s="21" t="s">
        <v>176</v>
      </c>
      <c r="E639" s="25">
        <v>0.0</v>
      </c>
      <c r="F639" s="21">
        <v>49500.0</v>
      </c>
      <c r="G639" s="21">
        <f t="shared" si="1"/>
        <v>0</v>
      </c>
      <c r="H639" s="21" t="s">
        <v>549</v>
      </c>
      <c r="I639" s="21" t="s">
        <v>550</v>
      </c>
      <c r="J639" s="25" t="s">
        <v>71</v>
      </c>
    </row>
    <row r="640" ht="15.75" customHeight="1">
      <c r="A640" s="25" t="s">
        <v>2037</v>
      </c>
      <c r="B640" s="25" t="s">
        <v>175</v>
      </c>
      <c r="C640" s="69">
        <v>45352.0</v>
      </c>
      <c r="D640" s="21" t="s">
        <v>176</v>
      </c>
      <c r="E640" s="25">
        <v>4.0</v>
      </c>
      <c r="F640" s="21">
        <v>49500.0</v>
      </c>
      <c r="G640" s="21">
        <f t="shared" si="1"/>
        <v>198000</v>
      </c>
      <c r="H640" s="21" t="s">
        <v>549</v>
      </c>
      <c r="I640" s="21" t="s">
        <v>550</v>
      </c>
      <c r="J640" s="25" t="s">
        <v>71</v>
      </c>
    </row>
    <row r="641" ht="15.75" customHeight="1">
      <c r="A641" s="25" t="s">
        <v>2038</v>
      </c>
      <c r="B641" s="25" t="s">
        <v>175</v>
      </c>
      <c r="C641" s="69">
        <v>45383.0</v>
      </c>
      <c r="D641" s="21" t="s">
        <v>176</v>
      </c>
      <c r="E641" s="25">
        <v>1.0</v>
      </c>
      <c r="F641" s="21">
        <v>49500.0</v>
      </c>
      <c r="G641" s="21">
        <f t="shared" si="1"/>
        <v>49500</v>
      </c>
      <c r="H641" s="21" t="s">
        <v>549</v>
      </c>
      <c r="I641" s="21" t="s">
        <v>550</v>
      </c>
      <c r="J641" s="25" t="s">
        <v>71</v>
      </c>
    </row>
    <row r="642" ht="15.75" customHeight="1">
      <c r="A642" s="25" t="s">
        <v>2039</v>
      </c>
      <c r="B642" s="25" t="s">
        <v>175</v>
      </c>
      <c r="C642" s="69">
        <v>45413.0</v>
      </c>
      <c r="D642" s="21" t="s">
        <v>176</v>
      </c>
      <c r="E642" s="25">
        <v>5.0</v>
      </c>
      <c r="F642" s="21">
        <v>49500.0</v>
      </c>
      <c r="G642" s="21">
        <f t="shared" si="1"/>
        <v>247500</v>
      </c>
      <c r="H642" s="21" t="s">
        <v>549</v>
      </c>
      <c r="I642" s="21" t="s">
        <v>550</v>
      </c>
      <c r="J642" s="25" t="s">
        <v>71</v>
      </c>
    </row>
    <row r="643" ht="15.75" customHeight="1">
      <c r="A643" s="25" t="s">
        <v>2040</v>
      </c>
      <c r="B643" s="25" t="s">
        <v>175</v>
      </c>
      <c r="C643" s="69">
        <v>45444.0</v>
      </c>
      <c r="D643" s="21" t="s">
        <v>176</v>
      </c>
      <c r="E643" s="25">
        <v>5.0</v>
      </c>
      <c r="F643" s="21">
        <v>49500.0</v>
      </c>
      <c r="G643" s="21">
        <f t="shared" si="1"/>
        <v>247500</v>
      </c>
      <c r="H643" s="21" t="s">
        <v>549</v>
      </c>
      <c r="I643" s="21" t="s">
        <v>550</v>
      </c>
      <c r="J643" s="25" t="s">
        <v>71</v>
      </c>
    </row>
    <row r="644" ht="15.75" customHeight="1">
      <c r="A644" s="25" t="s">
        <v>2041</v>
      </c>
      <c r="B644" s="25" t="s">
        <v>175</v>
      </c>
      <c r="C644" s="69">
        <v>45474.0</v>
      </c>
      <c r="D644" s="21" t="s">
        <v>176</v>
      </c>
      <c r="E644" s="25">
        <v>1.0</v>
      </c>
      <c r="F644" s="21">
        <v>49500.0</v>
      </c>
      <c r="G644" s="21">
        <f t="shared" si="1"/>
        <v>49500</v>
      </c>
      <c r="H644" s="21" t="s">
        <v>549</v>
      </c>
      <c r="I644" s="21" t="s">
        <v>550</v>
      </c>
      <c r="J644" s="25" t="s">
        <v>71</v>
      </c>
    </row>
    <row r="645" ht="15.75" customHeight="1">
      <c r="A645" s="25" t="s">
        <v>2042</v>
      </c>
      <c r="B645" s="25" t="s">
        <v>175</v>
      </c>
      <c r="C645" s="69">
        <v>45505.0</v>
      </c>
      <c r="D645" s="21" t="s">
        <v>176</v>
      </c>
      <c r="E645" s="25">
        <v>3.0</v>
      </c>
      <c r="F645" s="21">
        <v>49500.0</v>
      </c>
      <c r="G645" s="21">
        <f t="shared" si="1"/>
        <v>148500</v>
      </c>
      <c r="H645" s="21" t="s">
        <v>549</v>
      </c>
      <c r="I645" s="21" t="s">
        <v>550</v>
      </c>
      <c r="J645" s="25" t="s">
        <v>71</v>
      </c>
    </row>
    <row r="646" ht="15.75" customHeight="1">
      <c r="A646" s="25" t="s">
        <v>2043</v>
      </c>
      <c r="B646" s="25" t="s">
        <v>175</v>
      </c>
      <c r="C646" s="69">
        <v>45536.0</v>
      </c>
      <c r="D646" s="21" t="s">
        <v>176</v>
      </c>
      <c r="E646" s="25">
        <v>5.0</v>
      </c>
      <c r="F646" s="21">
        <v>49500.0</v>
      </c>
      <c r="G646" s="21">
        <f t="shared" si="1"/>
        <v>247500</v>
      </c>
      <c r="H646" s="21" t="s">
        <v>549</v>
      </c>
      <c r="I646" s="21" t="s">
        <v>550</v>
      </c>
      <c r="J646" s="25" t="s">
        <v>71</v>
      </c>
    </row>
    <row r="647" ht="15.75" customHeight="1">
      <c r="A647" s="25" t="s">
        <v>2044</v>
      </c>
      <c r="B647" s="25" t="s">
        <v>175</v>
      </c>
      <c r="C647" s="69">
        <v>45566.0</v>
      </c>
      <c r="D647" s="21" t="s">
        <v>176</v>
      </c>
      <c r="E647" s="25">
        <v>0.0</v>
      </c>
      <c r="F647" s="21">
        <v>49500.0</v>
      </c>
      <c r="G647" s="21">
        <f t="shared" si="1"/>
        <v>0</v>
      </c>
      <c r="H647" s="21" t="s">
        <v>549</v>
      </c>
      <c r="I647" s="21" t="s">
        <v>550</v>
      </c>
      <c r="J647" s="25" t="s">
        <v>71</v>
      </c>
    </row>
    <row r="648" ht="15.75" customHeight="1">
      <c r="A648" s="25" t="s">
        <v>2045</v>
      </c>
      <c r="B648" s="25" t="s">
        <v>175</v>
      </c>
      <c r="C648" s="69">
        <v>45597.0</v>
      </c>
      <c r="D648" s="21" t="s">
        <v>176</v>
      </c>
      <c r="E648" s="25">
        <v>3.0</v>
      </c>
      <c r="F648" s="21">
        <v>49500.0</v>
      </c>
      <c r="G648" s="21">
        <f t="shared" si="1"/>
        <v>148500</v>
      </c>
      <c r="H648" s="21" t="s">
        <v>549</v>
      </c>
      <c r="I648" s="21" t="s">
        <v>550</v>
      </c>
      <c r="J648" s="25" t="s">
        <v>71</v>
      </c>
    </row>
    <row r="649" ht="15.75" customHeight="1">
      <c r="A649" s="25" t="s">
        <v>2046</v>
      </c>
      <c r="B649" s="25" t="s">
        <v>175</v>
      </c>
      <c r="C649" s="69">
        <v>45627.0</v>
      </c>
      <c r="D649" s="21" t="s">
        <v>176</v>
      </c>
      <c r="E649" s="25">
        <v>0.0</v>
      </c>
      <c r="F649" s="21">
        <v>49500.0</v>
      </c>
      <c r="G649" s="21">
        <f t="shared" si="1"/>
        <v>0</v>
      </c>
      <c r="H649" s="21" t="s">
        <v>549</v>
      </c>
      <c r="I649" s="21" t="s">
        <v>550</v>
      </c>
      <c r="J649" s="25" t="s">
        <v>71</v>
      </c>
    </row>
    <row r="650" ht="15.75" customHeight="1">
      <c r="A650" s="25" t="s">
        <v>2047</v>
      </c>
      <c r="B650" s="25" t="s">
        <v>188</v>
      </c>
      <c r="C650" s="69">
        <v>45292.0</v>
      </c>
      <c r="D650" s="21" t="s">
        <v>189</v>
      </c>
      <c r="E650" s="25">
        <v>1.0</v>
      </c>
      <c r="F650" s="21">
        <v>49500.0</v>
      </c>
      <c r="G650" s="21">
        <f t="shared" si="1"/>
        <v>49500</v>
      </c>
      <c r="H650" s="21" t="s">
        <v>549</v>
      </c>
      <c r="I650" s="21" t="s">
        <v>550</v>
      </c>
      <c r="J650" s="25" t="s">
        <v>71</v>
      </c>
    </row>
    <row r="651" ht="15.75" customHeight="1">
      <c r="A651" s="25" t="s">
        <v>2048</v>
      </c>
      <c r="B651" s="25" t="s">
        <v>188</v>
      </c>
      <c r="C651" s="69">
        <v>45323.0</v>
      </c>
      <c r="D651" s="21" t="s">
        <v>189</v>
      </c>
      <c r="E651" s="25">
        <v>0.0</v>
      </c>
      <c r="F651" s="21">
        <v>49500.0</v>
      </c>
      <c r="G651" s="21">
        <f t="shared" si="1"/>
        <v>0</v>
      </c>
      <c r="H651" s="21" t="s">
        <v>549</v>
      </c>
      <c r="I651" s="21" t="s">
        <v>550</v>
      </c>
      <c r="J651" s="25" t="s">
        <v>71</v>
      </c>
    </row>
    <row r="652" ht="15.75" customHeight="1">
      <c r="A652" s="25" t="s">
        <v>2049</v>
      </c>
      <c r="B652" s="25" t="s">
        <v>188</v>
      </c>
      <c r="C652" s="69">
        <v>45352.0</v>
      </c>
      <c r="D652" s="21" t="s">
        <v>189</v>
      </c>
      <c r="E652" s="25">
        <v>1.0</v>
      </c>
      <c r="F652" s="21">
        <v>49500.0</v>
      </c>
      <c r="G652" s="21">
        <f t="shared" si="1"/>
        <v>49500</v>
      </c>
      <c r="H652" s="21" t="s">
        <v>549</v>
      </c>
      <c r="I652" s="21" t="s">
        <v>550</v>
      </c>
      <c r="J652" s="25" t="s">
        <v>71</v>
      </c>
    </row>
    <row r="653" ht="15.75" customHeight="1">
      <c r="A653" s="25" t="s">
        <v>2050</v>
      </c>
      <c r="B653" s="25" t="s">
        <v>188</v>
      </c>
      <c r="C653" s="69">
        <v>45383.0</v>
      </c>
      <c r="D653" s="21" t="s">
        <v>189</v>
      </c>
      <c r="E653" s="25">
        <v>0.0</v>
      </c>
      <c r="F653" s="21">
        <v>49500.0</v>
      </c>
      <c r="G653" s="21">
        <f t="shared" si="1"/>
        <v>0</v>
      </c>
      <c r="H653" s="21" t="s">
        <v>549</v>
      </c>
      <c r="I653" s="21" t="s">
        <v>550</v>
      </c>
      <c r="J653" s="25" t="s">
        <v>71</v>
      </c>
    </row>
    <row r="654" ht="15.75" customHeight="1">
      <c r="A654" s="25" t="s">
        <v>2051</v>
      </c>
      <c r="B654" s="25" t="s">
        <v>188</v>
      </c>
      <c r="C654" s="69">
        <v>45413.0</v>
      </c>
      <c r="D654" s="21" t="s">
        <v>189</v>
      </c>
      <c r="E654" s="25">
        <v>2.0</v>
      </c>
      <c r="F654" s="21">
        <v>49500.0</v>
      </c>
      <c r="G654" s="21">
        <f t="shared" si="1"/>
        <v>99000</v>
      </c>
      <c r="H654" s="21" t="s">
        <v>549</v>
      </c>
      <c r="I654" s="21" t="s">
        <v>550</v>
      </c>
      <c r="J654" s="25" t="s">
        <v>71</v>
      </c>
    </row>
    <row r="655" ht="15.75" customHeight="1">
      <c r="A655" s="25" t="s">
        <v>2052</v>
      </c>
      <c r="B655" s="25" t="s">
        <v>188</v>
      </c>
      <c r="C655" s="69">
        <v>45444.0</v>
      </c>
      <c r="D655" s="21" t="s">
        <v>189</v>
      </c>
      <c r="E655" s="25">
        <v>2.0</v>
      </c>
      <c r="F655" s="21">
        <v>49500.0</v>
      </c>
      <c r="G655" s="21">
        <f t="shared" si="1"/>
        <v>99000</v>
      </c>
      <c r="H655" s="21" t="s">
        <v>549</v>
      </c>
      <c r="I655" s="21" t="s">
        <v>550</v>
      </c>
      <c r="J655" s="25" t="s">
        <v>71</v>
      </c>
    </row>
    <row r="656" ht="15.75" customHeight="1">
      <c r="A656" s="25" t="s">
        <v>2053</v>
      </c>
      <c r="B656" s="25" t="s">
        <v>188</v>
      </c>
      <c r="C656" s="69">
        <v>45474.0</v>
      </c>
      <c r="D656" s="21" t="s">
        <v>189</v>
      </c>
      <c r="E656" s="25">
        <v>1.0</v>
      </c>
      <c r="F656" s="21">
        <v>49500.0</v>
      </c>
      <c r="G656" s="21">
        <f t="shared" si="1"/>
        <v>49500</v>
      </c>
      <c r="H656" s="21" t="s">
        <v>549</v>
      </c>
      <c r="I656" s="21" t="s">
        <v>550</v>
      </c>
      <c r="J656" s="25" t="s">
        <v>71</v>
      </c>
    </row>
    <row r="657" ht="15.75" customHeight="1">
      <c r="A657" s="25" t="s">
        <v>2054</v>
      </c>
      <c r="B657" s="25" t="s">
        <v>188</v>
      </c>
      <c r="C657" s="69">
        <v>45505.0</v>
      </c>
      <c r="D657" s="21" t="s">
        <v>189</v>
      </c>
      <c r="E657" s="25">
        <v>0.0</v>
      </c>
      <c r="F657" s="21">
        <v>49500.0</v>
      </c>
      <c r="G657" s="21">
        <f t="shared" si="1"/>
        <v>0</v>
      </c>
      <c r="H657" s="21" t="s">
        <v>549</v>
      </c>
      <c r="I657" s="21" t="s">
        <v>550</v>
      </c>
      <c r="J657" s="25" t="s">
        <v>71</v>
      </c>
    </row>
    <row r="658" ht="15.75" customHeight="1">
      <c r="A658" s="25" t="s">
        <v>2055</v>
      </c>
      <c r="B658" s="25" t="s">
        <v>188</v>
      </c>
      <c r="C658" s="69">
        <v>45536.0</v>
      </c>
      <c r="D658" s="21" t="s">
        <v>189</v>
      </c>
      <c r="E658" s="25">
        <v>3.0</v>
      </c>
      <c r="F658" s="21">
        <v>49500.0</v>
      </c>
      <c r="G658" s="21">
        <f t="shared" si="1"/>
        <v>148500</v>
      </c>
      <c r="H658" s="21" t="s">
        <v>549</v>
      </c>
      <c r="I658" s="21" t="s">
        <v>550</v>
      </c>
      <c r="J658" s="25" t="s">
        <v>71</v>
      </c>
    </row>
    <row r="659" ht="15.75" customHeight="1">
      <c r="A659" s="25" t="s">
        <v>2056</v>
      </c>
      <c r="B659" s="25" t="s">
        <v>188</v>
      </c>
      <c r="C659" s="69">
        <v>45566.0</v>
      </c>
      <c r="D659" s="21" t="s">
        <v>189</v>
      </c>
      <c r="E659" s="25">
        <v>1.0</v>
      </c>
      <c r="F659" s="21">
        <v>49500.0</v>
      </c>
      <c r="G659" s="21">
        <f t="shared" si="1"/>
        <v>49500</v>
      </c>
      <c r="H659" s="21" t="s">
        <v>549</v>
      </c>
      <c r="I659" s="21" t="s">
        <v>550</v>
      </c>
      <c r="J659" s="25" t="s">
        <v>71</v>
      </c>
    </row>
    <row r="660" ht="15.75" customHeight="1">
      <c r="A660" s="25" t="s">
        <v>2057</v>
      </c>
      <c r="B660" s="25" t="s">
        <v>188</v>
      </c>
      <c r="C660" s="69">
        <v>45597.0</v>
      </c>
      <c r="D660" s="21" t="s">
        <v>189</v>
      </c>
      <c r="E660" s="25">
        <v>0.0</v>
      </c>
      <c r="F660" s="21">
        <v>49500.0</v>
      </c>
      <c r="G660" s="21">
        <f t="shared" si="1"/>
        <v>0</v>
      </c>
      <c r="H660" s="21" t="s">
        <v>549</v>
      </c>
      <c r="I660" s="21" t="s">
        <v>550</v>
      </c>
      <c r="J660" s="25" t="s">
        <v>71</v>
      </c>
    </row>
    <row r="661" ht="15.75" customHeight="1">
      <c r="A661" s="25" t="s">
        <v>2058</v>
      </c>
      <c r="B661" s="25" t="s">
        <v>188</v>
      </c>
      <c r="C661" s="69">
        <v>45627.0</v>
      </c>
      <c r="D661" s="21" t="s">
        <v>189</v>
      </c>
      <c r="E661" s="25">
        <v>2.0</v>
      </c>
      <c r="F661" s="21">
        <v>49500.0</v>
      </c>
      <c r="G661" s="21">
        <f t="shared" si="1"/>
        <v>99000</v>
      </c>
      <c r="H661" s="21" t="s">
        <v>549</v>
      </c>
      <c r="I661" s="21" t="s">
        <v>550</v>
      </c>
      <c r="J661" s="25" t="s">
        <v>71</v>
      </c>
    </row>
    <row r="662" ht="15.75" customHeight="1">
      <c r="A662" s="25" t="s">
        <v>2059</v>
      </c>
      <c r="B662" s="25" t="s">
        <v>38</v>
      </c>
      <c r="C662" s="69">
        <v>45658.0</v>
      </c>
      <c r="D662" s="21" t="s">
        <v>41</v>
      </c>
      <c r="E662" s="25">
        <v>11.0</v>
      </c>
      <c r="F662" s="21">
        <v>45000.0</v>
      </c>
      <c r="G662" s="21">
        <f t="shared" si="1"/>
        <v>495000</v>
      </c>
      <c r="H662" s="21" t="s">
        <v>549</v>
      </c>
      <c r="I662" s="21" t="s">
        <v>550</v>
      </c>
      <c r="J662" s="25" t="s">
        <v>71</v>
      </c>
    </row>
    <row r="663" ht="15.75" customHeight="1">
      <c r="A663" s="25" t="s">
        <v>2060</v>
      </c>
      <c r="B663" s="25" t="s">
        <v>38</v>
      </c>
      <c r="C663" s="69">
        <v>45689.0</v>
      </c>
      <c r="D663" s="21" t="s">
        <v>41</v>
      </c>
      <c r="E663" s="25">
        <v>70.0</v>
      </c>
      <c r="F663" s="21">
        <v>45000.0</v>
      </c>
      <c r="G663" s="21">
        <f t="shared" si="1"/>
        <v>3150000</v>
      </c>
      <c r="H663" s="21" t="s">
        <v>549</v>
      </c>
      <c r="I663" s="21" t="s">
        <v>550</v>
      </c>
      <c r="J663" s="25" t="s">
        <v>71</v>
      </c>
    </row>
    <row r="664" ht="15.75" customHeight="1">
      <c r="A664" s="25" t="s">
        <v>2061</v>
      </c>
      <c r="B664" s="25" t="s">
        <v>38</v>
      </c>
      <c r="C664" s="69">
        <v>45717.0</v>
      </c>
      <c r="D664" s="21" t="s">
        <v>41</v>
      </c>
      <c r="E664" s="25">
        <v>24.0</v>
      </c>
      <c r="F664" s="21">
        <v>45000.0</v>
      </c>
      <c r="G664" s="21">
        <f t="shared" si="1"/>
        <v>1080000</v>
      </c>
      <c r="H664" s="21" t="s">
        <v>549</v>
      </c>
      <c r="I664" s="21" t="s">
        <v>550</v>
      </c>
      <c r="J664" s="25" t="s">
        <v>71</v>
      </c>
    </row>
    <row r="665" ht="15.75" customHeight="1">
      <c r="A665" s="25" t="s">
        <v>2062</v>
      </c>
      <c r="B665" s="25" t="s">
        <v>38</v>
      </c>
      <c r="C665" s="69">
        <v>45748.0</v>
      </c>
      <c r="D665" s="21" t="s">
        <v>41</v>
      </c>
      <c r="E665" s="25">
        <v>30.0</v>
      </c>
      <c r="F665" s="21">
        <v>45000.0</v>
      </c>
      <c r="G665" s="21">
        <f t="shared" si="1"/>
        <v>1350000</v>
      </c>
      <c r="H665" s="21" t="s">
        <v>549</v>
      </c>
      <c r="I665" s="21" t="s">
        <v>550</v>
      </c>
      <c r="J665" s="25" t="s">
        <v>71</v>
      </c>
    </row>
    <row r="666" ht="15.75" customHeight="1">
      <c r="A666" s="25" t="s">
        <v>2063</v>
      </c>
      <c r="B666" s="25" t="s">
        <v>38</v>
      </c>
      <c r="C666" s="69">
        <v>45778.0</v>
      </c>
      <c r="D666" s="21" t="s">
        <v>41</v>
      </c>
      <c r="E666" s="25">
        <v>55.0</v>
      </c>
      <c r="F666" s="21">
        <v>45000.0</v>
      </c>
      <c r="G666" s="21">
        <f t="shared" si="1"/>
        <v>2475000</v>
      </c>
      <c r="H666" s="21" t="s">
        <v>549</v>
      </c>
      <c r="I666" s="21" t="s">
        <v>550</v>
      </c>
      <c r="J666" s="25" t="s">
        <v>71</v>
      </c>
    </row>
    <row r="667" ht="15.75" customHeight="1">
      <c r="A667" s="25" t="s">
        <v>2064</v>
      </c>
      <c r="B667" s="25" t="s">
        <v>38</v>
      </c>
      <c r="C667" s="69">
        <v>45809.0</v>
      </c>
      <c r="D667" s="21" t="s">
        <v>41</v>
      </c>
      <c r="E667" s="25">
        <v>45.0</v>
      </c>
      <c r="F667" s="21">
        <v>45000.0</v>
      </c>
      <c r="G667" s="21">
        <f t="shared" si="1"/>
        <v>2025000</v>
      </c>
      <c r="H667" s="21" t="s">
        <v>549</v>
      </c>
      <c r="I667" s="21" t="s">
        <v>550</v>
      </c>
      <c r="J667" s="25" t="s">
        <v>71</v>
      </c>
    </row>
    <row r="668" ht="15.75" customHeight="1">
      <c r="A668" s="25" t="s">
        <v>2065</v>
      </c>
      <c r="B668" s="25" t="s">
        <v>38</v>
      </c>
      <c r="C668" s="69">
        <v>45839.0</v>
      </c>
      <c r="D668" s="21" t="s">
        <v>41</v>
      </c>
      <c r="E668" s="25">
        <v>100.0</v>
      </c>
      <c r="F668" s="21">
        <v>45000.0</v>
      </c>
      <c r="G668" s="21">
        <f t="shared" si="1"/>
        <v>4500000</v>
      </c>
      <c r="H668" s="21" t="s">
        <v>549</v>
      </c>
      <c r="I668" s="21" t="s">
        <v>550</v>
      </c>
      <c r="J668" s="25" t="s">
        <v>71</v>
      </c>
    </row>
    <row r="669" ht="15.75" customHeight="1">
      <c r="A669" s="25" t="s">
        <v>2066</v>
      </c>
      <c r="B669" s="25" t="s">
        <v>38</v>
      </c>
      <c r="C669" s="69">
        <v>45870.0</v>
      </c>
      <c r="D669" s="21" t="s">
        <v>41</v>
      </c>
      <c r="E669" s="25">
        <v>15.0</v>
      </c>
      <c r="F669" s="21">
        <v>45000.0</v>
      </c>
      <c r="G669" s="21">
        <f t="shared" si="1"/>
        <v>675000</v>
      </c>
      <c r="H669" s="21" t="s">
        <v>549</v>
      </c>
      <c r="I669" s="21" t="s">
        <v>550</v>
      </c>
      <c r="J669" s="25" t="s">
        <v>71</v>
      </c>
    </row>
    <row r="670" ht="15.75" customHeight="1">
      <c r="A670" s="25" t="s">
        <v>2067</v>
      </c>
      <c r="B670" s="25" t="s">
        <v>38</v>
      </c>
      <c r="C670" s="69">
        <v>45901.0</v>
      </c>
      <c r="D670" s="21" t="s">
        <v>41</v>
      </c>
      <c r="E670" s="25">
        <v>29.0</v>
      </c>
      <c r="F670" s="21">
        <v>45000.0</v>
      </c>
      <c r="G670" s="21">
        <f t="shared" si="1"/>
        <v>1305000</v>
      </c>
      <c r="H670" s="21" t="s">
        <v>549</v>
      </c>
      <c r="I670" s="21" t="s">
        <v>550</v>
      </c>
      <c r="J670" s="25" t="s">
        <v>71</v>
      </c>
    </row>
    <row r="671" ht="15.75" customHeight="1">
      <c r="A671" s="25" t="s">
        <v>2068</v>
      </c>
      <c r="B671" s="25" t="s">
        <v>38</v>
      </c>
      <c r="C671" s="69">
        <v>45931.0</v>
      </c>
      <c r="D671" s="21" t="s">
        <v>41</v>
      </c>
      <c r="E671" s="25">
        <v>50.0</v>
      </c>
      <c r="F671" s="21">
        <v>45000.0</v>
      </c>
      <c r="G671" s="21">
        <f t="shared" si="1"/>
        <v>2250000</v>
      </c>
      <c r="H671" s="21" t="s">
        <v>549</v>
      </c>
      <c r="I671" s="21" t="s">
        <v>550</v>
      </c>
      <c r="J671" s="25" t="s">
        <v>71</v>
      </c>
    </row>
    <row r="672" ht="15.75" customHeight="1">
      <c r="A672" s="25" t="s">
        <v>2069</v>
      </c>
      <c r="B672" s="25" t="s">
        <v>38</v>
      </c>
      <c r="C672" s="69">
        <v>45962.0</v>
      </c>
      <c r="D672" s="21" t="s">
        <v>41</v>
      </c>
      <c r="E672" s="25">
        <v>50.0</v>
      </c>
      <c r="F672" s="21">
        <v>45000.0</v>
      </c>
      <c r="G672" s="21">
        <f t="shared" si="1"/>
        <v>2250000</v>
      </c>
      <c r="H672" s="21" t="s">
        <v>549</v>
      </c>
      <c r="I672" s="21" t="s">
        <v>550</v>
      </c>
      <c r="J672" s="25" t="s">
        <v>71</v>
      </c>
    </row>
    <row r="673" ht="15.75" customHeight="1">
      <c r="A673" s="25" t="s">
        <v>2070</v>
      </c>
      <c r="B673" s="25" t="s">
        <v>38</v>
      </c>
      <c r="C673" s="69">
        <v>45992.0</v>
      </c>
      <c r="D673" s="21" t="s">
        <v>41</v>
      </c>
      <c r="E673" s="25">
        <v>54.0</v>
      </c>
      <c r="F673" s="21">
        <v>45000.0</v>
      </c>
      <c r="G673" s="21">
        <f t="shared" si="1"/>
        <v>2430000</v>
      </c>
      <c r="H673" s="21" t="s">
        <v>549</v>
      </c>
      <c r="I673" s="21" t="s">
        <v>550</v>
      </c>
      <c r="J673" s="25" t="s">
        <v>71</v>
      </c>
    </row>
    <row r="674" ht="15.75" customHeight="1">
      <c r="A674" s="25" t="s">
        <v>2071</v>
      </c>
      <c r="B674" s="25" t="s">
        <v>40</v>
      </c>
      <c r="C674" s="69">
        <v>45658.0</v>
      </c>
      <c r="D674" s="21" t="s">
        <v>42</v>
      </c>
      <c r="E674" s="25">
        <v>2.0</v>
      </c>
      <c r="F674" s="21">
        <v>45500.0</v>
      </c>
      <c r="G674" s="21">
        <f t="shared" si="1"/>
        <v>91000</v>
      </c>
      <c r="H674" s="21" t="s">
        <v>549</v>
      </c>
      <c r="I674" s="21" t="s">
        <v>550</v>
      </c>
      <c r="J674" s="25" t="s">
        <v>71</v>
      </c>
    </row>
    <row r="675" ht="15.75" customHeight="1">
      <c r="A675" s="25" t="s">
        <v>2072</v>
      </c>
      <c r="B675" s="25" t="s">
        <v>40</v>
      </c>
      <c r="C675" s="69">
        <v>45689.0</v>
      </c>
      <c r="D675" s="21" t="s">
        <v>42</v>
      </c>
      <c r="E675" s="25">
        <v>17.0</v>
      </c>
      <c r="F675" s="21">
        <v>45500.0</v>
      </c>
      <c r="G675" s="21">
        <f t="shared" si="1"/>
        <v>773500</v>
      </c>
      <c r="H675" s="21" t="s">
        <v>549</v>
      </c>
      <c r="I675" s="21" t="s">
        <v>550</v>
      </c>
      <c r="J675" s="25" t="s">
        <v>71</v>
      </c>
    </row>
    <row r="676" ht="15.75" customHeight="1">
      <c r="A676" s="25" t="s">
        <v>2073</v>
      </c>
      <c r="B676" s="25" t="s">
        <v>40</v>
      </c>
      <c r="C676" s="69">
        <v>45717.0</v>
      </c>
      <c r="D676" s="21" t="s">
        <v>42</v>
      </c>
      <c r="E676" s="25">
        <v>7.0</v>
      </c>
      <c r="F676" s="21">
        <v>45500.0</v>
      </c>
      <c r="G676" s="21">
        <f t="shared" si="1"/>
        <v>318500</v>
      </c>
      <c r="H676" s="21" t="s">
        <v>549</v>
      </c>
      <c r="I676" s="21" t="s">
        <v>550</v>
      </c>
      <c r="J676" s="25" t="s">
        <v>71</v>
      </c>
    </row>
    <row r="677" ht="15.75" customHeight="1">
      <c r="A677" s="25" t="s">
        <v>2074</v>
      </c>
      <c r="B677" s="25" t="s">
        <v>40</v>
      </c>
      <c r="C677" s="69">
        <v>45748.0</v>
      </c>
      <c r="D677" s="21" t="s">
        <v>42</v>
      </c>
      <c r="E677" s="25">
        <v>10.0</v>
      </c>
      <c r="F677" s="21">
        <v>45500.0</v>
      </c>
      <c r="G677" s="21">
        <f t="shared" si="1"/>
        <v>455000</v>
      </c>
      <c r="H677" s="21" t="s">
        <v>549</v>
      </c>
      <c r="I677" s="21" t="s">
        <v>550</v>
      </c>
      <c r="J677" s="25" t="s">
        <v>71</v>
      </c>
    </row>
    <row r="678" ht="15.75" customHeight="1">
      <c r="A678" s="25" t="s">
        <v>2075</v>
      </c>
      <c r="B678" s="25" t="s">
        <v>40</v>
      </c>
      <c r="C678" s="69">
        <v>45778.0</v>
      </c>
      <c r="D678" s="21" t="s">
        <v>42</v>
      </c>
      <c r="E678" s="25">
        <v>5.0</v>
      </c>
      <c r="F678" s="21">
        <v>45500.0</v>
      </c>
      <c r="G678" s="21">
        <f t="shared" si="1"/>
        <v>227500</v>
      </c>
      <c r="H678" s="21" t="s">
        <v>549</v>
      </c>
      <c r="I678" s="21" t="s">
        <v>550</v>
      </c>
      <c r="J678" s="25" t="s">
        <v>71</v>
      </c>
    </row>
    <row r="679" ht="15.75" customHeight="1">
      <c r="A679" s="25" t="s">
        <v>2076</v>
      </c>
      <c r="B679" s="25" t="s">
        <v>40</v>
      </c>
      <c r="C679" s="69">
        <v>45809.0</v>
      </c>
      <c r="D679" s="21" t="s">
        <v>42</v>
      </c>
      <c r="E679" s="25">
        <v>11.0</v>
      </c>
      <c r="F679" s="21">
        <v>45500.0</v>
      </c>
      <c r="G679" s="21">
        <f t="shared" si="1"/>
        <v>500500</v>
      </c>
      <c r="H679" s="21" t="s">
        <v>549</v>
      </c>
      <c r="I679" s="21" t="s">
        <v>550</v>
      </c>
      <c r="J679" s="25" t="s">
        <v>71</v>
      </c>
    </row>
    <row r="680" ht="15.75" customHeight="1">
      <c r="A680" s="25" t="s">
        <v>2077</v>
      </c>
      <c r="B680" s="25" t="s">
        <v>40</v>
      </c>
      <c r="C680" s="69">
        <v>45839.0</v>
      </c>
      <c r="D680" s="21" t="s">
        <v>42</v>
      </c>
      <c r="E680" s="25">
        <v>4.0</v>
      </c>
      <c r="F680" s="21">
        <v>45500.0</v>
      </c>
      <c r="G680" s="21">
        <f t="shared" si="1"/>
        <v>182000</v>
      </c>
      <c r="H680" s="21" t="s">
        <v>549</v>
      </c>
      <c r="I680" s="21" t="s">
        <v>550</v>
      </c>
      <c r="J680" s="25" t="s">
        <v>71</v>
      </c>
    </row>
    <row r="681" ht="15.75" customHeight="1">
      <c r="A681" s="25" t="s">
        <v>2078</v>
      </c>
      <c r="B681" s="25" t="s">
        <v>40</v>
      </c>
      <c r="C681" s="69">
        <v>45870.0</v>
      </c>
      <c r="D681" s="21" t="s">
        <v>42</v>
      </c>
      <c r="E681" s="25">
        <v>10.0</v>
      </c>
      <c r="F681" s="21">
        <v>45500.0</v>
      </c>
      <c r="G681" s="21">
        <f t="shared" si="1"/>
        <v>455000</v>
      </c>
      <c r="H681" s="21" t="s">
        <v>549</v>
      </c>
      <c r="I681" s="21" t="s">
        <v>550</v>
      </c>
      <c r="J681" s="25" t="s">
        <v>71</v>
      </c>
    </row>
    <row r="682" ht="15.75" customHeight="1">
      <c r="A682" s="25" t="s">
        <v>2079</v>
      </c>
      <c r="B682" s="25" t="s">
        <v>40</v>
      </c>
      <c r="C682" s="69">
        <v>45901.0</v>
      </c>
      <c r="D682" s="21" t="s">
        <v>42</v>
      </c>
      <c r="E682" s="25">
        <v>7.0</v>
      </c>
      <c r="F682" s="21">
        <v>45500.0</v>
      </c>
      <c r="G682" s="21">
        <f t="shared" si="1"/>
        <v>318500</v>
      </c>
      <c r="H682" s="21" t="s">
        <v>549</v>
      </c>
      <c r="I682" s="21" t="s">
        <v>550</v>
      </c>
      <c r="J682" s="25" t="s">
        <v>71</v>
      </c>
    </row>
    <row r="683" ht="15.75" customHeight="1">
      <c r="A683" s="25" t="s">
        <v>2080</v>
      </c>
      <c r="B683" s="25" t="s">
        <v>40</v>
      </c>
      <c r="C683" s="69">
        <v>45931.0</v>
      </c>
      <c r="D683" s="21" t="s">
        <v>42</v>
      </c>
      <c r="E683" s="25">
        <v>13.0</v>
      </c>
      <c r="F683" s="21">
        <v>45500.0</v>
      </c>
      <c r="G683" s="21">
        <f t="shared" si="1"/>
        <v>591500</v>
      </c>
      <c r="H683" s="21" t="s">
        <v>549</v>
      </c>
      <c r="I683" s="21" t="s">
        <v>550</v>
      </c>
      <c r="J683" s="25" t="s">
        <v>71</v>
      </c>
    </row>
    <row r="684" ht="15.75" customHeight="1">
      <c r="A684" s="25" t="s">
        <v>2081</v>
      </c>
      <c r="B684" s="25" t="s">
        <v>40</v>
      </c>
      <c r="C684" s="69">
        <v>45962.0</v>
      </c>
      <c r="D684" s="21" t="s">
        <v>42</v>
      </c>
      <c r="E684" s="25">
        <v>4.0</v>
      </c>
      <c r="F684" s="21">
        <v>45500.0</v>
      </c>
      <c r="G684" s="21">
        <f t="shared" si="1"/>
        <v>182000</v>
      </c>
      <c r="H684" s="21" t="s">
        <v>549</v>
      </c>
      <c r="I684" s="21" t="s">
        <v>550</v>
      </c>
      <c r="J684" s="25" t="s">
        <v>71</v>
      </c>
    </row>
    <row r="685" ht="15.75" customHeight="1">
      <c r="A685" s="25" t="s">
        <v>2082</v>
      </c>
      <c r="B685" s="25" t="s">
        <v>40</v>
      </c>
      <c r="C685" s="69">
        <v>45992.0</v>
      </c>
      <c r="D685" s="21" t="s">
        <v>42</v>
      </c>
      <c r="E685" s="25">
        <v>30.0</v>
      </c>
      <c r="F685" s="21">
        <v>45500.0</v>
      </c>
      <c r="G685" s="21">
        <f t="shared" si="1"/>
        <v>1365000</v>
      </c>
      <c r="H685" s="21" t="s">
        <v>549</v>
      </c>
      <c r="I685" s="21" t="s">
        <v>550</v>
      </c>
      <c r="J685" s="25" t="s">
        <v>71</v>
      </c>
    </row>
    <row r="686" ht="15.75" customHeight="1">
      <c r="A686" s="25" t="s">
        <v>2083</v>
      </c>
      <c r="B686" s="25" t="s">
        <v>82</v>
      </c>
      <c r="C686" s="69">
        <v>45658.0</v>
      </c>
      <c r="D686" s="21" t="s">
        <v>84</v>
      </c>
      <c r="E686" s="25">
        <v>4.0</v>
      </c>
      <c r="F686" s="21">
        <v>45000.0</v>
      </c>
      <c r="G686" s="21">
        <f t="shared" si="1"/>
        <v>180000</v>
      </c>
      <c r="H686" s="21" t="s">
        <v>549</v>
      </c>
      <c r="I686" s="21" t="s">
        <v>550</v>
      </c>
      <c r="J686" s="25" t="s">
        <v>71</v>
      </c>
    </row>
    <row r="687" ht="15.75" customHeight="1">
      <c r="A687" s="25" t="s">
        <v>2084</v>
      </c>
      <c r="B687" s="25" t="s">
        <v>82</v>
      </c>
      <c r="C687" s="69">
        <v>45689.0</v>
      </c>
      <c r="D687" s="21" t="s">
        <v>84</v>
      </c>
      <c r="E687" s="25">
        <v>39.0</v>
      </c>
      <c r="F687" s="21">
        <v>45000.0</v>
      </c>
      <c r="G687" s="21">
        <f t="shared" si="1"/>
        <v>1755000</v>
      </c>
      <c r="H687" s="21" t="s">
        <v>549</v>
      </c>
      <c r="I687" s="21" t="s">
        <v>550</v>
      </c>
      <c r="J687" s="25" t="s">
        <v>71</v>
      </c>
    </row>
    <row r="688" ht="15.75" customHeight="1">
      <c r="A688" s="25" t="s">
        <v>2085</v>
      </c>
      <c r="B688" s="25" t="s">
        <v>82</v>
      </c>
      <c r="C688" s="69">
        <v>45717.0</v>
      </c>
      <c r="D688" s="21" t="s">
        <v>84</v>
      </c>
      <c r="E688" s="25">
        <v>7.0</v>
      </c>
      <c r="F688" s="21">
        <v>45000.0</v>
      </c>
      <c r="G688" s="21">
        <f t="shared" si="1"/>
        <v>315000</v>
      </c>
      <c r="H688" s="21" t="s">
        <v>549</v>
      </c>
      <c r="I688" s="21" t="s">
        <v>550</v>
      </c>
      <c r="J688" s="25" t="s">
        <v>71</v>
      </c>
    </row>
    <row r="689" ht="15.75" customHeight="1">
      <c r="A689" s="25" t="s">
        <v>2086</v>
      </c>
      <c r="B689" s="25" t="s">
        <v>82</v>
      </c>
      <c r="C689" s="69">
        <v>45748.0</v>
      </c>
      <c r="D689" s="21" t="s">
        <v>84</v>
      </c>
      <c r="E689" s="25">
        <v>70.0</v>
      </c>
      <c r="F689" s="21">
        <v>45000.0</v>
      </c>
      <c r="G689" s="21">
        <f t="shared" si="1"/>
        <v>3150000</v>
      </c>
      <c r="H689" s="21" t="s">
        <v>549</v>
      </c>
      <c r="I689" s="21" t="s">
        <v>550</v>
      </c>
      <c r="J689" s="25" t="s">
        <v>71</v>
      </c>
    </row>
    <row r="690" ht="15.75" customHeight="1">
      <c r="A690" s="25" t="s">
        <v>2087</v>
      </c>
      <c r="B690" s="25" t="s">
        <v>82</v>
      </c>
      <c r="C690" s="69">
        <v>45778.0</v>
      </c>
      <c r="D690" s="21" t="s">
        <v>84</v>
      </c>
      <c r="E690" s="25">
        <v>48.0</v>
      </c>
      <c r="F690" s="21">
        <v>45000.0</v>
      </c>
      <c r="G690" s="21">
        <f t="shared" si="1"/>
        <v>2160000</v>
      </c>
      <c r="H690" s="21" t="s">
        <v>549</v>
      </c>
      <c r="I690" s="21" t="s">
        <v>550</v>
      </c>
      <c r="J690" s="25" t="s">
        <v>71</v>
      </c>
    </row>
    <row r="691" ht="15.75" customHeight="1">
      <c r="A691" s="25" t="s">
        <v>2088</v>
      </c>
      <c r="B691" s="25" t="s">
        <v>82</v>
      </c>
      <c r="C691" s="69">
        <v>45809.0</v>
      </c>
      <c r="D691" s="21" t="s">
        <v>84</v>
      </c>
      <c r="E691" s="25">
        <v>22.0</v>
      </c>
      <c r="F691" s="21">
        <v>45000.0</v>
      </c>
      <c r="G691" s="21">
        <f t="shared" si="1"/>
        <v>990000</v>
      </c>
      <c r="H691" s="21" t="s">
        <v>549</v>
      </c>
      <c r="I691" s="21" t="s">
        <v>550</v>
      </c>
      <c r="J691" s="25" t="s">
        <v>71</v>
      </c>
    </row>
    <row r="692" ht="15.75" customHeight="1">
      <c r="A692" s="25" t="s">
        <v>2089</v>
      </c>
      <c r="B692" s="25" t="s">
        <v>82</v>
      </c>
      <c r="C692" s="69">
        <v>45839.0</v>
      </c>
      <c r="D692" s="21" t="s">
        <v>84</v>
      </c>
      <c r="E692" s="25">
        <v>11.0</v>
      </c>
      <c r="F692" s="21">
        <v>45000.0</v>
      </c>
      <c r="G692" s="21">
        <f t="shared" si="1"/>
        <v>495000</v>
      </c>
      <c r="H692" s="21" t="s">
        <v>549</v>
      </c>
      <c r="I692" s="21" t="s">
        <v>550</v>
      </c>
      <c r="J692" s="25" t="s">
        <v>71</v>
      </c>
    </row>
    <row r="693" ht="15.75" customHeight="1">
      <c r="A693" s="25" t="s">
        <v>2090</v>
      </c>
      <c r="B693" s="25" t="s">
        <v>82</v>
      </c>
      <c r="C693" s="69">
        <v>45870.0</v>
      </c>
      <c r="D693" s="21" t="s">
        <v>84</v>
      </c>
      <c r="E693" s="25">
        <v>24.0</v>
      </c>
      <c r="F693" s="21">
        <v>45000.0</v>
      </c>
      <c r="G693" s="21">
        <f t="shared" si="1"/>
        <v>1080000</v>
      </c>
      <c r="H693" s="21" t="s">
        <v>549</v>
      </c>
      <c r="I693" s="21" t="s">
        <v>550</v>
      </c>
      <c r="J693" s="25" t="s">
        <v>71</v>
      </c>
    </row>
    <row r="694" ht="15.75" customHeight="1">
      <c r="A694" s="25" t="s">
        <v>2091</v>
      </c>
      <c r="B694" s="25" t="s">
        <v>82</v>
      </c>
      <c r="C694" s="69">
        <v>45901.0</v>
      </c>
      <c r="D694" s="21" t="s">
        <v>84</v>
      </c>
      <c r="E694" s="25">
        <v>21.0</v>
      </c>
      <c r="F694" s="21">
        <v>45000.0</v>
      </c>
      <c r="G694" s="21">
        <f t="shared" si="1"/>
        <v>945000</v>
      </c>
      <c r="H694" s="21" t="s">
        <v>549</v>
      </c>
      <c r="I694" s="21" t="s">
        <v>550</v>
      </c>
      <c r="J694" s="25" t="s">
        <v>71</v>
      </c>
    </row>
    <row r="695" ht="15.75" customHeight="1">
      <c r="A695" s="25" t="s">
        <v>2092</v>
      </c>
      <c r="B695" s="25" t="s">
        <v>82</v>
      </c>
      <c r="C695" s="69">
        <v>45931.0</v>
      </c>
      <c r="D695" s="21" t="s">
        <v>84</v>
      </c>
      <c r="E695" s="25">
        <v>45.0</v>
      </c>
      <c r="F695" s="21">
        <v>45000.0</v>
      </c>
      <c r="G695" s="21">
        <f t="shared" si="1"/>
        <v>2025000</v>
      </c>
      <c r="H695" s="21" t="s">
        <v>549</v>
      </c>
      <c r="I695" s="21" t="s">
        <v>550</v>
      </c>
      <c r="J695" s="25" t="s">
        <v>71</v>
      </c>
    </row>
    <row r="696" ht="15.75" customHeight="1">
      <c r="A696" s="25" t="s">
        <v>2093</v>
      </c>
      <c r="B696" s="25" t="s">
        <v>82</v>
      </c>
      <c r="C696" s="69">
        <v>45962.0</v>
      </c>
      <c r="D696" s="21" t="s">
        <v>84</v>
      </c>
      <c r="E696" s="25">
        <v>18.0</v>
      </c>
      <c r="F696" s="21">
        <v>45000.0</v>
      </c>
      <c r="G696" s="21">
        <f t="shared" si="1"/>
        <v>810000</v>
      </c>
      <c r="H696" s="21" t="s">
        <v>549</v>
      </c>
      <c r="I696" s="21" t="s">
        <v>550</v>
      </c>
      <c r="J696" s="25" t="s">
        <v>71</v>
      </c>
    </row>
    <row r="697" ht="15.75" customHeight="1">
      <c r="A697" s="25" t="s">
        <v>2094</v>
      </c>
      <c r="B697" s="25" t="s">
        <v>82</v>
      </c>
      <c r="C697" s="69">
        <v>45992.0</v>
      </c>
      <c r="D697" s="21" t="s">
        <v>84</v>
      </c>
      <c r="E697" s="25">
        <v>21.0</v>
      </c>
      <c r="F697" s="21">
        <v>45000.0</v>
      </c>
      <c r="G697" s="21">
        <f t="shared" si="1"/>
        <v>945000</v>
      </c>
      <c r="H697" s="21" t="s">
        <v>549</v>
      </c>
      <c r="I697" s="21" t="s">
        <v>550</v>
      </c>
      <c r="J697" s="25" t="s">
        <v>71</v>
      </c>
    </row>
    <row r="698" ht="15.75" customHeight="1">
      <c r="A698" s="25" t="s">
        <v>2095</v>
      </c>
      <c r="B698" s="25" t="s">
        <v>97</v>
      </c>
      <c r="C698" s="69">
        <v>45658.0</v>
      </c>
      <c r="D698" s="21" t="s">
        <v>99</v>
      </c>
      <c r="E698" s="25">
        <v>3.0</v>
      </c>
      <c r="F698" s="21">
        <v>36000.0</v>
      </c>
      <c r="G698" s="21">
        <f t="shared" si="1"/>
        <v>108000</v>
      </c>
      <c r="H698" s="21" t="s">
        <v>424</v>
      </c>
      <c r="I698" s="21" t="s">
        <v>550</v>
      </c>
      <c r="J698" s="25" t="s">
        <v>71</v>
      </c>
    </row>
    <row r="699" ht="15.75" customHeight="1">
      <c r="A699" s="25" t="s">
        <v>2096</v>
      </c>
      <c r="B699" s="25" t="s">
        <v>97</v>
      </c>
      <c r="C699" s="69">
        <v>45689.0</v>
      </c>
      <c r="D699" s="21" t="s">
        <v>99</v>
      </c>
      <c r="E699" s="25">
        <v>2.0</v>
      </c>
      <c r="F699" s="21">
        <v>36000.0</v>
      </c>
      <c r="G699" s="21">
        <f t="shared" si="1"/>
        <v>72000</v>
      </c>
      <c r="H699" s="21" t="s">
        <v>424</v>
      </c>
      <c r="I699" s="21" t="s">
        <v>550</v>
      </c>
      <c r="J699" s="25" t="s">
        <v>71</v>
      </c>
    </row>
    <row r="700" ht="15.75" customHeight="1">
      <c r="A700" s="25" t="s">
        <v>2097</v>
      </c>
      <c r="B700" s="25" t="s">
        <v>97</v>
      </c>
      <c r="C700" s="69">
        <v>45717.0</v>
      </c>
      <c r="D700" s="21" t="s">
        <v>99</v>
      </c>
      <c r="E700" s="25">
        <v>2.0</v>
      </c>
      <c r="F700" s="21">
        <v>36000.0</v>
      </c>
      <c r="G700" s="21">
        <f t="shared" si="1"/>
        <v>72000</v>
      </c>
      <c r="H700" s="21" t="s">
        <v>424</v>
      </c>
      <c r="I700" s="21" t="s">
        <v>550</v>
      </c>
      <c r="J700" s="25" t="s">
        <v>71</v>
      </c>
    </row>
    <row r="701" ht="15.75" customHeight="1">
      <c r="A701" s="25" t="s">
        <v>2098</v>
      </c>
      <c r="B701" s="25" t="s">
        <v>97</v>
      </c>
      <c r="C701" s="69">
        <v>45748.0</v>
      </c>
      <c r="D701" s="21" t="s">
        <v>99</v>
      </c>
      <c r="E701" s="25">
        <v>0.0</v>
      </c>
      <c r="F701" s="21">
        <v>36000.0</v>
      </c>
      <c r="G701" s="21">
        <f t="shared" si="1"/>
        <v>0</v>
      </c>
      <c r="H701" s="21" t="s">
        <v>424</v>
      </c>
      <c r="I701" s="21" t="s">
        <v>550</v>
      </c>
      <c r="J701" s="25" t="s">
        <v>71</v>
      </c>
    </row>
    <row r="702" ht="15.75" customHeight="1">
      <c r="A702" s="25" t="s">
        <v>2099</v>
      </c>
      <c r="B702" s="25" t="s">
        <v>97</v>
      </c>
      <c r="C702" s="69">
        <v>45778.0</v>
      </c>
      <c r="D702" s="21" t="s">
        <v>99</v>
      </c>
      <c r="E702" s="25">
        <v>1.0</v>
      </c>
      <c r="F702" s="21">
        <v>36000.0</v>
      </c>
      <c r="G702" s="21">
        <f t="shared" si="1"/>
        <v>36000</v>
      </c>
      <c r="H702" s="21" t="s">
        <v>424</v>
      </c>
      <c r="I702" s="21" t="s">
        <v>550</v>
      </c>
      <c r="J702" s="25" t="s">
        <v>71</v>
      </c>
    </row>
    <row r="703" ht="15.75" customHeight="1">
      <c r="A703" s="25" t="s">
        <v>2100</v>
      </c>
      <c r="B703" s="25" t="s">
        <v>97</v>
      </c>
      <c r="C703" s="69">
        <v>45809.0</v>
      </c>
      <c r="D703" s="21" t="s">
        <v>99</v>
      </c>
      <c r="E703" s="25">
        <v>2.0</v>
      </c>
      <c r="F703" s="21">
        <v>36000.0</v>
      </c>
      <c r="G703" s="21">
        <f t="shared" si="1"/>
        <v>72000</v>
      </c>
      <c r="H703" s="21" t="s">
        <v>424</v>
      </c>
      <c r="I703" s="21" t="s">
        <v>550</v>
      </c>
      <c r="J703" s="25" t="s">
        <v>71</v>
      </c>
    </row>
    <row r="704" ht="15.75" customHeight="1">
      <c r="A704" s="25" t="s">
        <v>2101</v>
      </c>
      <c r="B704" s="25" t="s">
        <v>97</v>
      </c>
      <c r="C704" s="69">
        <v>45839.0</v>
      </c>
      <c r="D704" s="21" t="s">
        <v>99</v>
      </c>
      <c r="E704" s="25">
        <v>1.0</v>
      </c>
      <c r="F704" s="21">
        <v>36000.0</v>
      </c>
      <c r="G704" s="21">
        <f t="shared" si="1"/>
        <v>36000</v>
      </c>
      <c r="H704" s="21" t="s">
        <v>424</v>
      </c>
      <c r="I704" s="21" t="s">
        <v>550</v>
      </c>
      <c r="J704" s="25" t="s">
        <v>71</v>
      </c>
    </row>
    <row r="705" ht="15.75" customHeight="1">
      <c r="A705" s="25" t="s">
        <v>2102</v>
      </c>
      <c r="B705" s="25" t="s">
        <v>97</v>
      </c>
      <c r="C705" s="69">
        <v>45870.0</v>
      </c>
      <c r="D705" s="21" t="s">
        <v>99</v>
      </c>
      <c r="E705" s="25">
        <v>0.0</v>
      </c>
      <c r="F705" s="21">
        <v>36000.0</v>
      </c>
      <c r="G705" s="21">
        <f t="shared" si="1"/>
        <v>0</v>
      </c>
      <c r="H705" s="21" t="s">
        <v>424</v>
      </c>
      <c r="I705" s="21" t="s">
        <v>550</v>
      </c>
      <c r="J705" s="25" t="s">
        <v>71</v>
      </c>
    </row>
    <row r="706" ht="15.75" customHeight="1">
      <c r="A706" s="25" t="s">
        <v>2103</v>
      </c>
      <c r="B706" s="25" t="s">
        <v>97</v>
      </c>
      <c r="C706" s="69">
        <v>45901.0</v>
      </c>
      <c r="D706" s="21" t="s">
        <v>99</v>
      </c>
      <c r="E706" s="25">
        <v>2.0</v>
      </c>
      <c r="F706" s="21">
        <v>36000.0</v>
      </c>
      <c r="G706" s="21">
        <f t="shared" si="1"/>
        <v>72000</v>
      </c>
      <c r="H706" s="21" t="s">
        <v>424</v>
      </c>
      <c r="I706" s="21" t="s">
        <v>550</v>
      </c>
      <c r="J706" s="25" t="s">
        <v>71</v>
      </c>
    </row>
    <row r="707" ht="15.75" customHeight="1">
      <c r="A707" s="25" t="s">
        <v>2104</v>
      </c>
      <c r="B707" s="25" t="s">
        <v>97</v>
      </c>
      <c r="C707" s="69">
        <v>45931.0</v>
      </c>
      <c r="D707" s="21" t="s">
        <v>99</v>
      </c>
      <c r="E707" s="25">
        <v>2.0</v>
      </c>
      <c r="F707" s="21">
        <v>36000.0</v>
      </c>
      <c r="G707" s="21">
        <f t="shared" si="1"/>
        <v>72000</v>
      </c>
      <c r="H707" s="21" t="s">
        <v>424</v>
      </c>
      <c r="I707" s="21" t="s">
        <v>550</v>
      </c>
      <c r="J707" s="25" t="s">
        <v>71</v>
      </c>
    </row>
    <row r="708" ht="15.75" customHeight="1">
      <c r="A708" s="25" t="s">
        <v>2105</v>
      </c>
      <c r="B708" s="25" t="s">
        <v>97</v>
      </c>
      <c r="C708" s="69">
        <v>45962.0</v>
      </c>
      <c r="D708" s="21" t="s">
        <v>99</v>
      </c>
      <c r="E708" s="25">
        <v>2.0</v>
      </c>
      <c r="F708" s="21">
        <v>36000.0</v>
      </c>
      <c r="G708" s="21">
        <f t="shared" si="1"/>
        <v>72000</v>
      </c>
      <c r="H708" s="21" t="s">
        <v>424</v>
      </c>
      <c r="I708" s="21" t="s">
        <v>550</v>
      </c>
      <c r="J708" s="25" t="s">
        <v>71</v>
      </c>
    </row>
    <row r="709" ht="15.75" customHeight="1">
      <c r="A709" s="25" t="s">
        <v>2106</v>
      </c>
      <c r="B709" s="25" t="s">
        <v>97</v>
      </c>
      <c r="C709" s="69">
        <v>45992.0</v>
      </c>
      <c r="D709" s="21" t="s">
        <v>99</v>
      </c>
      <c r="E709" s="25">
        <v>1.0</v>
      </c>
      <c r="F709" s="21">
        <v>36000.0</v>
      </c>
      <c r="G709" s="21">
        <f t="shared" si="1"/>
        <v>36000</v>
      </c>
      <c r="H709" s="21" t="s">
        <v>424</v>
      </c>
      <c r="I709" s="21" t="s">
        <v>550</v>
      </c>
      <c r="J709" s="25" t="s">
        <v>71</v>
      </c>
    </row>
    <row r="710" ht="15.75" customHeight="1">
      <c r="A710" s="25" t="s">
        <v>2107</v>
      </c>
      <c r="B710" s="25" t="s">
        <v>110</v>
      </c>
      <c r="C710" s="69">
        <v>45658.0</v>
      </c>
      <c r="D710" s="21" t="s">
        <v>112</v>
      </c>
      <c r="E710" s="25">
        <v>5.0</v>
      </c>
      <c r="F710" s="21">
        <v>30000.0</v>
      </c>
      <c r="G710" s="21">
        <f t="shared" si="1"/>
        <v>150000</v>
      </c>
      <c r="H710" s="21" t="s">
        <v>758</v>
      </c>
      <c r="I710" s="21" t="s">
        <v>550</v>
      </c>
      <c r="J710" s="25" t="s">
        <v>71</v>
      </c>
    </row>
    <row r="711" ht="15.75" customHeight="1">
      <c r="A711" s="25" t="s">
        <v>2109</v>
      </c>
      <c r="B711" s="25" t="s">
        <v>110</v>
      </c>
      <c r="C711" s="69">
        <v>45689.0</v>
      </c>
      <c r="D711" s="21" t="s">
        <v>112</v>
      </c>
      <c r="E711" s="25">
        <v>17.0</v>
      </c>
      <c r="F711" s="21">
        <v>30000.0</v>
      </c>
      <c r="G711" s="21">
        <f t="shared" si="1"/>
        <v>510000</v>
      </c>
      <c r="H711" s="21" t="s">
        <v>758</v>
      </c>
      <c r="I711" s="21" t="s">
        <v>550</v>
      </c>
      <c r="J711" s="25" t="s">
        <v>71</v>
      </c>
    </row>
    <row r="712" ht="15.75" customHeight="1">
      <c r="A712" s="25" t="s">
        <v>2110</v>
      </c>
      <c r="B712" s="25" t="s">
        <v>110</v>
      </c>
      <c r="C712" s="69">
        <v>45717.0</v>
      </c>
      <c r="D712" s="21" t="s">
        <v>112</v>
      </c>
      <c r="E712" s="25">
        <v>1.0</v>
      </c>
      <c r="F712" s="21">
        <v>30000.0</v>
      </c>
      <c r="G712" s="21">
        <f t="shared" si="1"/>
        <v>30000</v>
      </c>
      <c r="H712" s="21" t="s">
        <v>758</v>
      </c>
      <c r="I712" s="21" t="s">
        <v>550</v>
      </c>
      <c r="J712" s="25" t="s">
        <v>71</v>
      </c>
    </row>
    <row r="713" ht="15.75" customHeight="1">
      <c r="A713" s="25" t="s">
        <v>2111</v>
      </c>
      <c r="B713" s="25" t="s">
        <v>110</v>
      </c>
      <c r="C713" s="69">
        <v>45748.0</v>
      </c>
      <c r="D713" s="21" t="s">
        <v>112</v>
      </c>
      <c r="E713" s="25">
        <v>0.0</v>
      </c>
      <c r="F713" s="21">
        <v>30000.0</v>
      </c>
      <c r="G713" s="21">
        <f t="shared" si="1"/>
        <v>0</v>
      </c>
      <c r="H713" s="21" t="s">
        <v>758</v>
      </c>
      <c r="I713" s="21" t="s">
        <v>550</v>
      </c>
      <c r="J713" s="25" t="s">
        <v>71</v>
      </c>
    </row>
    <row r="714" ht="15.75" customHeight="1">
      <c r="A714" s="25" t="s">
        <v>2112</v>
      </c>
      <c r="B714" s="25" t="s">
        <v>110</v>
      </c>
      <c r="C714" s="69">
        <v>45778.0</v>
      </c>
      <c r="D714" s="21" t="s">
        <v>112</v>
      </c>
      <c r="E714" s="25">
        <v>4.0</v>
      </c>
      <c r="F714" s="21">
        <v>30000.0</v>
      </c>
      <c r="G714" s="21">
        <f t="shared" si="1"/>
        <v>120000</v>
      </c>
      <c r="H714" s="21" t="s">
        <v>758</v>
      </c>
      <c r="I714" s="21" t="s">
        <v>550</v>
      </c>
      <c r="J714" s="25" t="s">
        <v>71</v>
      </c>
    </row>
    <row r="715" ht="15.75" customHeight="1">
      <c r="A715" s="25" t="s">
        <v>2113</v>
      </c>
      <c r="B715" s="25" t="s">
        <v>110</v>
      </c>
      <c r="C715" s="69">
        <v>45809.0</v>
      </c>
      <c r="D715" s="21" t="s">
        <v>112</v>
      </c>
      <c r="E715" s="25">
        <v>3.0</v>
      </c>
      <c r="F715" s="21">
        <v>30000.0</v>
      </c>
      <c r="G715" s="21">
        <f t="shared" si="1"/>
        <v>90000</v>
      </c>
      <c r="H715" s="21" t="s">
        <v>758</v>
      </c>
      <c r="I715" s="21" t="s">
        <v>550</v>
      </c>
      <c r="J715" s="25" t="s">
        <v>71</v>
      </c>
    </row>
    <row r="716" ht="15.75" customHeight="1">
      <c r="A716" s="25" t="s">
        <v>2114</v>
      </c>
      <c r="B716" s="25" t="s">
        <v>110</v>
      </c>
      <c r="C716" s="69">
        <v>45839.0</v>
      </c>
      <c r="D716" s="21" t="s">
        <v>112</v>
      </c>
      <c r="E716" s="25">
        <v>6.0</v>
      </c>
      <c r="F716" s="21">
        <v>30000.0</v>
      </c>
      <c r="G716" s="21">
        <f t="shared" si="1"/>
        <v>180000</v>
      </c>
      <c r="H716" s="21" t="s">
        <v>758</v>
      </c>
      <c r="I716" s="21" t="s">
        <v>550</v>
      </c>
      <c r="J716" s="25" t="s">
        <v>71</v>
      </c>
    </row>
    <row r="717" ht="15.75" customHeight="1">
      <c r="A717" s="25" t="s">
        <v>2115</v>
      </c>
      <c r="B717" s="25" t="s">
        <v>110</v>
      </c>
      <c r="C717" s="69">
        <v>45870.0</v>
      </c>
      <c r="D717" s="21" t="s">
        <v>112</v>
      </c>
      <c r="E717" s="25">
        <v>0.0</v>
      </c>
      <c r="F717" s="21">
        <v>30000.0</v>
      </c>
      <c r="G717" s="21">
        <f t="shared" si="1"/>
        <v>0</v>
      </c>
      <c r="H717" s="21" t="s">
        <v>758</v>
      </c>
      <c r="I717" s="21" t="s">
        <v>550</v>
      </c>
      <c r="J717" s="25" t="s">
        <v>71</v>
      </c>
    </row>
    <row r="718" ht="15.75" customHeight="1">
      <c r="A718" s="25" t="s">
        <v>2117</v>
      </c>
      <c r="B718" s="25" t="s">
        <v>110</v>
      </c>
      <c r="C718" s="69">
        <v>45901.0</v>
      </c>
      <c r="D718" s="21" t="s">
        <v>112</v>
      </c>
      <c r="E718" s="25">
        <v>8.0</v>
      </c>
      <c r="F718" s="21">
        <v>30000.0</v>
      </c>
      <c r="G718" s="21">
        <f t="shared" si="1"/>
        <v>240000</v>
      </c>
      <c r="H718" s="21" t="s">
        <v>758</v>
      </c>
      <c r="I718" s="21" t="s">
        <v>550</v>
      </c>
      <c r="J718" s="25" t="s">
        <v>71</v>
      </c>
    </row>
    <row r="719" ht="15.75" customHeight="1">
      <c r="A719" s="25" t="s">
        <v>2118</v>
      </c>
      <c r="B719" s="25" t="s">
        <v>110</v>
      </c>
      <c r="C719" s="69">
        <v>45931.0</v>
      </c>
      <c r="D719" s="21" t="s">
        <v>112</v>
      </c>
      <c r="E719" s="25">
        <v>3.0</v>
      </c>
      <c r="F719" s="21">
        <v>30000.0</v>
      </c>
      <c r="G719" s="21">
        <f t="shared" si="1"/>
        <v>90000</v>
      </c>
      <c r="H719" s="21" t="s">
        <v>758</v>
      </c>
      <c r="I719" s="21" t="s">
        <v>550</v>
      </c>
      <c r="J719" s="25" t="s">
        <v>71</v>
      </c>
    </row>
    <row r="720" ht="15.75" customHeight="1">
      <c r="A720" s="25" t="s">
        <v>2119</v>
      </c>
      <c r="B720" s="25" t="s">
        <v>110</v>
      </c>
      <c r="C720" s="69">
        <v>45962.0</v>
      </c>
      <c r="D720" s="21" t="s">
        <v>112</v>
      </c>
      <c r="E720" s="25">
        <v>2.0</v>
      </c>
      <c r="F720" s="21">
        <v>30000.0</v>
      </c>
      <c r="G720" s="21">
        <f t="shared" si="1"/>
        <v>60000</v>
      </c>
      <c r="H720" s="21" t="s">
        <v>758</v>
      </c>
      <c r="I720" s="21" t="s">
        <v>550</v>
      </c>
      <c r="J720" s="25" t="s">
        <v>71</v>
      </c>
    </row>
    <row r="721" ht="15.75" customHeight="1">
      <c r="A721" s="25" t="s">
        <v>2120</v>
      </c>
      <c r="B721" s="25" t="s">
        <v>110</v>
      </c>
      <c r="C721" s="69">
        <v>45992.0</v>
      </c>
      <c r="D721" s="21" t="s">
        <v>112</v>
      </c>
      <c r="E721" s="25">
        <v>5.0</v>
      </c>
      <c r="F721" s="21">
        <v>30000.0</v>
      </c>
      <c r="G721" s="21">
        <f t="shared" si="1"/>
        <v>150000</v>
      </c>
      <c r="H721" s="21" t="s">
        <v>758</v>
      </c>
      <c r="I721" s="21" t="s">
        <v>550</v>
      </c>
      <c r="J721" s="25" t="s">
        <v>71</v>
      </c>
    </row>
    <row r="722" ht="15.75" customHeight="1">
      <c r="A722" s="25" t="s">
        <v>2121</v>
      </c>
      <c r="B722" s="25" t="s">
        <v>124</v>
      </c>
      <c r="C722" s="69">
        <v>45658.0</v>
      </c>
      <c r="D722" s="21" t="s">
        <v>125</v>
      </c>
      <c r="E722" s="25">
        <v>1.0</v>
      </c>
      <c r="F722" s="21">
        <v>49500.0</v>
      </c>
      <c r="G722" s="21">
        <f t="shared" si="1"/>
        <v>49500</v>
      </c>
      <c r="H722" s="21" t="s">
        <v>549</v>
      </c>
      <c r="I722" s="21" t="s">
        <v>550</v>
      </c>
      <c r="J722" s="25" t="s">
        <v>71</v>
      </c>
    </row>
    <row r="723" ht="15.75" customHeight="1">
      <c r="A723" s="25" t="s">
        <v>2122</v>
      </c>
      <c r="B723" s="25" t="s">
        <v>124</v>
      </c>
      <c r="C723" s="69">
        <v>45689.0</v>
      </c>
      <c r="D723" s="21" t="s">
        <v>125</v>
      </c>
      <c r="E723" s="25">
        <v>2.0</v>
      </c>
      <c r="F723" s="21">
        <v>49500.0</v>
      </c>
      <c r="G723" s="21">
        <f t="shared" si="1"/>
        <v>99000</v>
      </c>
      <c r="H723" s="21" t="s">
        <v>549</v>
      </c>
      <c r="I723" s="21" t="s">
        <v>550</v>
      </c>
      <c r="J723" s="25" t="s">
        <v>71</v>
      </c>
    </row>
    <row r="724" ht="15.75" customHeight="1">
      <c r="A724" s="25" t="s">
        <v>2123</v>
      </c>
      <c r="B724" s="25" t="s">
        <v>124</v>
      </c>
      <c r="C724" s="69">
        <v>45717.0</v>
      </c>
      <c r="D724" s="21" t="s">
        <v>125</v>
      </c>
      <c r="E724" s="25">
        <v>0.0</v>
      </c>
      <c r="F724" s="21">
        <v>49500.0</v>
      </c>
      <c r="G724" s="21">
        <f t="shared" si="1"/>
        <v>0</v>
      </c>
      <c r="H724" s="21" t="s">
        <v>549</v>
      </c>
      <c r="I724" s="21" t="s">
        <v>550</v>
      </c>
      <c r="J724" s="25" t="s">
        <v>71</v>
      </c>
    </row>
    <row r="725" ht="15.75" customHeight="1">
      <c r="A725" s="25" t="s">
        <v>2124</v>
      </c>
      <c r="B725" s="25" t="s">
        <v>124</v>
      </c>
      <c r="C725" s="69">
        <v>45748.0</v>
      </c>
      <c r="D725" s="21" t="s">
        <v>125</v>
      </c>
      <c r="E725" s="25">
        <v>1.0</v>
      </c>
      <c r="F725" s="21">
        <v>49500.0</v>
      </c>
      <c r="G725" s="21">
        <f t="shared" si="1"/>
        <v>49500</v>
      </c>
      <c r="H725" s="21" t="s">
        <v>549</v>
      </c>
      <c r="I725" s="21" t="s">
        <v>550</v>
      </c>
      <c r="J725" s="25" t="s">
        <v>71</v>
      </c>
    </row>
    <row r="726" ht="15.75" customHeight="1">
      <c r="A726" s="25" t="s">
        <v>2125</v>
      </c>
      <c r="B726" s="25" t="s">
        <v>124</v>
      </c>
      <c r="C726" s="69">
        <v>45778.0</v>
      </c>
      <c r="D726" s="21" t="s">
        <v>125</v>
      </c>
      <c r="E726" s="25">
        <v>1.0</v>
      </c>
      <c r="F726" s="21">
        <v>49500.0</v>
      </c>
      <c r="G726" s="21">
        <f t="shared" si="1"/>
        <v>49500</v>
      </c>
      <c r="H726" s="21" t="s">
        <v>549</v>
      </c>
      <c r="I726" s="21" t="s">
        <v>550</v>
      </c>
      <c r="J726" s="25" t="s">
        <v>71</v>
      </c>
    </row>
    <row r="727" ht="15.75" customHeight="1">
      <c r="A727" s="25" t="s">
        <v>2126</v>
      </c>
      <c r="B727" s="25" t="s">
        <v>124</v>
      </c>
      <c r="C727" s="69">
        <v>45809.0</v>
      </c>
      <c r="D727" s="21" t="s">
        <v>125</v>
      </c>
      <c r="E727" s="25">
        <v>5.0</v>
      </c>
      <c r="F727" s="21">
        <v>49500.0</v>
      </c>
      <c r="G727" s="21">
        <f t="shared" si="1"/>
        <v>247500</v>
      </c>
      <c r="H727" s="21" t="s">
        <v>549</v>
      </c>
      <c r="I727" s="21" t="s">
        <v>550</v>
      </c>
      <c r="J727" s="25" t="s">
        <v>71</v>
      </c>
    </row>
    <row r="728" ht="15.75" customHeight="1">
      <c r="A728" s="25" t="s">
        <v>2127</v>
      </c>
      <c r="B728" s="25" t="s">
        <v>124</v>
      </c>
      <c r="C728" s="69">
        <v>45839.0</v>
      </c>
      <c r="D728" s="21" t="s">
        <v>125</v>
      </c>
      <c r="E728" s="25">
        <v>8.0</v>
      </c>
      <c r="F728" s="21">
        <v>49500.0</v>
      </c>
      <c r="G728" s="21">
        <f t="shared" si="1"/>
        <v>396000</v>
      </c>
      <c r="H728" s="21" t="s">
        <v>549</v>
      </c>
      <c r="I728" s="21" t="s">
        <v>550</v>
      </c>
      <c r="J728" s="25" t="s">
        <v>71</v>
      </c>
    </row>
    <row r="729" ht="15.75" customHeight="1">
      <c r="A729" s="25" t="s">
        <v>2128</v>
      </c>
      <c r="B729" s="25" t="s">
        <v>124</v>
      </c>
      <c r="C729" s="69">
        <v>45870.0</v>
      </c>
      <c r="D729" s="21" t="s">
        <v>125</v>
      </c>
      <c r="E729" s="25">
        <v>2.0</v>
      </c>
      <c r="F729" s="21">
        <v>49500.0</v>
      </c>
      <c r="G729" s="21">
        <f t="shared" si="1"/>
        <v>99000</v>
      </c>
      <c r="H729" s="21" t="s">
        <v>549</v>
      </c>
      <c r="I729" s="21" t="s">
        <v>550</v>
      </c>
      <c r="J729" s="25" t="s">
        <v>71</v>
      </c>
    </row>
    <row r="730" ht="15.75" customHeight="1">
      <c r="A730" s="25" t="s">
        <v>2129</v>
      </c>
      <c r="B730" s="25" t="s">
        <v>124</v>
      </c>
      <c r="C730" s="69">
        <v>45901.0</v>
      </c>
      <c r="D730" s="21" t="s">
        <v>125</v>
      </c>
      <c r="E730" s="25">
        <v>0.0</v>
      </c>
      <c r="F730" s="21">
        <v>49500.0</v>
      </c>
      <c r="G730" s="21">
        <f t="shared" si="1"/>
        <v>0</v>
      </c>
      <c r="H730" s="21" t="s">
        <v>549</v>
      </c>
      <c r="I730" s="21" t="s">
        <v>550</v>
      </c>
      <c r="J730" s="25" t="s">
        <v>71</v>
      </c>
    </row>
    <row r="731" ht="15.75" customHeight="1">
      <c r="A731" s="25" t="s">
        <v>2130</v>
      </c>
      <c r="B731" s="25" t="s">
        <v>124</v>
      </c>
      <c r="C731" s="69">
        <v>45931.0</v>
      </c>
      <c r="D731" s="21" t="s">
        <v>125</v>
      </c>
      <c r="E731" s="25">
        <v>0.0</v>
      </c>
      <c r="F731" s="21">
        <v>49500.0</v>
      </c>
      <c r="G731" s="21">
        <f t="shared" si="1"/>
        <v>0</v>
      </c>
      <c r="H731" s="21" t="s">
        <v>549</v>
      </c>
      <c r="I731" s="21" t="s">
        <v>550</v>
      </c>
      <c r="J731" s="25" t="s">
        <v>71</v>
      </c>
    </row>
    <row r="732" ht="15.75" customHeight="1">
      <c r="A732" s="25" t="s">
        <v>2131</v>
      </c>
      <c r="B732" s="25" t="s">
        <v>124</v>
      </c>
      <c r="C732" s="69">
        <v>45962.0</v>
      </c>
      <c r="D732" s="21" t="s">
        <v>125</v>
      </c>
      <c r="E732" s="25">
        <v>10.0</v>
      </c>
      <c r="F732" s="21">
        <v>49500.0</v>
      </c>
      <c r="G732" s="21">
        <f t="shared" si="1"/>
        <v>495000</v>
      </c>
      <c r="H732" s="21" t="s">
        <v>549</v>
      </c>
      <c r="I732" s="21" t="s">
        <v>550</v>
      </c>
      <c r="J732" s="25" t="s">
        <v>71</v>
      </c>
    </row>
    <row r="733" ht="15.75" customHeight="1">
      <c r="A733" s="25" t="s">
        <v>2132</v>
      </c>
      <c r="B733" s="25" t="s">
        <v>124</v>
      </c>
      <c r="C733" s="69">
        <v>45992.0</v>
      </c>
      <c r="D733" s="21" t="s">
        <v>125</v>
      </c>
      <c r="E733" s="25">
        <v>3.0</v>
      </c>
      <c r="F733" s="21">
        <v>49500.0</v>
      </c>
      <c r="G733" s="21">
        <f t="shared" si="1"/>
        <v>148500</v>
      </c>
      <c r="H733" s="21" t="s">
        <v>549</v>
      </c>
      <c r="I733" s="21" t="s">
        <v>550</v>
      </c>
      <c r="J733" s="25" t="s">
        <v>71</v>
      </c>
    </row>
    <row r="734" ht="15.75" customHeight="1">
      <c r="A734" s="25" t="s">
        <v>2133</v>
      </c>
      <c r="B734" s="25" t="s">
        <v>139</v>
      </c>
      <c r="C734" s="69">
        <v>45658.0</v>
      </c>
      <c r="D734" s="21" t="s">
        <v>140</v>
      </c>
      <c r="E734" s="25">
        <v>0.0</v>
      </c>
      <c r="F734" s="21">
        <v>30000.0</v>
      </c>
      <c r="G734" s="21">
        <f t="shared" si="1"/>
        <v>0</v>
      </c>
      <c r="H734" s="21" t="s">
        <v>758</v>
      </c>
      <c r="I734" s="21" t="s">
        <v>550</v>
      </c>
      <c r="J734" s="25" t="s">
        <v>71</v>
      </c>
    </row>
    <row r="735" ht="15.75" customHeight="1">
      <c r="A735" s="25" t="s">
        <v>2134</v>
      </c>
      <c r="B735" s="25" t="s">
        <v>139</v>
      </c>
      <c r="C735" s="69">
        <v>45689.0</v>
      </c>
      <c r="D735" s="21" t="s">
        <v>140</v>
      </c>
      <c r="E735" s="25">
        <v>1.0</v>
      </c>
      <c r="F735" s="21">
        <v>30000.0</v>
      </c>
      <c r="G735" s="21">
        <f t="shared" si="1"/>
        <v>30000</v>
      </c>
      <c r="H735" s="21" t="s">
        <v>758</v>
      </c>
      <c r="I735" s="21" t="s">
        <v>550</v>
      </c>
      <c r="J735" s="25" t="s">
        <v>71</v>
      </c>
    </row>
    <row r="736" ht="15.75" customHeight="1">
      <c r="A736" s="25" t="s">
        <v>2135</v>
      </c>
      <c r="B736" s="25" t="s">
        <v>139</v>
      </c>
      <c r="C736" s="69">
        <v>45717.0</v>
      </c>
      <c r="D736" s="21" t="s">
        <v>140</v>
      </c>
      <c r="E736" s="25">
        <v>0.0</v>
      </c>
      <c r="F736" s="21">
        <v>30000.0</v>
      </c>
      <c r="G736" s="21">
        <f t="shared" si="1"/>
        <v>0</v>
      </c>
      <c r="H736" s="21" t="s">
        <v>758</v>
      </c>
      <c r="I736" s="21" t="s">
        <v>550</v>
      </c>
      <c r="J736" s="25" t="s">
        <v>71</v>
      </c>
    </row>
    <row r="737" ht="15.75" customHeight="1">
      <c r="A737" s="25" t="s">
        <v>2136</v>
      </c>
      <c r="B737" s="25" t="s">
        <v>139</v>
      </c>
      <c r="C737" s="69">
        <v>45748.0</v>
      </c>
      <c r="D737" s="21" t="s">
        <v>140</v>
      </c>
      <c r="E737" s="25">
        <v>0.0</v>
      </c>
      <c r="F737" s="21">
        <v>30000.0</v>
      </c>
      <c r="G737" s="21">
        <f t="shared" si="1"/>
        <v>0</v>
      </c>
      <c r="H737" s="21" t="s">
        <v>758</v>
      </c>
      <c r="I737" s="21" t="s">
        <v>550</v>
      </c>
      <c r="J737" s="25" t="s">
        <v>71</v>
      </c>
    </row>
    <row r="738" ht="15.75" customHeight="1">
      <c r="A738" s="25" t="s">
        <v>2137</v>
      </c>
      <c r="B738" s="25" t="s">
        <v>139</v>
      </c>
      <c r="C738" s="69">
        <v>45778.0</v>
      </c>
      <c r="D738" s="21" t="s">
        <v>140</v>
      </c>
      <c r="E738" s="25">
        <v>2.0</v>
      </c>
      <c r="F738" s="21">
        <v>30000.0</v>
      </c>
      <c r="G738" s="21">
        <f t="shared" si="1"/>
        <v>60000</v>
      </c>
      <c r="H738" s="21" t="s">
        <v>758</v>
      </c>
      <c r="I738" s="21" t="s">
        <v>550</v>
      </c>
      <c r="J738" s="25" t="s">
        <v>71</v>
      </c>
    </row>
    <row r="739" ht="15.75" customHeight="1">
      <c r="A739" s="25" t="s">
        <v>2138</v>
      </c>
      <c r="B739" s="25" t="s">
        <v>139</v>
      </c>
      <c r="C739" s="69">
        <v>45809.0</v>
      </c>
      <c r="D739" s="21" t="s">
        <v>140</v>
      </c>
      <c r="E739" s="25">
        <v>1.0</v>
      </c>
      <c r="F739" s="21">
        <v>30000.0</v>
      </c>
      <c r="G739" s="21">
        <f t="shared" si="1"/>
        <v>30000</v>
      </c>
      <c r="H739" s="21" t="s">
        <v>758</v>
      </c>
      <c r="I739" s="21" t="s">
        <v>550</v>
      </c>
      <c r="J739" s="25" t="s">
        <v>71</v>
      </c>
    </row>
    <row r="740" ht="15.75" customHeight="1">
      <c r="A740" s="25" t="s">
        <v>2139</v>
      </c>
      <c r="B740" s="25" t="s">
        <v>139</v>
      </c>
      <c r="C740" s="69">
        <v>45839.0</v>
      </c>
      <c r="D740" s="21" t="s">
        <v>140</v>
      </c>
      <c r="E740" s="25">
        <v>5.0</v>
      </c>
      <c r="F740" s="21">
        <v>30000.0</v>
      </c>
      <c r="G740" s="21">
        <f t="shared" si="1"/>
        <v>150000</v>
      </c>
      <c r="H740" s="21" t="s">
        <v>758</v>
      </c>
      <c r="I740" s="21" t="s">
        <v>550</v>
      </c>
      <c r="J740" s="25" t="s">
        <v>71</v>
      </c>
    </row>
    <row r="741" ht="15.75" customHeight="1">
      <c r="A741" s="25" t="s">
        <v>2140</v>
      </c>
      <c r="B741" s="25" t="s">
        <v>139</v>
      </c>
      <c r="C741" s="69">
        <v>45870.0</v>
      </c>
      <c r="D741" s="21" t="s">
        <v>140</v>
      </c>
      <c r="E741" s="25">
        <v>0.0</v>
      </c>
      <c r="F741" s="21">
        <v>30000.0</v>
      </c>
      <c r="G741" s="21">
        <f t="shared" si="1"/>
        <v>0</v>
      </c>
      <c r="H741" s="21" t="s">
        <v>758</v>
      </c>
      <c r="I741" s="21" t="s">
        <v>550</v>
      </c>
      <c r="J741" s="25" t="s">
        <v>71</v>
      </c>
    </row>
    <row r="742" ht="15.75" customHeight="1">
      <c r="A742" s="25" t="s">
        <v>2141</v>
      </c>
      <c r="B742" s="25" t="s">
        <v>139</v>
      </c>
      <c r="C742" s="69">
        <v>45901.0</v>
      </c>
      <c r="D742" s="21" t="s">
        <v>140</v>
      </c>
      <c r="E742" s="25">
        <v>0.0</v>
      </c>
      <c r="F742" s="21">
        <v>30000.0</v>
      </c>
      <c r="G742" s="21">
        <f t="shared" si="1"/>
        <v>0</v>
      </c>
      <c r="H742" s="21" t="s">
        <v>758</v>
      </c>
      <c r="I742" s="21" t="s">
        <v>550</v>
      </c>
      <c r="J742" s="25" t="s">
        <v>71</v>
      </c>
    </row>
    <row r="743" ht="15.75" customHeight="1">
      <c r="A743" s="25" t="s">
        <v>2142</v>
      </c>
      <c r="B743" s="25" t="s">
        <v>139</v>
      </c>
      <c r="C743" s="69">
        <v>45931.0</v>
      </c>
      <c r="D743" s="21" t="s">
        <v>140</v>
      </c>
      <c r="E743" s="25">
        <v>1.0</v>
      </c>
      <c r="F743" s="21">
        <v>30000.0</v>
      </c>
      <c r="G743" s="21">
        <f t="shared" si="1"/>
        <v>30000</v>
      </c>
      <c r="H743" s="21" t="s">
        <v>758</v>
      </c>
      <c r="I743" s="21" t="s">
        <v>550</v>
      </c>
      <c r="J743" s="25" t="s">
        <v>71</v>
      </c>
    </row>
    <row r="744" ht="15.75" customHeight="1">
      <c r="A744" s="25" t="s">
        <v>2143</v>
      </c>
      <c r="B744" s="25" t="s">
        <v>139</v>
      </c>
      <c r="C744" s="69">
        <v>45962.0</v>
      </c>
      <c r="D744" s="21" t="s">
        <v>140</v>
      </c>
      <c r="E744" s="25">
        <v>3.0</v>
      </c>
      <c r="F744" s="21">
        <v>30000.0</v>
      </c>
      <c r="G744" s="21">
        <f t="shared" si="1"/>
        <v>90000</v>
      </c>
      <c r="H744" s="21" t="s">
        <v>758</v>
      </c>
      <c r="I744" s="21" t="s">
        <v>550</v>
      </c>
      <c r="J744" s="25" t="s">
        <v>71</v>
      </c>
    </row>
    <row r="745" ht="15.75" customHeight="1">
      <c r="A745" s="25" t="s">
        <v>2144</v>
      </c>
      <c r="B745" s="25" t="s">
        <v>139</v>
      </c>
      <c r="C745" s="69">
        <v>45992.0</v>
      </c>
      <c r="D745" s="21" t="s">
        <v>140</v>
      </c>
      <c r="E745" s="25">
        <v>0.0</v>
      </c>
      <c r="F745" s="21">
        <v>30000.0</v>
      </c>
      <c r="G745" s="21">
        <f t="shared" si="1"/>
        <v>0</v>
      </c>
      <c r="H745" s="21" t="s">
        <v>758</v>
      </c>
      <c r="I745" s="21" t="s">
        <v>550</v>
      </c>
      <c r="J745" s="25" t="s">
        <v>71</v>
      </c>
    </row>
    <row r="746" ht="15.75" customHeight="1">
      <c r="A746" s="25" t="s">
        <v>2145</v>
      </c>
      <c r="B746" s="25" t="s">
        <v>150</v>
      </c>
      <c r="C746" s="69">
        <v>45658.0</v>
      </c>
      <c r="D746" s="21" t="s">
        <v>151</v>
      </c>
      <c r="E746" s="25">
        <v>1.0</v>
      </c>
      <c r="F746" s="21">
        <v>30000.0</v>
      </c>
      <c r="G746" s="21">
        <f t="shared" si="1"/>
        <v>30000</v>
      </c>
      <c r="H746" s="21" t="s">
        <v>758</v>
      </c>
      <c r="I746" s="21" t="s">
        <v>550</v>
      </c>
      <c r="J746" s="25" t="s">
        <v>71</v>
      </c>
    </row>
    <row r="747" ht="15.75" customHeight="1">
      <c r="A747" s="25" t="s">
        <v>2146</v>
      </c>
      <c r="B747" s="25" t="s">
        <v>150</v>
      </c>
      <c r="C747" s="69">
        <v>45689.0</v>
      </c>
      <c r="D747" s="21" t="s">
        <v>151</v>
      </c>
      <c r="E747" s="25">
        <v>2.0</v>
      </c>
      <c r="F747" s="21">
        <v>30000.0</v>
      </c>
      <c r="G747" s="21">
        <f t="shared" si="1"/>
        <v>60000</v>
      </c>
      <c r="H747" s="21" t="s">
        <v>758</v>
      </c>
      <c r="I747" s="21" t="s">
        <v>550</v>
      </c>
      <c r="J747" s="25" t="s">
        <v>71</v>
      </c>
    </row>
    <row r="748" ht="15.75" customHeight="1">
      <c r="A748" s="25" t="s">
        <v>2147</v>
      </c>
      <c r="B748" s="25" t="s">
        <v>150</v>
      </c>
      <c r="C748" s="69">
        <v>45717.0</v>
      </c>
      <c r="D748" s="21" t="s">
        <v>151</v>
      </c>
      <c r="E748" s="25">
        <v>0.0</v>
      </c>
      <c r="F748" s="21">
        <v>30000.0</v>
      </c>
      <c r="G748" s="21">
        <f t="shared" si="1"/>
        <v>0</v>
      </c>
      <c r="H748" s="21" t="s">
        <v>758</v>
      </c>
      <c r="I748" s="21" t="s">
        <v>550</v>
      </c>
      <c r="J748" s="25" t="s">
        <v>71</v>
      </c>
    </row>
    <row r="749" ht="15.75" customHeight="1">
      <c r="A749" s="25" t="s">
        <v>2148</v>
      </c>
      <c r="B749" s="25" t="s">
        <v>150</v>
      </c>
      <c r="C749" s="69">
        <v>45748.0</v>
      </c>
      <c r="D749" s="21" t="s">
        <v>151</v>
      </c>
      <c r="E749" s="25">
        <v>1.0</v>
      </c>
      <c r="F749" s="21">
        <v>30000.0</v>
      </c>
      <c r="G749" s="21">
        <f t="shared" si="1"/>
        <v>30000</v>
      </c>
      <c r="H749" s="21" t="s">
        <v>758</v>
      </c>
      <c r="I749" s="21" t="s">
        <v>550</v>
      </c>
      <c r="J749" s="25" t="s">
        <v>71</v>
      </c>
    </row>
    <row r="750" ht="15.75" customHeight="1">
      <c r="A750" s="25" t="s">
        <v>2149</v>
      </c>
      <c r="B750" s="25" t="s">
        <v>150</v>
      </c>
      <c r="C750" s="69">
        <v>45778.0</v>
      </c>
      <c r="D750" s="21" t="s">
        <v>151</v>
      </c>
      <c r="E750" s="25">
        <v>1.0</v>
      </c>
      <c r="F750" s="21">
        <v>30000.0</v>
      </c>
      <c r="G750" s="21">
        <f t="shared" si="1"/>
        <v>30000</v>
      </c>
      <c r="H750" s="21" t="s">
        <v>758</v>
      </c>
      <c r="I750" s="21" t="s">
        <v>550</v>
      </c>
      <c r="J750" s="25" t="s">
        <v>71</v>
      </c>
    </row>
    <row r="751" ht="15.75" customHeight="1">
      <c r="A751" s="25" t="s">
        <v>2150</v>
      </c>
      <c r="B751" s="25" t="s">
        <v>150</v>
      </c>
      <c r="C751" s="69">
        <v>45809.0</v>
      </c>
      <c r="D751" s="21" t="s">
        <v>151</v>
      </c>
      <c r="E751" s="25">
        <v>0.0</v>
      </c>
      <c r="F751" s="21">
        <v>30000.0</v>
      </c>
      <c r="G751" s="21">
        <f t="shared" si="1"/>
        <v>0</v>
      </c>
      <c r="H751" s="21" t="s">
        <v>758</v>
      </c>
      <c r="I751" s="21" t="s">
        <v>550</v>
      </c>
      <c r="J751" s="25" t="s">
        <v>71</v>
      </c>
    </row>
    <row r="752" ht="15.75" customHeight="1">
      <c r="A752" s="25" t="s">
        <v>2151</v>
      </c>
      <c r="B752" s="25" t="s">
        <v>150</v>
      </c>
      <c r="C752" s="69">
        <v>45839.0</v>
      </c>
      <c r="D752" s="21" t="s">
        <v>151</v>
      </c>
      <c r="E752" s="25">
        <v>0.0</v>
      </c>
      <c r="F752" s="21">
        <v>30000.0</v>
      </c>
      <c r="G752" s="21">
        <f t="shared" si="1"/>
        <v>0</v>
      </c>
      <c r="H752" s="21" t="s">
        <v>758</v>
      </c>
      <c r="I752" s="21" t="s">
        <v>550</v>
      </c>
      <c r="J752" s="25" t="s">
        <v>71</v>
      </c>
    </row>
    <row r="753" ht="15.75" customHeight="1">
      <c r="A753" s="25" t="s">
        <v>2152</v>
      </c>
      <c r="B753" s="25" t="s">
        <v>150</v>
      </c>
      <c r="C753" s="69">
        <v>45870.0</v>
      </c>
      <c r="D753" s="21" t="s">
        <v>151</v>
      </c>
      <c r="E753" s="25">
        <v>2.0</v>
      </c>
      <c r="F753" s="21">
        <v>30000.0</v>
      </c>
      <c r="G753" s="21">
        <f t="shared" si="1"/>
        <v>60000</v>
      </c>
      <c r="H753" s="21" t="s">
        <v>758</v>
      </c>
      <c r="I753" s="21" t="s">
        <v>550</v>
      </c>
      <c r="J753" s="25" t="s">
        <v>71</v>
      </c>
    </row>
    <row r="754" ht="15.75" customHeight="1">
      <c r="A754" s="25" t="s">
        <v>2153</v>
      </c>
      <c r="B754" s="25" t="s">
        <v>150</v>
      </c>
      <c r="C754" s="69">
        <v>45901.0</v>
      </c>
      <c r="D754" s="21" t="s">
        <v>151</v>
      </c>
      <c r="E754" s="25">
        <v>0.0</v>
      </c>
      <c r="F754" s="21">
        <v>30000.0</v>
      </c>
      <c r="G754" s="21">
        <f t="shared" si="1"/>
        <v>0</v>
      </c>
      <c r="H754" s="21" t="s">
        <v>758</v>
      </c>
      <c r="I754" s="21" t="s">
        <v>550</v>
      </c>
      <c r="J754" s="25" t="s">
        <v>71</v>
      </c>
    </row>
    <row r="755" ht="15.75" customHeight="1">
      <c r="A755" s="25" t="s">
        <v>2154</v>
      </c>
      <c r="B755" s="25" t="s">
        <v>150</v>
      </c>
      <c r="C755" s="69">
        <v>45931.0</v>
      </c>
      <c r="D755" s="21" t="s">
        <v>151</v>
      </c>
      <c r="E755" s="25">
        <v>1.0</v>
      </c>
      <c r="F755" s="21">
        <v>30000.0</v>
      </c>
      <c r="G755" s="21">
        <f t="shared" si="1"/>
        <v>30000</v>
      </c>
      <c r="H755" s="21" t="s">
        <v>758</v>
      </c>
      <c r="I755" s="21" t="s">
        <v>550</v>
      </c>
      <c r="J755" s="25" t="s">
        <v>71</v>
      </c>
    </row>
    <row r="756" ht="15.75" customHeight="1">
      <c r="A756" s="25" t="s">
        <v>2155</v>
      </c>
      <c r="B756" s="25" t="s">
        <v>150</v>
      </c>
      <c r="C756" s="69">
        <v>45962.0</v>
      </c>
      <c r="D756" s="21" t="s">
        <v>151</v>
      </c>
      <c r="E756" s="25">
        <v>1.0</v>
      </c>
      <c r="F756" s="21">
        <v>30000.0</v>
      </c>
      <c r="G756" s="21">
        <f t="shared" si="1"/>
        <v>30000</v>
      </c>
      <c r="H756" s="21" t="s">
        <v>758</v>
      </c>
      <c r="I756" s="21" t="s">
        <v>550</v>
      </c>
      <c r="J756" s="25" t="s">
        <v>71</v>
      </c>
    </row>
    <row r="757" ht="15.75" customHeight="1">
      <c r="A757" s="25" t="s">
        <v>2156</v>
      </c>
      <c r="B757" s="25" t="s">
        <v>150</v>
      </c>
      <c r="C757" s="69">
        <v>45992.0</v>
      </c>
      <c r="D757" s="21" t="s">
        <v>151</v>
      </c>
      <c r="E757" s="25">
        <v>0.0</v>
      </c>
      <c r="F757" s="21">
        <v>30000.0</v>
      </c>
      <c r="G757" s="21">
        <f t="shared" si="1"/>
        <v>0</v>
      </c>
      <c r="H757" s="21" t="s">
        <v>758</v>
      </c>
      <c r="I757" s="21" t="s">
        <v>550</v>
      </c>
      <c r="J757" s="25" t="s">
        <v>71</v>
      </c>
    </row>
    <row r="758" ht="15.75" customHeight="1">
      <c r="A758" s="25" t="s">
        <v>2157</v>
      </c>
      <c r="B758" s="25" t="s">
        <v>163</v>
      </c>
      <c r="C758" s="69">
        <v>45658.0</v>
      </c>
      <c r="D758" s="21" t="s">
        <v>165</v>
      </c>
      <c r="E758" s="25">
        <v>0.0</v>
      </c>
      <c r="F758" s="21">
        <v>49500.0</v>
      </c>
      <c r="G758" s="21">
        <f t="shared" si="1"/>
        <v>0</v>
      </c>
      <c r="H758" s="21" t="s">
        <v>549</v>
      </c>
      <c r="I758" s="21" t="s">
        <v>550</v>
      </c>
      <c r="J758" s="25" t="s">
        <v>71</v>
      </c>
    </row>
    <row r="759" ht="15.75" customHeight="1">
      <c r="A759" s="25" t="s">
        <v>2158</v>
      </c>
      <c r="B759" s="25" t="s">
        <v>163</v>
      </c>
      <c r="C759" s="69">
        <v>45689.0</v>
      </c>
      <c r="D759" s="21" t="s">
        <v>165</v>
      </c>
      <c r="E759" s="25">
        <v>1.0</v>
      </c>
      <c r="F759" s="21">
        <v>49500.0</v>
      </c>
      <c r="G759" s="21">
        <f t="shared" si="1"/>
        <v>49500</v>
      </c>
      <c r="H759" s="21" t="s">
        <v>549</v>
      </c>
      <c r="I759" s="21" t="s">
        <v>550</v>
      </c>
      <c r="J759" s="25" t="s">
        <v>71</v>
      </c>
    </row>
    <row r="760" ht="15.75" customHeight="1">
      <c r="A760" s="25" t="s">
        <v>2159</v>
      </c>
      <c r="B760" s="25" t="s">
        <v>163</v>
      </c>
      <c r="C760" s="69">
        <v>45717.0</v>
      </c>
      <c r="D760" s="21" t="s">
        <v>165</v>
      </c>
      <c r="E760" s="25">
        <v>1.0</v>
      </c>
      <c r="F760" s="21">
        <v>49500.0</v>
      </c>
      <c r="G760" s="21">
        <f t="shared" si="1"/>
        <v>49500</v>
      </c>
      <c r="H760" s="21" t="s">
        <v>549</v>
      </c>
      <c r="I760" s="21" t="s">
        <v>550</v>
      </c>
      <c r="J760" s="25" t="s">
        <v>71</v>
      </c>
    </row>
    <row r="761" ht="15.75" customHeight="1">
      <c r="A761" s="25" t="s">
        <v>2160</v>
      </c>
      <c r="B761" s="25" t="s">
        <v>163</v>
      </c>
      <c r="C761" s="69">
        <v>45748.0</v>
      </c>
      <c r="D761" s="21" t="s">
        <v>165</v>
      </c>
      <c r="E761" s="25">
        <v>0.0</v>
      </c>
      <c r="F761" s="21">
        <v>49500.0</v>
      </c>
      <c r="G761" s="21">
        <f t="shared" si="1"/>
        <v>0</v>
      </c>
      <c r="H761" s="21" t="s">
        <v>549</v>
      </c>
      <c r="I761" s="21" t="s">
        <v>550</v>
      </c>
      <c r="J761" s="25" t="s">
        <v>71</v>
      </c>
    </row>
    <row r="762" ht="15.75" customHeight="1">
      <c r="A762" s="25" t="s">
        <v>2161</v>
      </c>
      <c r="B762" s="25" t="s">
        <v>163</v>
      </c>
      <c r="C762" s="69">
        <v>45778.0</v>
      </c>
      <c r="D762" s="21" t="s">
        <v>165</v>
      </c>
      <c r="E762" s="25">
        <v>1.0</v>
      </c>
      <c r="F762" s="21">
        <v>49500.0</v>
      </c>
      <c r="G762" s="21">
        <f t="shared" si="1"/>
        <v>49500</v>
      </c>
      <c r="H762" s="21" t="s">
        <v>549</v>
      </c>
      <c r="I762" s="21" t="s">
        <v>550</v>
      </c>
      <c r="J762" s="25" t="s">
        <v>71</v>
      </c>
    </row>
    <row r="763" ht="15.75" customHeight="1">
      <c r="A763" s="25" t="s">
        <v>2162</v>
      </c>
      <c r="B763" s="25" t="s">
        <v>163</v>
      </c>
      <c r="C763" s="69">
        <v>45809.0</v>
      </c>
      <c r="D763" s="21" t="s">
        <v>165</v>
      </c>
      <c r="E763" s="25">
        <v>3.0</v>
      </c>
      <c r="F763" s="21">
        <v>49500.0</v>
      </c>
      <c r="G763" s="21">
        <f t="shared" si="1"/>
        <v>148500</v>
      </c>
      <c r="H763" s="21" t="s">
        <v>549</v>
      </c>
      <c r="I763" s="21" t="s">
        <v>550</v>
      </c>
      <c r="J763" s="25" t="s">
        <v>71</v>
      </c>
    </row>
    <row r="764" ht="15.75" customHeight="1">
      <c r="A764" s="25" t="s">
        <v>2163</v>
      </c>
      <c r="B764" s="25" t="s">
        <v>163</v>
      </c>
      <c r="C764" s="69">
        <v>45839.0</v>
      </c>
      <c r="D764" s="21" t="s">
        <v>165</v>
      </c>
      <c r="E764" s="25">
        <v>0.0</v>
      </c>
      <c r="F764" s="21">
        <v>49500.0</v>
      </c>
      <c r="G764" s="21">
        <f t="shared" si="1"/>
        <v>0</v>
      </c>
      <c r="H764" s="21" t="s">
        <v>549</v>
      </c>
      <c r="I764" s="21" t="s">
        <v>550</v>
      </c>
      <c r="J764" s="25" t="s">
        <v>71</v>
      </c>
    </row>
    <row r="765" ht="15.75" customHeight="1">
      <c r="A765" s="25" t="s">
        <v>2164</v>
      </c>
      <c r="B765" s="25" t="s">
        <v>163</v>
      </c>
      <c r="C765" s="69">
        <v>45870.0</v>
      </c>
      <c r="D765" s="21" t="s">
        <v>165</v>
      </c>
      <c r="E765" s="25">
        <v>2.0</v>
      </c>
      <c r="F765" s="21">
        <v>49500.0</v>
      </c>
      <c r="G765" s="21">
        <f t="shared" si="1"/>
        <v>99000</v>
      </c>
      <c r="H765" s="21" t="s">
        <v>549</v>
      </c>
      <c r="I765" s="21" t="s">
        <v>550</v>
      </c>
      <c r="J765" s="25" t="s">
        <v>71</v>
      </c>
    </row>
    <row r="766" ht="15.75" customHeight="1">
      <c r="A766" s="25" t="s">
        <v>2165</v>
      </c>
      <c r="B766" s="25" t="s">
        <v>163</v>
      </c>
      <c r="C766" s="69">
        <v>45901.0</v>
      </c>
      <c r="D766" s="21" t="s">
        <v>165</v>
      </c>
      <c r="E766" s="25">
        <v>0.0</v>
      </c>
      <c r="F766" s="21">
        <v>49500.0</v>
      </c>
      <c r="G766" s="21">
        <f t="shared" si="1"/>
        <v>0</v>
      </c>
      <c r="H766" s="21" t="s">
        <v>549</v>
      </c>
      <c r="I766" s="21" t="s">
        <v>550</v>
      </c>
      <c r="J766" s="25" t="s">
        <v>71</v>
      </c>
    </row>
    <row r="767" ht="15.75" customHeight="1">
      <c r="A767" s="25" t="s">
        <v>2166</v>
      </c>
      <c r="B767" s="25" t="s">
        <v>163</v>
      </c>
      <c r="C767" s="69">
        <v>45931.0</v>
      </c>
      <c r="D767" s="21" t="s">
        <v>165</v>
      </c>
      <c r="E767" s="25">
        <v>1.0</v>
      </c>
      <c r="F767" s="21">
        <v>49500.0</v>
      </c>
      <c r="G767" s="21">
        <f t="shared" si="1"/>
        <v>49500</v>
      </c>
      <c r="H767" s="21" t="s">
        <v>549</v>
      </c>
      <c r="I767" s="21" t="s">
        <v>550</v>
      </c>
      <c r="J767" s="25" t="s">
        <v>71</v>
      </c>
    </row>
    <row r="768" ht="15.75" customHeight="1">
      <c r="A768" s="25" t="s">
        <v>2167</v>
      </c>
      <c r="B768" s="25" t="s">
        <v>163</v>
      </c>
      <c r="C768" s="69">
        <v>45962.0</v>
      </c>
      <c r="D768" s="21" t="s">
        <v>165</v>
      </c>
      <c r="E768" s="25">
        <v>0.0</v>
      </c>
      <c r="F768" s="21">
        <v>49500.0</v>
      </c>
      <c r="G768" s="21">
        <f t="shared" si="1"/>
        <v>0</v>
      </c>
      <c r="H768" s="21" t="s">
        <v>549</v>
      </c>
      <c r="I768" s="21" t="s">
        <v>550</v>
      </c>
      <c r="J768" s="25" t="s">
        <v>71</v>
      </c>
    </row>
    <row r="769" ht="15.75" customHeight="1">
      <c r="A769" s="25" t="s">
        <v>2168</v>
      </c>
      <c r="B769" s="25" t="s">
        <v>163</v>
      </c>
      <c r="C769" s="69">
        <v>45992.0</v>
      </c>
      <c r="D769" s="21" t="s">
        <v>165</v>
      </c>
      <c r="E769" s="25">
        <v>0.0</v>
      </c>
      <c r="F769" s="21">
        <v>49500.0</v>
      </c>
      <c r="G769" s="21">
        <f t="shared" si="1"/>
        <v>0</v>
      </c>
      <c r="H769" s="21" t="s">
        <v>549</v>
      </c>
      <c r="I769" s="21" t="s">
        <v>550</v>
      </c>
      <c r="J769" s="25" t="s">
        <v>71</v>
      </c>
    </row>
    <row r="770" ht="15.75" customHeight="1">
      <c r="A770" s="25" t="s">
        <v>2169</v>
      </c>
      <c r="B770" s="25" t="s">
        <v>175</v>
      </c>
      <c r="C770" s="69">
        <v>45658.0</v>
      </c>
      <c r="D770" s="21" t="s">
        <v>176</v>
      </c>
      <c r="E770" s="25">
        <v>1.0</v>
      </c>
      <c r="F770" s="21">
        <v>49500.0</v>
      </c>
      <c r="G770" s="21">
        <f t="shared" si="1"/>
        <v>49500</v>
      </c>
      <c r="H770" s="21" t="s">
        <v>549</v>
      </c>
      <c r="I770" s="21" t="s">
        <v>550</v>
      </c>
      <c r="J770" s="25" t="s">
        <v>71</v>
      </c>
    </row>
    <row r="771" ht="15.75" customHeight="1">
      <c r="A771" s="25" t="s">
        <v>2170</v>
      </c>
      <c r="B771" s="25" t="s">
        <v>175</v>
      </c>
      <c r="C771" s="69">
        <v>45689.0</v>
      </c>
      <c r="D771" s="21" t="s">
        <v>176</v>
      </c>
      <c r="E771" s="25">
        <v>4.0</v>
      </c>
      <c r="F771" s="21">
        <v>49500.0</v>
      </c>
      <c r="G771" s="21">
        <f t="shared" si="1"/>
        <v>198000</v>
      </c>
      <c r="H771" s="21" t="s">
        <v>549</v>
      </c>
      <c r="I771" s="21" t="s">
        <v>550</v>
      </c>
      <c r="J771" s="25" t="s">
        <v>71</v>
      </c>
    </row>
    <row r="772" ht="15.75" customHeight="1">
      <c r="A772" s="25" t="s">
        <v>2171</v>
      </c>
      <c r="B772" s="25" t="s">
        <v>175</v>
      </c>
      <c r="C772" s="69">
        <v>45717.0</v>
      </c>
      <c r="D772" s="21" t="s">
        <v>176</v>
      </c>
      <c r="E772" s="25">
        <v>8.0</v>
      </c>
      <c r="F772" s="21">
        <v>49500.0</v>
      </c>
      <c r="G772" s="21">
        <f t="shared" si="1"/>
        <v>396000</v>
      </c>
      <c r="H772" s="21" t="s">
        <v>549</v>
      </c>
      <c r="I772" s="21" t="s">
        <v>550</v>
      </c>
      <c r="J772" s="25" t="s">
        <v>71</v>
      </c>
    </row>
    <row r="773" ht="15.75" customHeight="1">
      <c r="A773" s="25" t="s">
        <v>2172</v>
      </c>
      <c r="B773" s="25" t="s">
        <v>175</v>
      </c>
      <c r="C773" s="69">
        <v>45748.0</v>
      </c>
      <c r="D773" s="21" t="s">
        <v>176</v>
      </c>
      <c r="E773" s="25">
        <v>1.0</v>
      </c>
      <c r="F773" s="21">
        <v>49500.0</v>
      </c>
      <c r="G773" s="21">
        <f t="shared" si="1"/>
        <v>49500</v>
      </c>
      <c r="H773" s="21" t="s">
        <v>549</v>
      </c>
      <c r="I773" s="21" t="s">
        <v>550</v>
      </c>
      <c r="J773" s="25" t="s">
        <v>71</v>
      </c>
    </row>
    <row r="774" ht="15.75" customHeight="1">
      <c r="A774" s="25" t="s">
        <v>2173</v>
      </c>
      <c r="B774" s="25" t="s">
        <v>175</v>
      </c>
      <c r="C774" s="69">
        <v>45778.0</v>
      </c>
      <c r="D774" s="21" t="s">
        <v>176</v>
      </c>
      <c r="E774" s="25">
        <v>5.0</v>
      </c>
      <c r="F774" s="21">
        <v>49500.0</v>
      </c>
      <c r="G774" s="21">
        <f t="shared" si="1"/>
        <v>247500</v>
      </c>
      <c r="H774" s="21" t="s">
        <v>549</v>
      </c>
      <c r="I774" s="21" t="s">
        <v>550</v>
      </c>
      <c r="J774" s="25" t="s">
        <v>71</v>
      </c>
    </row>
    <row r="775" ht="15.75" customHeight="1">
      <c r="A775" s="25" t="s">
        <v>2174</v>
      </c>
      <c r="B775" s="25" t="s">
        <v>175</v>
      </c>
      <c r="C775" s="69">
        <v>45809.0</v>
      </c>
      <c r="D775" s="21" t="s">
        <v>176</v>
      </c>
      <c r="E775" s="25">
        <v>10.0</v>
      </c>
      <c r="F775" s="21">
        <v>49500.0</v>
      </c>
      <c r="G775" s="21">
        <f t="shared" si="1"/>
        <v>495000</v>
      </c>
      <c r="H775" s="21" t="s">
        <v>549</v>
      </c>
      <c r="I775" s="21" t="s">
        <v>550</v>
      </c>
      <c r="J775" s="25" t="s">
        <v>71</v>
      </c>
    </row>
    <row r="776" ht="15.75" customHeight="1">
      <c r="A776" s="25" t="s">
        <v>2175</v>
      </c>
      <c r="B776" s="25" t="s">
        <v>175</v>
      </c>
      <c r="C776" s="69">
        <v>45839.0</v>
      </c>
      <c r="D776" s="21" t="s">
        <v>176</v>
      </c>
      <c r="E776" s="25">
        <v>3.0</v>
      </c>
      <c r="F776" s="21">
        <v>49500.0</v>
      </c>
      <c r="G776" s="21">
        <f t="shared" si="1"/>
        <v>148500</v>
      </c>
      <c r="H776" s="21" t="s">
        <v>549</v>
      </c>
      <c r="I776" s="21" t="s">
        <v>550</v>
      </c>
      <c r="J776" s="25" t="s">
        <v>71</v>
      </c>
    </row>
    <row r="777" ht="15.75" customHeight="1">
      <c r="A777" s="25" t="s">
        <v>2176</v>
      </c>
      <c r="B777" s="25" t="s">
        <v>175</v>
      </c>
      <c r="C777" s="69">
        <v>45870.0</v>
      </c>
      <c r="D777" s="21" t="s">
        <v>176</v>
      </c>
      <c r="E777" s="25">
        <v>10.0</v>
      </c>
      <c r="F777" s="21">
        <v>49500.0</v>
      </c>
      <c r="G777" s="21">
        <f t="shared" si="1"/>
        <v>495000</v>
      </c>
      <c r="H777" s="21" t="s">
        <v>549</v>
      </c>
      <c r="I777" s="21" t="s">
        <v>550</v>
      </c>
      <c r="J777" s="25" t="s">
        <v>71</v>
      </c>
    </row>
    <row r="778" ht="15.75" customHeight="1">
      <c r="A778" s="25" t="s">
        <v>2177</v>
      </c>
      <c r="B778" s="25" t="s">
        <v>175</v>
      </c>
      <c r="C778" s="69">
        <v>45901.0</v>
      </c>
      <c r="D778" s="21" t="s">
        <v>176</v>
      </c>
      <c r="E778" s="25">
        <v>2.0</v>
      </c>
      <c r="F778" s="21">
        <v>49500.0</v>
      </c>
      <c r="G778" s="21">
        <f t="shared" si="1"/>
        <v>99000</v>
      </c>
      <c r="H778" s="21" t="s">
        <v>549</v>
      </c>
      <c r="I778" s="21" t="s">
        <v>550</v>
      </c>
      <c r="J778" s="25" t="s">
        <v>71</v>
      </c>
    </row>
    <row r="779" ht="15.75" customHeight="1">
      <c r="A779" s="25" t="s">
        <v>2178</v>
      </c>
      <c r="B779" s="25" t="s">
        <v>175</v>
      </c>
      <c r="C779" s="69">
        <v>45931.0</v>
      </c>
      <c r="D779" s="21" t="s">
        <v>176</v>
      </c>
      <c r="E779" s="25">
        <v>4.0</v>
      </c>
      <c r="F779" s="21">
        <v>49500.0</v>
      </c>
      <c r="G779" s="21">
        <f t="shared" si="1"/>
        <v>198000</v>
      </c>
      <c r="H779" s="21" t="s">
        <v>549</v>
      </c>
      <c r="I779" s="21" t="s">
        <v>550</v>
      </c>
      <c r="J779" s="25" t="s">
        <v>71</v>
      </c>
    </row>
    <row r="780" ht="15.75" customHeight="1">
      <c r="A780" s="25" t="s">
        <v>2179</v>
      </c>
      <c r="B780" s="25" t="s">
        <v>175</v>
      </c>
      <c r="C780" s="69">
        <v>45962.0</v>
      </c>
      <c r="D780" s="21" t="s">
        <v>176</v>
      </c>
      <c r="E780" s="25">
        <v>0.0</v>
      </c>
      <c r="F780" s="21">
        <v>49500.0</v>
      </c>
      <c r="G780" s="21">
        <f t="shared" si="1"/>
        <v>0</v>
      </c>
      <c r="H780" s="21" t="s">
        <v>549</v>
      </c>
      <c r="I780" s="21" t="s">
        <v>550</v>
      </c>
      <c r="J780" s="25" t="s">
        <v>71</v>
      </c>
    </row>
    <row r="781" ht="15.75" customHeight="1">
      <c r="A781" s="25" t="s">
        <v>2180</v>
      </c>
      <c r="B781" s="25" t="s">
        <v>175</v>
      </c>
      <c r="C781" s="69">
        <v>45992.0</v>
      </c>
      <c r="D781" s="21" t="s">
        <v>176</v>
      </c>
      <c r="E781" s="25">
        <v>0.0</v>
      </c>
      <c r="F781" s="21">
        <v>49500.0</v>
      </c>
      <c r="G781" s="21">
        <f t="shared" si="1"/>
        <v>0</v>
      </c>
      <c r="H781" s="21" t="s">
        <v>549</v>
      </c>
      <c r="I781" s="21" t="s">
        <v>550</v>
      </c>
      <c r="J781" s="25" t="s">
        <v>71</v>
      </c>
    </row>
    <row r="782" ht="15.75" customHeight="1">
      <c r="A782" s="25" t="s">
        <v>2181</v>
      </c>
      <c r="B782" s="25" t="s">
        <v>188</v>
      </c>
      <c r="C782" s="69">
        <v>45658.0</v>
      </c>
      <c r="D782" s="21" t="s">
        <v>189</v>
      </c>
      <c r="E782" s="25">
        <v>0.0</v>
      </c>
      <c r="F782" s="21">
        <v>49500.0</v>
      </c>
      <c r="G782" s="21">
        <f t="shared" si="1"/>
        <v>0</v>
      </c>
      <c r="H782" s="21" t="s">
        <v>549</v>
      </c>
      <c r="I782" s="21" t="s">
        <v>550</v>
      </c>
      <c r="J782" s="25" t="s">
        <v>71</v>
      </c>
    </row>
    <row r="783" ht="15.75" customHeight="1">
      <c r="A783" s="25" t="s">
        <v>2182</v>
      </c>
      <c r="B783" s="25" t="s">
        <v>188</v>
      </c>
      <c r="C783" s="69">
        <v>45689.0</v>
      </c>
      <c r="D783" s="21" t="s">
        <v>189</v>
      </c>
      <c r="E783" s="25">
        <v>2.0</v>
      </c>
      <c r="F783" s="21">
        <v>49500.0</v>
      </c>
      <c r="G783" s="21">
        <f t="shared" si="1"/>
        <v>99000</v>
      </c>
      <c r="H783" s="21" t="s">
        <v>549</v>
      </c>
      <c r="I783" s="21" t="s">
        <v>550</v>
      </c>
      <c r="J783" s="25" t="s">
        <v>71</v>
      </c>
    </row>
    <row r="784" ht="15.75" customHeight="1">
      <c r="A784" s="25" t="s">
        <v>2183</v>
      </c>
      <c r="B784" s="25" t="s">
        <v>188</v>
      </c>
      <c r="C784" s="69">
        <v>45717.0</v>
      </c>
      <c r="D784" s="21" t="s">
        <v>189</v>
      </c>
      <c r="E784" s="25">
        <v>3.0</v>
      </c>
      <c r="F784" s="21">
        <v>49500.0</v>
      </c>
      <c r="G784" s="21">
        <f t="shared" si="1"/>
        <v>148500</v>
      </c>
      <c r="H784" s="21" t="s">
        <v>549</v>
      </c>
      <c r="I784" s="21" t="s">
        <v>550</v>
      </c>
      <c r="J784" s="25" t="s">
        <v>71</v>
      </c>
    </row>
    <row r="785" ht="15.75" customHeight="1">
      <c r="A785" s="25" t="s">
        <v>2184</v>
      </c>
      <c r="B785" s="25" t="s">
        <v>188</v>
      </c>
      <c r="C785" s="69">
        <v>45748.0</v>
      </c>
      <c r="D785" s="21" t="s">
        <v>189</v>
      </c>
      <c r="E785" s="25">
        <v>0.0</v>
      </c>
      <c r="F785" s="21">
        <v>49500.0</v>
      </c>
      <c r="G785" s="21">
        <f t="shared" si="1"/>
        <v>0</v>
      </c>
      <c r="H785" s="21" t="s">
        <v>549</v>
      </c>
      <c r="I785" s="21" t="s">
        <v>550</v>
      </c>
      <c r="J785" s="25" t="s">
        <v>71</v>
      </c>
    </row>
    <row r="786" ht="15.75" customHeight="1">
      <c r="A786" s="25" t="s">
        <v>2185</v>
      </c>
      <c r="B786" s="25" t="s">
        <v>188</v>
      </c>
      <c r="C786" s="69">
        <v>45778.0</v>
      </c>
      <c r="D786" s="21" t="s">
        <v>189</v>
      </c>
      <c r="E786" s="25">
        <v>2.0</v>
      </c>
      <c r="F786" s="21">
        <v>49500.0</v>
      </c>
      <c r="G786" s="21">
        <f t="shared" si="1"/>
        <v>99000</v>
      </c>
      <c r="H786" s="21" t="s">
        <v>549</v>
      </c>
      <c r="I786" s="21" t="s">
        <v>550</v>
      </c>
      <c r="J786" s="25" t="s">
        <v>71</v>
      </c>
    </row>
    <row r="787" ht="15.75" customHeight="1">
      <c r="A787" s="25" t="s">
        <v>2186</v>
      </c>
      <c r="B787" s="25" t="s">
        <v>188</v>
      </c>
      <c r="C787" s="69">
        <v>45809.0</v>
      </c>
      <c r="D787" s="21" t="s">
        <v>189</v>
      </c>
      <c r="E787" s="25">
        <v>0.0</v>
      </c>
      <c r="F787" s="21">
        <v>49500.0</v>
      </c>
      <c r="G787" s="21">
        <f t="shared" si="1"/>
        <v>0</v>
      </c>
      <c r="H787" s="21" t="s">
        <v>549</v>
      </c>
      <c r="I787" s="21" t="s">
        <v>550</v>
      </c>
      <c r="J787" s="25" t="s">
        <v>71</v>
      </c>
    </row>
    <row r="788" ht="15.75" customHeight="1">
      <c r="A788" s="25" t="s">
        <v>2187</v>
      </c>
      <c r="B788" s="25" t="s">
        <v>188</v>
      </c>
      <c r="C788" s="69">
        <v>45839.0</v>
      </c>
      <c r="D788" s="21" t="s">
        <v>189</v>
      </c>
      <c r="E788" s="25">
        <v>3.0</v>
      </c>
      <c r="F788" s="21">
        <v>49500.0</v>
      </c>
      <c r="G788" s="21">
        <f t="shared" si="1"/>
        <v>148500</v>
      </c>
      <c r="H788" s="21" t="s">
        <v>549</v>
      </c>
      <c r="I788" s="21" t="s">
        <v>550</v>
      </c>
      <c r="J788" s="25" t="s">
        <v>71</v>
      </c>
    </row>
    <row r="789" ht="15.75" customHeight="1">
      <c r="A789" s="25" t="s">
        <v>2188</v>
      </c>
      <c r="B789" s="25" t="s">
        <v>188</v>
      </c>
      <c r="C789" s="69">
        <v>45870.0</v>
      </c>
      <c r="D789" s="21" t="s">
        <v>189</v>
      </c>
      <c r="E789" s="25">
        <v>5.0</v>
      </c>
      <c r="F789" s="21">
        <v>49500.0</v>
      </c>
      <c r="G789" s="21">
        <f t="shared" si="1"/>
        <v>247500</v>
      </c>
      <c r="H789" s="21" t="s">
        <v>549</v>
      </c>
      <c r="I789" s="21" t="s">
        <v>550</v>
      </c>
      <c r="J789" s="25" t="s">
        <v>71</v>
      </c>
    </row>
    <row r="790" ht="15.75" customHeight="1">
      <c r="A790" s="25" t="s">
        <v>2189</v>
      </c>
      <c r="B790" s="25" t="s">
        <v>188</v>
      </c>
      <c r="C790" s="69">
        <v>45901.0</v>
      </c>
      <c r="D790" s="21" t="s">
        <v>189</v>
      </c>
      <c r="E790" s="25">
        <v>0.0</v>
      </c>
      <c r="F790" s="21">
        <v>49500.0</v>
      </c>
      <c r="G790" s="21">
        <f t="shared" si="1"/>
        <v>0</v>
      </c>
      <c r="H790" s="21" t="s">
        <v>549</v>
      </c>
      <c r="I790" s="21" t="s">
        <v>550</v>
      </c>
      <c r="J790" s="25" t="s">
        <v>71</v>
      </c>
    </row>
    <row r="791" ht="15.75" customHeight="1">
      <c r="A791" s="25" t="s">
        <v>2190</v>
      </c>
      <c r="B791" s="25" t="s">
        <v>188</v>
      </c>
      <c r="C791" s="69">
        <v>45931.0</v>
      </c>
      <c r="D791" s="21" t="s">
        <v>189</v>
      </c>
      <c r="E791" s="25">
        <v>1.0</v>
      </c>
      <c r="F791" s="21">
        <v>49500.0</v>
      </c>
      <c r="G791" s="21">
        <f t="shared" si="1"/>
        <v>49500</v>
      </c>
      <c r="H791" s="21" t="s">
        <v>549</v>
      </c>
      <c r="I791" s="21" t="s">
        <v>550</v>
      </c>
      <c r="J791" s="25" t="s">
        <v>71</v>
      </c>
    </row>
    <row r="792" ht="15.75" customHeight="1">
      <c r="A792" s="25" t="s">
        <v>2191</v>
      </c>
      <c r="B792" s="25" t="s">
        <v>188</v>
      </c>
      <c r="C792" s="69">
        <v>45962.0</v>
      </c>
      <c r="D792" s="21" t="s">
        <v>189</v>
      </c>
      <c r="E792" s="25">
        <v>2.0</v>
      </c>
      <c r="F792" s="21">
        <v>49500.0</v>
      </c>
      <c r="G792" s="21">
        <f t="shared" si="1"/>
        <v>99000</v>
      </c>
      <c r="H792" s="21" t="s">
        <v>549</v>
      </c>
      <c r="I792" s="21" t="s">
        <v>550</v>
      </c>
      <c r="J792" s="25" t="s">
        <v>71</v>
      </c>
    </row>
    <row r="793" ht="15.75" customHeight="1">
      <c r="A793" s="25" t="s">
        <v>2192</v>
      </c>
      <c r="B793" s="25" t="s">
        <v>188</v>
      </c>
      <c r="C793" s="69">
        <v>45992.0</v>
      </c>
      <c r="D793" s="21" t="s">
        <v>189</v>
      </c>
      <c r="E793" s="25">
        <v>0.0</v>
      </c>
      <c r="F793" s="21">
        <v>49500.0</v>
      </c>
      <c r="G793" s="21">
        <f t="shared" si="1"/>
        <v>0</v>
      </c>
      <c r="H793" s="21" t="s">
        <v>549</v>
      </c>
      <c r="I793" s="21" t="s">
        <v>550</v>
      </c>
      <c r="J793" s="25" t="s">
        <v>71</v>
      </c>
    </row>
    <row r="794" ht="15.75" customHeight="1">
      <c r="A794" s="82"/>
      <c r="B794" s="82"/>
      <c r="C794" s="82"/>
    </row>
    <row r="795" ht="15.75" customHeight="1">
      <c r="A795" s="82"/>
      <c r="B795" s="82"/>
      <c r="C795" s="82"/>
    </row>
    <row r="796" ht="15.75" customHeight="1">
      <c r="A796" s="82"/>
      <c r="B796" s="82"/>
      <c r="C796" s="82"/>
    </row>
    <row r="797" ht="15.75" customHeight="1">
      <c r="A797" s="82"/>
      <c r="B797" s="82"/>
      <c r="C797" s="82"/>
    </row>
    <row r="798" ht="15.75" customHeight="1">
      <c r="A798" s="82"/>
      <c r="B798" s="82"/>
      <c r="C798" s="82"/>
    </row>
    <row r="799" ht="15.75" customHeight="1">
      <c r="A799" s="82"/>
      <c r="B799" s="82"/>
      <c r="C799" s="82"/>
    </row>
    <row r="800" ht="15.75" customHeight="1">
      <c r="A800" s="82"/>
      <c r="B800" s="82"/>
      <c r="C800" s="82"/>
    </row>
    <row r="801" ht="15.75" customHeight="1">
      <c r="A801" s="82"/>
      <c r="B801" s="82"/>
      <c r="C801" s="82"/>
    </row>
    <row r="802" ht="15.75" customHeight="1">
      <c r="A802" s="82"/>
      <c r="B802" s="82"/>
      <c r="C802" s="82"/>
    </row>
    <row r="803" ht="15.75" customHeight="1">
      <c r="A803" s="82"/>
      <c r="B803" s="82"/>
      <c r="C803" s="82"/>
    </row>
    <row r="804" ht="15.75" customHeight="1">
      <c r="A804" s="82"/>
      <c r="B804" s="82"/>
      <c r="C804" s="82"/>
    </row>
    <row r="805" ht="15.75" customHeight="1">
      <c r="A805" s="82"/>
      <c r="B805" s="82"/>
      <c r="C805" s="82"/>
    </row>
    <row r="806" ht="15.75" customHeight="1">
      <c r="A806" s="82"/>
      <c r="B806" s="82"/>
      <c r="C806" s="82"/>
    </row>
    <row r="807" ht="15.75" customHeight="1">
      <c r="A807" s="82"/>
      <c r="B807" s="82"/>
      <c r="C807" s="82"/>
    </row>
    <row r="808" ht="15.75" customHeight="1">
      <c r="A808" s="82"/>
      <c r="B808" s="82"/>
      <c r="C808" s="82"/>
    </row>
    <row r="809" ht="15.75" customHeight="1">
      <c r="A809" s="82"/>
      <c r="B809" s="82"/>
      <c r="C809" s="82"/>
    </row>
    <row r="810" ht="15.75" customHeight="1">
      <c r="A810" s="82"/>
      <c r="B810" s="82"/>
      <c r="C810" s="82"/>
    </row>
    <row r="811" ht="15.75" customHeight="1">
      <c r="A811" s="82"/>
      <c r="B811" s="82"/>
      <c r="C811" s="82"/>
    </row>
    <row r="812" ht="15.75" customHeight="1">
      <c r="A812" s="82"/>
      <c r="B812" s="82"/>
      <c r="C812" s="82"/>
    </row>
    <row r="813" ht="15.75" customHeight="1">
      <c r="A813" s="82"/>
      <c r="B813" s="82"/>
      <c r="C813" s="82"/>
    </row>
    <row r="814" ht="15.75" customHeight="1">
      <c r="A814" s="82"/>
      <c r="B814" s="82"/>
      <c r="C814" s="82"/>
    </row>
    <row r="815" ht="15.75" customHeight="1">
      <c r="A815" s="82"/>
      <c r="B815" s="82"/>
      <c r="C815" s="82"/>
    </row>
    <row r="816" ht="15.75" customHeight="1">
      <c r="A816" s="82"/>
      <c r="B816" s="82"/>
      <c r="C816" s="82"/>
    </row>
    <row r="817" ht="15.75" customHeight="1">
      <c r="A817" s="82"/>
      <c r="B817" s="82"/>
      <c r="C817" s="82"/>
    </row>
    <row r="818" ht="15.75" customHeight="1">
      <c r="A818" s="82"/>
      <c r="B818" s="82"/>
      <c r="C818" s="82"/>
    </row>
    <row r="819" ht="15.75" customHeight="1">
      <c r="A819" s="82"/>
      <c r="B819" s="82"/>
      <c r="C819" s="82"/>
    </row>
    <row r="820" ht="15.75" customHeight="1">
      <c r="A820" s="82"/>
      <c r="B820" s="82"/>
      <c r="C820" s="82"/>
    </row>
    <row r="821" ht="15.75" customHeight="1">
      <c r="A821" s="82"/>
      <c r="B821" s="82"/>
      <c r="C821" s="82"/>
    </row>
    <row r="822" ht="15.75" customHeight="1">
      <c r="A822" s="82"/>
      <c r="B822" s="82"/>
      <c r="C822" s="82"/>
    </row>
    <row r="823" ht="15.75" customHeight="1">
      <c r="A823" s="82"/>
      <c r="B823" s="82"/>
      <c r="C823" s="82"/>
    </row>
    <row r="824" ht="15.75" customHeight="1">
      <c r="A824" s="82"/>
      <c r="B824" s="82"/>
      <c r="C824" s="82"/>
    </row>
    <row r="825" ht="15.75" customHeight="1">
      <c r="A825" s="82"/>
      <c r="B825" s="82"/>
      <c r="C825" s="82"/>
    </row>
    <row r="826" ht="15.75" customHeight="1">
      <c r="A826" s="82"/>
      <c r="B826" s="82"/>
      <c r="C826" s="82"/>
    </row>
    <row r="827" ht="15.75" customHeight="1">
      <c r="A827" s="82"/>
      <c r="B827" s="82"/>
      <c r="C827" s="82"/>
    </row>
    <row r="828" ht="15.75" customHeight="1">
      <c r="A828" s="82"/>
      <c r="B828" s="82"/>
      <c r="C828" s="82"/>
    </row>
    <row r="829" ht="15.75" customHeight="1">
      <c r="A829" s="82"/>
      <c r="B829" s="82"/>
      <c r="C829" s="82"/>
    </row>
    <row r="830" ht="15.75" customHeight="1">
      <c r="A830" s="82"/>
      <c r="B830" s="82"/>
      <c r="C830" s="82"/>
    </row>
    <row r="831" ht="15.75" customHeight="1">
      <c r="A831" s="82"/>
      <c r="B831" s="82"/>
      <c r="C831" s="82"/>
    </row>
    <row r="832" ht="15.75" customHeight="1">
      <c r="A832" s="82"/>
      <c r="B832" s="82"/>
      <c r="C832" s="82"/>
    </row>
    <row r="833" ht="15.75" customHeight="1">
      <c r="A833" s="82"/>
      <c r="B833" s="82"/>
      <c r="C833" s="82"/>
    </row>
    <row r="834" ht="15.75" customHeight="1">
      <c r="A834" s="82"/>
      <c r="B834" s="82"/>
      <c r="C834" s="82"/>
    </row>
    <row r="835" ht="15.75" customHeight="1">
      <c r="A835" s="82"/>
      <c r="B835" s="82"/>
      <c r="C835" s="82"/>
    </row>
    <row r="836" ht="15.75" customHeight="1">
      <c r="A836" s="82"/>
      <c r="B836" s="82"/>
      <c r="C836" s="82"/>
    </row>
    <row r="837" ht="15.75" customHeight="1">
      <c r="A837" s="82"/>
      <c r="B837" s="82"/>
      <c r="C837" s="82"/>
    </row>
    <row r="838" ht="15.75" customHeight="1">
      <c r="A838" s="82"/>
      <c r="B838" s="82"/>
      <c r="C838" s="82"/>
    </row>
    <row r="839" ht="15.75" customHeight="1">
      <c r="A839" s="82"/>
      <c r="B839" s="82"/>
      <c r="C839" s="82"/>
    </row>
    <row r="840" ht="15.75" customHeight="1">
      <c r="A840" s="82"/>
      <c r="B840" s="82"/>
      <c r="C840" s="82"/>
    </row>
    <row r="841" ht="15.75" customHeight="1">
      <c r="A841" s="82"/>
      <c r="B841" s="82"/>
      <c r="C841" s="82"/>
    </row>
    <row r="842" ht="15.75" customHeight="1">
      <c r="A842" s="82"/>
      <c r="B842" s="82"/>
      <c r="C842" s="82"/>
    </row>
    <row r="843" ht="15.75" customHeight="1">
      <c r="A843" s="82"/>
      <c r="B843" s="82"/>
      <c r="C843" s="82"/>
    </row>
    <row r="844" ht="15.75" customHeight="1">
      <c r="A844" s="82"/>
      <c r="B844" s="82"/>
      <c r="C844" s="82"/>
    </row>
    <row r="845" ht="15.75" customHeight="1">
      <c r="A845" s="82"/>
      <c r="B845" s="82"/>
      <c r="C845" s="82"/>
    </row>
    <row r="846" ht="15.75" customHeight="1">
      <c r="A846" s="82"/>
      <c r="B846" s="82"/>
      <c r="C846" s="82"/>
    </row>
    <row r="847" ht="15.75" customHeight="1">
      <c r="A847" s="82"/>
      <c r="B847" s="82"/>
      <c r="C847" s="82"/>
    </row>
    <row r="848" ht="15.75" customHeight="1">
      <c r="A848" s="82"/>
      <c r="B848" s="82"/>
      <c r="C848" s="82"/>
    </row>
    <row r="849" ht="15.75" customHeight="1">
      <c r="A849" s="82"/>
      <c r="B849" s="82"/>
      <c r="C849" s="82"/>
    </row>
    <row r="850" ht="15.75" customHeight="1">
      <c r="A850" s="82"/>
      <c r="B850" s="82"/>
      <c r="C850" s="82"/>
    </row>
    <row r="851" ht="15.75" customHeight="1">
      <c r="A851" s="82"/>
      <c r="B851" s="82"/>
      <c r="C851" s="82"/>
    </row>
    <row r="852" ht="15.75" customHeight="1">
      <c r="A852" s="82"/>
      <c r="B852" s="82"/>
      <c r="C852" s="82"/>
    </row>
    <row r="853" ht="15.75" customHeight="1">
      <c r="A853" s="82"/>
      <c r="B853" s="82"/>
      <c r="C853" s="82"/>
    </row>
    <row r="854" ht="15.75" customHeight="1">
      <c r="A854" s="82"/>
      <c r="B854" s="82"/>
      <c r="C854" s="82"/>
    </row>
    <row r="855" ht="15.75" customHeight="1">
      <c r="A855" s="82"/>
      <c r="B855" s="82"/>
      <c r="C855" s="82"/>
    </row>
    <row r="856" ht="15.75" customHeight="1">
      <c r="A856" s="82"/>
      <c r="B856" s="82"/>
      <c r="C856" s="82"/>
    </row>
    <row r="857" ht="15.75" customHeight="1">
      <c r="A857" s="82"/>
      <c r="B857" s="82"/>
      <c r="C857" s="82"/>
    </row>
    <row r="858" ht="15.75" customHeight="1">
      <c r="A858" s="82"/>
      <c r="B858" s="82"/>
      <c r="C858" s="82"/>
    </row>
    <row r="859" ht="15.75" customHeight="1">
      <c r="A859" s="82"/>
      <c r="B859" s="82"/>
      <c r="C859" s="82"/>
    </row>
    <row r="860" ht="15.75" customHeight="1">
      <c r="A860" s="82"/>
      <c r="B860" s="82"/>
      <c r="C860" s="82"/>
    </row>
    <row r="861" ht="15.75" customHeight="1">
      <c r="A861" s="82"/>
      <c r="B861" s="82"/>
      <c r="C861" s="82"/>
    </row>
    <row r="862" ht="15.75" customHeight="1">
      <c r="A862" s="82"/>
      <c r="B862" s="82"/>
      <c r="C862" s="82"/>
    </row>
    <row r="863" ht="15.75" customHeight="1">
      <c r="A863" s="82"/>
      <c r="B863" s="82"/>
      <c r="C863" s="82"/>
    </row>
    <row r="864" ht="15.75" customHeight="1">
      <c r="A864" s="82"/>
      <c r="B864" s="82"/>
      <c r="C864" s="82"/>
    </row>
    <row r="865" ht="15.75" customHeight="1">
      <c r="A865" s="82"/>
      <c r="B865" s="82"/>
      <c r="C865" s="82"/>
    </row>
    <row r="866" ht="15.75" customHeight="1">
      <c r="A866" s="82"/>
      <c r="B866" s="82"/>
      <c r="C866" s="82"/>
    </row>
    <row r="867" ht="15.75" customHeight="1">
      <c r="A867" s="82"/>
      <c r="B867" s="82"/>
      <c r="C867" s="82"/>
    </row>
    <row r="868" ht="15.75" customHeight="1">
      <c r="A868" s="82"/>
      <c r="B868" s="82"/>
      <c r="C868" s="82"/>
    </row>
    <row r="869" ht="15.75" customHeight="1">
      <c r="A869" s="82"/>
      <c r="B869" s="82"/>
      <c r="C869" s="82"/>
    </row>
    <row r="870" ht="15.75" customHeight="1">
      <c r="A870" s="82"/>
      <c r="B870" s="82"/>
      <c r="C870" s="82"/>
    </row>
    <row r="871" ht="15.75" customHeight="1">
      <c r="A871" s="82"/>
      <c r="B871" s="82"/>
      <c r="C871" s="82"/>
    </row>
    <row r="872" ht="15.75" customHeight="1">
      <c r="A872" s="82"/>
      <c r="B872" s="82"/>
      <c r="C872" s="82"/>
    </row>
    <row r="873" ht="15.75" customHeight="1">
      <c r="A873" s="82"/>
      <c r="B873" s="82"/>
      <c r="C873" s="82"/>
    </row>
    <row r="874" ht="15.75" customHeight="1">
      <c r="A874" s="82"/>
      <c r="B874" s="82"/>
      <c r="C874" s="82"/>
    </row>
    <row r="875" ht="15.75" customHeight="1">
      <c r="A875" s="82"/>
      <c r="B875" s="82"/>
      <c r="C875" s="82"/>
    </row>
    <row r="876" ht="15.75" customHeight="1">
      <c r="A876" s="82"/>
      <c r="B876" s="82"/>
      <c r="C876" s="82"/>
    </row>
    <row r="877" ht="15.75" customHeight="1">
      <c r="A877" s="82"/>
      <c r="B877" s="82"/>
      <c r="C877" s="82"/>
    </row>
    <row r="878" ht="15.75" customHeight="1">
      <c r="A878" s="82"/>
      <c r="B878" s="82"/>
      <c r="C878" s="82"/>
    </row>
    <row r="879" ht="15.75" customHeight="1">
      <c r="A879" s="82"/>
      <c r="B879" s="82"/>
      <c r="C879" s="82"/>
    </row>
    <row r="880" ht="15.75" customHeight="1">
      <c r="A880" s="82"/>
      <c r="B880" s="82"/>
      <c r="C880" s="82"/>
    </row>
    <row r="881" ht="15.75" customHeight="1">
      <c r="A881" s="82"/>
      <c r="B881" s="82"/>
      <c r="C881" s="82"/>
    </row>
    <row r="882" ht="15.75" customHeight="1">
      <c r="A882" s="82"/>
      <c r="B882" s="82"/>
      <c r="C882" s="82"/>
    </row>
    <row r="883" ht="15.75" customHeight="1">
      <c r="A883" s="82"/>
      <c r="B883" s="82"/>
      <c r="C883" s="82"/>
    </row>
    <row r="884" ht="15.75" customHeight="1">
      <c r="A884" s="82"/>
      <c r="B884" s="82"/>
      <c r="C884" s="82"/>
    </row>
    <row r="885" ht="15.75" customHeight="1">
      <c r="A885" s="82"/>
      <c r="B885" s="82"/>
      <c r="C885" s="82"/>
    </row>
    <row r="886" ht="15.75" customHeight="1">
      <c r="A886" s="82"/>
      <c r="B886" s="82"/>
      <c r="C886" s="82"/>
    </row>
    <row r="887" ht="15.75" customHeight="1">
      <c r="A887" s="82"/>
      <c r="B887" s="82"/>
      <c r="C887" s="82"/>
    </row>
    <row r="888" ht="15.75" customHeight="1">
      <c r="A888" s="82"/>
      <c r="B888" s="82"/>
      <c r="C888" s="82"/>
    </row>
    <row r="889" ht="15.75" customHeight="1">
      <c r="A889" s="82"/>
      <c r="B889" s="82"/>
      <c r="C889" s="82"/>
    </row>
    <row r="890" ht="15.75" customHeight="1">
      <c r="A890" s="82"/>
      <c r="B890" s="82"/>
      <c r="C890" s="82"/>
    </row>
    <row r="891" ht="15.75" customHeight="1">
      <c r="A891" s="82"/>
      <c r="B891" s="82"/>
      <c r="C891" s="82"/>
    </row>
    <row r="892" ht="15.75" customHeight="1">
      <c r="A892" s="82"/>
      <c r="B892" s="82"/>
      <c r="C892" s="82"/>
    </row>
    <row r="893" ht="15.75" customHeight="1">
      <c r="A893" s="82"/>
      <c r="B893" s="82"/>
      <c r="C893" s="82"/>
    </row>
    <row r="894" ht="15.75" customHeight="1">
      <c r="A894" s="82"/>
      <c r="B894" s="82"/>
      <c r="C894" s="82"/>
    </row>
    <row r="895" ht="15.75" customHeight="1">
      <c r="A895" s="82"/>
      <c r="B895" s="82"/>
      <c r="C895" s="82"/>
    </row>
    <row r="896" ht="15.75" customHeight="1">
      <c r="A896" s="82"/>
      <c r="B896" s="82"/>
      <c r="C896" s="82"/>
    </row>
    <row r="897" ht="15.75" customHeight="1">
      <c r="A897" s="82"/>
      <c r="B897" s="82"/>
      <c r="C897" s="82"/>
    </row>
    <row r="898" ht="15.75" customHeight="1">
      <c r="A898" s="82"/>
      <c r="B898" s="82"/>
      <c r="C898" s="82"/>
    </row>
    <row r="899" ht="15.75" customHeight="1">
      <c r="A899" s="82"/>
      <c r="B899" s="82"/>
      <c r="C899" s="82"/>
    </row>
    <row r="900" ht="15.75" customHeight="1">
      <c r="A900" s="82"/>
      <c r="B900" s="82"/>
      <c r="C900" s="82"/>
    </row>
    <row r="901" ht="15.75" customHeight="1">
      <c r="A901" s="82"/>
      <c r="B901" s="82"/>
      <c r="C901" s="82"/>
    </row>
    <row r="902" ht="15.75" customHeight="1">
      <c r="A902" s="82"/>
      <c r="B902" s="82"/>
      <c r="C902" s="82"/>
    </row>
    <row r="903" ht="15.75" customHeight="1">
      <c r="A903" s="82"/>
      <c r="B903" s="82"/>
      <c r="C903" s="82"/>
    </row>
    <row r="904" ht="15.75" customHeight="1">
      <c r="A904" s="82"/>
      <c r="B904" s="82"/>
      <c r="C904" s="82"/>
    </row>
    <row r="905" ht="15.75" customHeight="1">
      <c r="A905" s="82"/>
      <c r="B905" s="82"/>
      <c r="C905" s="82"/>
    </row>
    <row r="906" ht="15.75" customHeight="1">
      <c r="A906" s="82"/>
      <c r="B906" s="82"/>
      <c r="C906" s="82"/>
    </row>
    <row r="907" ht="15.75" customHeight="1">
      <c r="A907" s="82"/>
      <c r="B907" s="82"/>
      <c r="C907" s="82"/>
    </row>
    <row r="908" ht="15.75" customHeight="1">
      <c r="A908" s="82"/>
      <c r="B908" s="82"/>
      <c r="C908" s="82"/>
    </row>
    <row r="909" ht="15.75" customHeight="1">
      <c r="A909" s="82"/>
      <c r="B909" s="82"/>
      <c r="C909" s="82"/>
    </row>
    <row r="910" ht="15.75" customHeight="1">
      <c r="A910" s="82"/>
      <c r="B910" s="82"/>
      <c r="C910" s="82"/>
    </row>
    <row r="911" ht="15.75" customHeight="1">
      <c r="A911" s="82"/>
      <c r="B911" s="82"/>
      <c r="C911" s="82"/>
    </row>
    <row r="912" ht="15.75" customHeight="1">
      <c r="A912" s="82"/>
      <c r="B912" s="82"/>
      <c r="C912" s="82"/>
    </row>
    <row r="913" ht="15.75" customHeight="1">
      <c r="A913" s="82"/>
      <c r="B913" s="82"/>
      <c r="C913" s="82"/>
    </row>
    <row r="914" ht="15.75" customHeight="1">
      <c r="A914" s="82"/>
      <c r="B914" s="82"/>
      <c r="C914" s="82"/>
    </row>
    <row r="915" ht="15.75" customHeight="1">
      <c r="A915" s="82"/>
      <c r="B915" s="82"/>
      <c r="C915" s="82"/>
    </row>
    <row r="916" ht="15.75" customHeight="1">
      <c r="A916" s="82"/>
      <c r="B916" s="82"/>
      <c r="C916" s="82"/>
    </row>
    <row r="917" ht="15.75" customHeight="1">
      <c r="A917" s="82"/>
      <c r="B917" s="82"/>
      <c r="C917" s="82"/>
    </row>
    <row r="918" ht="15.75" customHeight="1">
      <c r="A918" s="82"/>
      <c r="B918" s="82"/>
      <c r="C918" s="82"/>
    </row>
    <row r="919" ht="15.75" customHeight="1">
      <c r="A919" s="82"/>
      <c r="B919" s="82"/>
      <c r="C919" s="82"/>
    </row>
    <row r="920" ht="15.75" customHeight="1">
      <c r="A920" s="82"/>
      <c r="B920" s="82"/>
      <c r="C920" s="82"/>
    </row>
    <row r="921" ht="15.75" customHeight="1">
      <c r="A921" s="82"/>
      <c r="B921" s="82"/>
      <c r="C921" s="82"/>
    </row>
    <row r="922" ht="15.75" customHeight="1">
      <c r="A922" s="82"/>
      <c r="B922" s="82"/>
      <c r="C922" s="82"/>
    </row>
    <row r="923" ht="15.75" customHeight="1">
      <c r="A923" s="82"/>
      <c r="B923" s="82"/>
      <c r="C923" s="82"/>
    </row>
    <row r="924" ht="15.75" customHeight="1">
      <c r="A924" s="82"/>
      <c r="B924" s="82"/>
      <c r="C924" s="82"/>
    </row>
    <row r="925" ht="15.75" customHeight="1">
      <c r="A925" s="82"/>
      <c r="B925" s="82"/>
      <c r="C925" s="82"/>
    </row>
    <row r="926" ht="15.75" customHeight="1">
      <c r="A926" s="82"/>
      <c r="B926" s="82"/>
      <c r="C926" s="82"/>
    </row>
    <row r="927" ht="15.75" customHeight="1">
      <c r="A927" s="82"/>
      <c r="B927" s="82"/>
      <c r="C927" s="82"/>
    </row>
    <row r="928" ht="15.75" customHeight="1">
      <c r="A928" s="82"/>
      <c r="B928" s="82"/>
      <c r="C928" s="82"/>
    </row>
    <row r="929" ht="15.75" customHeight="1">
      <c r="A929" s="82"/>
      <c r="B929" s="82"/>
      <c r="C929" s="82"/>
    </row>
    <row r="930" ht="15.75" customHeight="1">
      <c r="A930" s="82"/>
      <c r="B930" s="82"/>
      <c r="C930" s="82"/>
    </row>
    <row r="931" ht="15.75" customHeight="1">
      <c r="A931" s="82"/>
      <c r="B931" s="82"/>
      <c r="C931" s="82"/>
    </row>
    <row r="932" ht="15.75" customHeight="1">
      <c r="A932" s="82"/>
      <c r="B932" s="82"/>
      <c r="C932" s="82"/>
    </row>
    <row r="933" ht="15.75" customHeight="1">
      <c r="A933" s="82"/>
      <c r="B933" s="82"/>
      <c r="C933" s="82"/>
    </row>
    <row r="934" ht="15.75" customHeight="1">
      <c r="A934" s="82"/>
      <c r="B934" s="82"/>
      <c r="C934" s="82"/>
    </row>
    <row r="935" ht="15.75" customHeight="1">
      <c r="A935" s="82"/>
      <c r="B935" s="82"/>
      <c r="C935" s="82"/>
    </row>
    <row r="936" ht="15.75" customHeight="1">
      <c r="A936" s="82"/>
      <c r="B936" s="82"/>
      <c r="C936" s="82"/>
    </row>
    <row r="937" ht="15.75" customHeight="1">
      <c r="A937" s="82"/>
      <c r="B937" s="82"/>
      <c r="C937" s="82"/>
    </row>
    <row r="938" ht="15.75" customHeight="1">
      <c r="A938" s="82"/>
      <c r="B938" s="82"/>
      <c r="C938" s="82"/>
    </row>
    <row r="939" ht="15.75" customHeight="1">
      <c r="A939" s="82"/>
      <c r="B939" s="82"/>
      <c r="C939" s="82"/>
    </row>
    <row r="940" ht="15.75" customHeight="1">
      <c r="A940" s="82"/>
      <c r="B940" s="82"/>
      <c r="C940" s="82"/>
    </row>
    <row r="941" ht="15.75" customHeight="1">
      <c r="A941" s="82"/>
      <c r="B941" s="82"/>
      <c r="C941" s="82"/>
    </row>
    <row r="942" ht="15.75" customHeight="1">
      <c r="A942" s="82"/>
      <c r="B942" s="82"/>
      <c r="C942" s="82"/>
    </row>
    <row r="943" ht="15.75" customHeight="1">
      <c r="A943" s="82"/>
      <c r="B943" s="82"/>
      <c r="C943" s="82"/>
    </row>
    <row r="944" ht="15.75" customHeight="1">
      <c r="A944" s="82"/>
      <c r="B944" s="82"/>
      <c r="C944" s="82"/>
    </row>
    <row r="945" ht="15.75" customHeight="1">
      <c r="A945" s="82"/>
      <c r="B945" s="82"/>
      <c r="C945" s="82"/>
    </row>
    <row r="946" ht="15.75" customHeight="1">
      <c r="A946" s="82"/>
      <c r="B946" s="82"/>
      <c r="C946" s="82"/>
    </row>
    <row r="947" ht="15.75" customHeight="1">
      <c r="A947" s="82"/>
      <c r="B947" s="82"/>
      <c r="C947" s="82"/>
    </row>
    <row r="948" ht="15.75" customHeight="1">
      <c r="A948" s="82"/>
      <c r="B948" s="82"/>
      <c r="C948" s="82"/>
    </row>
    <row r="949" ht="15.75" customHeight="1">
      <c r="A949" s="82"/>
      <c r="B949" s="82"/>
      <c r="C949" s="82"/>
    </row>
    <row r="950" ht="15.75" customHeight="1">
      <c r="A950" s="82"/>
      <c r="B950" s="82"/>
      <c r="C950" s="82"/>
    </row>
    <row r="951" ht="15.75" customHeight="1">
      <c r="A951" s="82"/>
      <c r="B951" s="82"/>
      <c r="C951" s="82"/>
    </row>
    <row r="952" ht="15.75" customHeight="1">
      <c r="A952" s="82"/>
      <c r="B952" s="82"/>
      <c r="C952" s="82"/>
    </row>
    <row r="953" ht="15.75" customHeight="1">
      <c r="A953" s="82"/>
      <c r="B953" s="82"/>
      <c r="C953" s="82"/>
    </row>
    <row r="954" ht="15.75" customHeight="1">
      <c r="A954" s="82"/>
      <c r="B954" s="82"/>
      <c r="C954" s="82"/>
    </row>
    <row r="955" ht="15.75" customHeight="1">
      <c r="A955" s="82"/>
      <c r="B955" s="82"/>
      <c r="C955" s="82"/>
    </row>
    <row r="956" ht="15.75" customHeight="1">
      <c r="A956" s="82"/>
      <c r="B956" s="82"/>
      <c r="C956" s="82"/>
    </row>
    <row r="957" ht="15.75" customHeight="1">
      <c r="A957" s="82"/>
      <c r="B957" s="82"/>
      <c r="C957" s="82"/>
    </row>
    <row r="958" ht="15.75" customHeight="1">
      <c r="A958" s="82"/>
      <c r="B958" s="82"/>
      <c r="C958" s="82"/>
    </row>
    <row r="959" ht="15.75" customHeight="1">
      <c r="A959" s="82"/>
      <c r="B959" s="82"/>
      <c r="C959" s="82"/>
    </row>
    <row r="960" ht="15.75" customHeight="1">
      <c r="A960" s="82"/>
      <c r="B960" s="82"/>
      <c r="C960" s="82"/>
    </row>
    <row r="961" ht="15.75" customHeight="1">
      <c r="A961" s="82"/>
      <c r="B961" s="82"/>
      <c r="C961" s="82"/>
    </row>
    <row r="962" ht="15.75" customHeight="1">
      <c r="A962" s="82"/>
      <c r="B962" s="82"/>
      <c r="C962" s="82"/>
    </row>
    <row r="963" ht="15.75" customHeight="1">
      <c r="A963" s="82"/>
      <c r="B963" s="82"/>
      <c r="C963" s="82"/>
    </row>
    <row r="964" ht="15.75" customHeight="1">
      <c r="A964" s="82"/>
      <c r="B964" s="82"/>
      <c r="C964" s="82"/>
    </row>
    <row r="965" ht="15.75" customHeight="1">
      <c r="A965" s="82"/>
      <c r="B965" s="82"/>
      <c r="C965" s="82"/>
    </row>
    <row r="966" ht="15.75" customHeight="1">
      <c r="A966" s="82"/>
      <c r="B966" s="82"/>
      <c r="C966" s="82"/>
    </row>
    <row r="967" ht="15.75" customHeight="1">
      <c r="A967" s="82"/>
      <c r="B967" s="82"/>
      <c r="C967" s="82"/>
    </row>
    <row r="968" ht="15.75" customHeight="1">
      <c r="A968" s="82"/>
      <c r="B968" s="82"/>
      <c r="C968" s="82"/>
    </row>
    <row r="969" ht="15.75" customHeight="1">
      <c r="A969" s="82"/>
      <c r="B969" s="82"/>
      <c r="C969" s="82"/>
    </row>
    <row r="970" ht="15.75" customHeight="1">
      <c r="A970" s="82"/>
      <c r="B970" s="82"/>
      <c r="C970" s="82"/>
    </row>
    <row r="971" ht="15.75" customHeight="1">
      <c r="A971" s="82"/>
      <c r="B971" s="82"/>
      <c r="C971" s="82"/>
    </row>
    <row r="972" ht="15.75" customHeight="1">
      <c r="A972" s="82"/>
      <c r="B972" s="82"/>
      <c r="C972" s="82"/>
    </row>
    <row r="973" ht="15.75" customHeight="1">
      <c r="A973" s="82"/>
      <c r="B973" s="82"/>
      <c r="C973" s="82"/>
    </row>
    <row r="974" ht="15.75" customHeight="1">
      <c r="A974" s="82"/>
      <c r="B974" s="82"/>
      <c r="C974" s="82"/>
    </row>
    <row r="975" ht="15.75" customHeight="1">
      <c r="A975" s="82"/>
      <c r="B975" s="82"/>
      <c r="C975" s="82"/>
    </row>
    <row r="976" ht="15.75" customHeight="1">
      <c r="A976" s="82"/>
      <c r="B976" s="82"/>
      <c r="C976" s="82"/>
    </row>
    <row r="977" ht="15.75" customHeight="1">
      <c r="A977" s="82"/>
      <c r="B977" s="82"/>
      <c r="C977" s="82"/>
    </row>
    <row r="978" ht="15.75" customHeight="1">
      <c r="A978" s="82"/>
      <c r="B978" s="82"/>
      <c r="C978" s="82"/>
    </row>
    <row r="979" ht="15.75" customHeight="1">
      <c r="A979" s="82"/>
      <c r="B979" s="82"/>
      <c r="C979" s="82"/>
    </row>
    <row r="980" ht="15.75" customHeight="1">
      <c r="A980" s="82"/>
      <c r="B980" s="82"/>
      <c r="C980" s="82"/>
    </row>
    <row r="981" ht="15.75" customHeight="1">
      <c r="A981" s="82"/>
      <c r="B981" s="82"/>
      <c r="C981" s="82"/>
    </row>
    <row r="982" ht="15.75" customHeight="1">
      <c r="A982" s="82"/>
      <c r="B982" s="82"/>
      <c r="C982" s="82"/>
    </row>
    <row r="983" ht="15.75" customHeight="1">
      <c r="A983" s="82"/>
      <c r="B983" s="82"/>
      <c r="C983" s="82"/>
    </row>
    <row r="984" ht="15.75" customHeight="1">
      <c r="A984" s="82"/>
      <c r="B984" s="82"/>
      <c r="C984" s="82"/>
    </row>
    <row r="985" ht="15.75" customHeight="1">
      <c r="A985" s="82"/>
      <c r="B985" s="82"/>
      <c r="C985" s="82"/>
    </row>
    <row r="986" ht="15.75" customHeight="1">
      <c r="A986" s="82"/>
      <c r="B986" s="82"/>
      <c r="C986" s="82"/>
    </row>
    <row r="987" ht="15.75" customHeight="1">
      <c r="A987" s="82"/>
      <c r="B987" s="82"/>
      <c r="C987" s="82"/>
    </row>
    <row r="988" ht="15.75" customHeight="1">
      <c r="A988" s="82"/>
      <c r="B988" s="82"/>
      <c r="C988" s="82"/>
    </row>
    <row r="989" ht="15.75" customHeight="1">
      <c r="A989" s="82"/>
      <c r="B989" s="82"/>
      <c r="C989" s="82"/>
    </row>
    <row r="990" ht="15.75" customHeight="1">
      <c r="A990" s="82"/>
      <c r="B990" s="82"/>
      <c r="C990" s="82"/>
    </row>
    <row r="991" ht="15.75" customHeight="1">
      <c r="A991" s="82"/>
      <c r="B991" s="82"/>
      <c r="C991" s="82"/>
    </row>
    <row r="992" ht="15.75" customHeight="1">
      <c r="A992" s="82"/>
      <c r="B992" s="82"/>
      <c r="C992" s="82"/>
    </row>
    <row r="993" ht="15.75" customHeight="1">
      <c r="A993" s="82"/>
      <c r="B993" s="82"/>
      <c r="C993" s="82"/>
    </row>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38"/>
    <col customWidth="1" min="2" max="3" width="12.63"/>
    <col customWidth="1" min="4" max="4" width="18.13"/>
    <col customWidth="1" min="5" max="5" width="24.25"/>
    <col customWidth="1" min="6" max="6" width="22.63"/>
    <col customWidth="1" min="7" max="7" width="17.38"/>
    <col customWidth="1" min="8" max="8" width="23.13"/>
    <col customWidth="1" min="9" max="9" width="25.75"/>
    <col customWidth="1" min="10" max="10" width="20.75"/>
    <col customWidth="1" min="11" max="11" width="18.25"/>
    <col customWidth="1" min="12" max="12" width="24.25"/>
    <col customWidth="1" min="13" max="13" width="18.25"/>
    <col customWidth="1" min="14" max="14" width="24.13"/>
    <col customWidth="1" min="15" max="15" width="65.0"/>
    <col customWidth="1" min="16" max="16" width="20.13"/>
    <col customWidth="1" min="17" max="17" width="101.25"/>
  </cols>
  <sheetData>
    <row r="1" ht="15.75" customHeight="1">
      <c r="A1" s="41" t="s">
        <v>712</v>
      </c>
      <c r="B1" s="41" t="s">
        <v>559</v>
      </c>
      <c r="C1" s="41" t="s">
        <v>11</v>
      </c>
      <c r="D1" s="41" t="s">
        <v>618</v>
      </c>
      <c r="E1" s="41" t="s">
        <v>720</v>
      </c>
      <c r="F1" s="41" t="s">
        <v>722</v>
      </c>
      <c r="G1" s="41" t="s">
        <v>725</v>
      </c>
      <c r="H1" s="41" t="s">
        <v>727</v>
      </c>
      <c r="I1" s="41" t="s">
        <v>728</v>
      </c>
      <c r="J1" s="41" t="s">
        <v>730</v>
      </c>
      <c r="K1" s="41" t="s">
        <v>731</v>
      </c>
      <c r="L1" s="41" t="s">
        <v>735</v>
      </c>
      <c r="M1" s="42" t="s">
        <v>737</v>
      </c>
      <c r="N1" s="42" t="s">
        <v>742</v>
      </c>
      <c r="O1" s="41" t="s">
        <v>1136</v>
      </c>
      <c r="P1" s="41" t="s">
        <v>27</v>
      </c>
      <c r="Q1" s="41" t="s">
        <v>1137</v>
      </c>
    </row>
    <row r="2" ht="15.75" customHeight="1">
      <c r="A2" s="43" t="s">
        <v>744</v>
      </c>
      <c r="B2" s="43" t="s">
        <v>581</v>
      </c>
      <c r="C2" s="43" t="s">
        <v>519</v>
      </c>
      <c r="D2" s="43" t="s">
        <v>748</v>
      </c>
      <c r="E2" s="43" t="s">
        <v>749</v>
      </c>
      <c r="F2" s="43" t="s">
        <v>751</v>
      </c>
      <c r="G2" s="44">
        <v>2024.0</v>
      </c>
      <c r="H2" s="44">
        <v>0.0066</v>
      </c>
      <c r="I2" s="44">
        <v>0.0085</v>
      </c>
      <c r="J2" s="44">
        <v>2.0</v>
      </c>
      <c r="K2" s="44">
        <v>2.0</v>
      </c>
      <c r="L2" s="44">
        <v>1.0</v>
      </c>
      <c r="M2" s="66">
        <v>0.44</v>
      </c>
      <c r="N2" s="67" t="s">
        <v>764</v>
      </c>
      <c r="O2" s="43" t="s">
        <v>1145</v>
      </c>
      <c r="P2" s="43" t="s">
        <v>1146</v>
      </c>
      <c r="Q2" s="43" t="s">
        <v>1147</v>
      </c>
    </row>
    <row r="3" ht="15.75" customHeight="1">
      <c r="A3" s="43" t="s">
        <v>767</v>
      </c>
      <c r="B3" s="43" t="s">
        <v>596</v>
      </c>
      <c r="C3" s="43" t="s">
        <v>481</v>
      </c>
      <c r="D3" s="43" t="s">
        <v>774</v>
      </c>
      <c r="E3" s="43" t="s">
        <v>749</v>
      </c>
      <c r="F3" s="43" t="s">
        <v>751</v>
      </c>
      <c r="G3" s="44">
        <v>2024.0</v>
      </c>
      <c r="H3" s="44">
        <v>0.0083</v>
      </c>
      <c r="I3" s="44">
        <v>0.0104</v>
      </c>
      <c r="J3" s="44">
        <v>2.0</v>
      </c>
      <c r="K3" s="44">
        <v>1.0</v>
      </c>
      <c r="L3" s="44">
        <v>1.0</v>
      </c>
      <c r="M3" s="66">
        <v>0.68</v>
      </c>
      <c r="N3" s="67" t="s">
        <v>764</v>
      </c>
      <c r="O3" s="43" t="s">
        <v>1145</v>
      </c>
      <c r="P3" s="43" t="s">
        <v>1146</v>
      </c>
      <c r="Q3" s="43" t="s">
        <v>1147</v>
      </c>
    </row>
    <row r="4" ht="15.75" customHeight="1">
      <c r="A4" s="43" t="s">
        <v>781</v>
      </c>
      <c r="B4" s="43" t="s">
        <v>581</v>
      </c>
      <c r="C4" s="43" t="s">
        <v>341</v>
      </c>
      <c r="D4" s="43" t="s">
        <v>783</v>
      </c>
      <c r="E4" s="43" t="s">
        <v>784</v>
      </c>
      <c r="F4" s="43" t="s">
        <v>751</v>
      </c>
      <c r="G4" s="44">
        <v>2024.0</v>
      </c>
      <c r="H4" s="44">
        <v>3.2304</v>
      </c>
      <c r="I4" s="44">
        <v>4.0321</v>
      </c>
      <c r="J4" s="44">
        <v>37.0</v>
      </c>
      <c r="K4" s="44">
        <v>30.0</v>
      </c>
      <c r="L4" s="44">
        <v>3.0</v>
      </c>
      <c r="M4" s="66">
        <v>270.81</v>
      </c>
      <c r="N4" s="67" t="s">
        <v>764</v>
      </c>
      <c r="O4" s="43" t="s">
        <v>1145</v>
      </c>
      <c r="P4" s="43" t="s">
        <v>1146</v>
      </c>
      <c r="Q4" s="43" t="s">
        <v>1147</v>
      </c>
    </row>
    <row r="5" ht="15.75" customHeight="1">
      <c r="A5" s="43" t="s">
        <v>789</v>
      </c>
      <c r="B5" s="43" t="s">
        <v>577</v>
      </c>
      <c r="C5" s="43" t="s">
        <v>422</v>
      </c>
      <c r="D5" s="43" t="s">
        <v>688</v>
      </c>
      <c r="E5" s="43" t="s">
        <v>749</v>
      </c>
      <c r="F5" s="43" t="s">
        <v>751</v>
      </c>
      <c r="G5" s="44">
        <v>2024.0</v>
      </c>
      <c r="H5" s="44">
        <v>0.0104</v>
      </c>
      <c r="I5" s="44">
        <v>0.0112</v>
      </c>
      <c r="J5" s="44">
        <v>2.0</v>
      </c>
      <c r="K5" s="44">
        <v>1.0</v>
      </c>
      <c r="L5" s="44">
        <v>1.0</v>
      </c>
      <c r="M5" s="66">
        <v>1.26</v>
      </c>
      <c r="N5" s="67" t="s">
        <v>764</v>
      </c>
      <c r="O5" s="43" t="s">
        <v>1145</v>
      </c>
      <c r="P5" s="43" t="s">
        <v>1146</v>
      </c>
      <c r="Q5" s="43" t="s">
        <v>1147</v>
      </c>
    </row>
    <row r="6" ht="15.75" customHeight="1">
      <c r="A6" s="43" t="s">
        <v>795</v>
      </c>
      <c r="B6" s="43" t="s">
        <v>596</v>
      </c>
      <c r="C6" s="43" t="s">
        <v>481</v>
      </c>
      <c r="D6" s="43" t="s">
        <v>774</v>
      </c>
      <c r="E6" s="43" t="s">
        <v>797</v>
      </c>
      <c r="F6" s="43" t="s">
        <v>798</v>
      </c>
      <c r="G6" s="44">
        <v>2023.0</v>
      </c>
      <c r="H6" s="44">
        <v>0.0859</v>
      </c>
      <c r="I6" s="44">
        <v>0.0951</v>
      </c>
      <c r="J6" s="44">
        <v>4.0</v>
      </c>
      <c r="K6" s="44">
        <v>4.0</v>
      </c>
      <c r="L6" s="44">
        <v>1.0</v>
      </c>
      <c r="M6" s="66">
        <v>0.3485</v>
      </c>
      <c r="N6" s="67" t="s">
        <v>764</v>
      </c>
      <c r="O6" s="43" t="s">
        <v>1145</v>
      </c>
      <c r="P6" s="43" t="s">
        <v>1146</v>
      </c>
      <c r="Q6" s="43" t="s">
        <v>1147</v>
      </c>
    </row>
    <row r="7" ht="15.75" customHeight="1">
      <c r="A7" s="43" t="s">
        <v>807</v>
      </c>
      <c r="B7" s="43" t="s">
        <v>596</v>
      </c>
      <c r="C7" s="43" t="s">
        <v>443</v>
      </c>
      <c r="D7" s="43" t="s">
        <v>808</v>
      </c>
      <c r="E7" s="43" t="s">
        <v>749</v>
      </c>
      <c r="F7" s="43" t="s">
        <v>751</v>
      </c>
      <c r="G7" s="44">
        <v>2024.0</v>
      </c>
      <c r="H7" s="44">
        <v>0.0049</v>
      </c>
      <c r="I7" s="44">
        <v>0.0056</v>
      </c>
      <c r="J7" s="44">
        <v>2.0</v>
      </c>
      <c r="K7" s="44">
        <v>1.0</v>
      </c>
      <c r="L7" s="44">
        <v>1.0</v>
      </c>
      <c r="M7" s="66">
        <v>0.61</v>
      </c>
      <c r="N7" s="67" t="s">
        <v>764</v>
      </c>
      <c r="O7" s="43" t="s">
        <v>1145</v>
      </c>
      <c r="P7" s="43" t="s">
        <v>1146</v>
      </c>
      <c r="Q7" s="43" t="s">
        <v>1147</v>
      </c>
    </row>
    <row r="8" ht="15.75" customHeight="1">
      <c r="A8" s="43" t="s">
        <v>812</v>
      </c>
      <c r="B8" s="43" t="s">
        <v>581</v>
      </c>
      <c r="C8" s="43" t="s">
        <v>479</v>
      </c>
      <c r="D8" s="43" t="s">
        <v>811</v>
      </c>
      <c r="E8" s="43" t="s">
        <v>784</v>
      </c>
      <c r="F8" s="43" t="s">
        <v>751</v>
      </c>
      <c r="G8" s="44">
        <v>2024.0</v>
      </c>
      <c r="H8" s="44">
        <v>0.7281</v>
      </c>
      <c r="I8" s="44">
        <v>0.9315</v>
      </c>
      <c r="J8" s="44">
        <v>4.0</v>
      </c>
      <c r="K8" s="44">
        <v>3.0</v>
      </c>
      <c r="L8" s="44">
        <v>1.0</v>
      </c>
      <c r="M8" s="66">
        <v>63.89</v>
      </c>
      <c r="N8" s="67" t="s">
        <v>764</v>
      </c>
      <c r="O8" s="43" t="s">
        <v>1145</v>
      </c>
      <c r="P8" s="43" t="s">
        <v>1146</v>
      </c>
      <c r="Q8" s="43" t="s">
        <v>1147</v>
      </c>
    </row>
    <row r="9" ht="15.75" customHeight="1">
      <c r="A9" s="43" t="s">
        <v>815</v>
      </c>
      <c r="B9" s="43" t="s">
        <v>581</v>
      </c>
      <c r="C9" s="43" t="s">
        <v>202</v>
      </c>
      <c r="D9" s="43" t="s">
        <v>803</v>
      </c>
      <c r="E9" s="43" t="s">
        <v>817</v>
      </c>
      <c r="F9" s="43" t="s">
        <v>798</v>
      </c>
      <c r="G9" s="44">
        <v>2023.0</v>
      </c>
      <c r="H9" s="44">
        <v>0.1384</v>
      </c>
      <c r="I9" s="44">
        <v>0.1788</v>
      </c>
      <c r="J9" s="44">
        <v>2.0</v>
      </c>
      <c r="K9" s="44">
        <v>1.0</v>
      </c>
      <c r="L9" s="44">
        <v>1.0</v>
      </c>
      <c r="M9" s="66">
        <v>0.6753</v>
      </c>
      <c r="N9" s="67" t="s">
        <v>764</v>
      </c>
      <c r="O9" s="43" t="s">
        <v>1145</v>
      </c>
      <c r="P9" s="43" t="s">
        <v>1146</v>
      </c>
      <c r="Q9" s="43" t="s">
        <v>1147</v>
      </c>
    </row>
    <row r="10" ht="15.75" customHeight="1">
      <c r="A10" s="43" t="s">
        <v>818</v>
      </c>
      <c r="B10" s="43" t="s">
        <v>577</v>
      </c>
      <c r="C10" s="43" t="s">
        <v>169</v>
      </c>
      <c r="D10" s="43" t="s">
        <v>655</v>
      </c>
      <c r="E10" s="43" t="s">
        <v>817</v>
      </c>
      <c r="F10" s="43" t="s">
        <v>798</v>
      </c>
      <c r="G10" s="44">
        <v>2023.0</v>
      </c>
      <c r="H10" s="44">
        <v>0.132</v>
      </c>
      <c r="I10" s="44">
        <v>0.147</v>
      </c>
      <c r="J10" s="44">
        <v>2.0</v>
      </c>
      <c r="K10" s="44">
        <v>2.0</v>
      </c>
      <c r="L10" s="44">
        <v>1.0</v>
      </c>
      <c r="M10" s="66">
        <v>1.0075</v>
      </c>
      <c r="N10" s="67" t="s">
        <v>764</v>
      </c>
      <c r="O10" s="43" t="s">
        <v>1145</v>
      </c>
      <c r="P10" s="43" t="s">
        <v>1146</v>
      </c>
      <c r="Q10" s="43" t="s">
        <v>1147</v>
      </c>
    </row>
    <row r="11" ht="15.75" customHeight="1">
      <c r="A11" s="43" t="s">
        <v>820</v>
      </c>
      <c r="B11" s="43" t="s">
        <v>596</v>
      </c>
      <c r="C11" s="43" t="s">
        <v>493</v>
      </c>
      <c r="D11" s="43" t="s">
        <v>823</v>
      </c>
      <c r="E11" s="43" t="s">
        <v>749</v>
      </c>
      <c r="F11" s="43" t="s">
        <v>751</v>
      </c>
      <c r="G11" s="44">
        <v>2024.0</v>
      </c>
      <c r="H11" s="44">
        <v>0.0094</v>
      </c>
      <c r="I11" s="44">
        <v>0.0105</v>
      </c>
      <c r="J11" s="44">
        <v>2.0</v>
      </c>
      <c r="K11" s="44">
        <v>1.0</v>
      </c>
      <c r="L11" s="44">
        <v>1.0</v>
      </c>
      <c r="M11" s="66">
        <v>0.6</v>
      </c>
      <c r="N11" s="67" t="s">
        <v>764</v>
      </c>
      <c r="O11" s="43" t="s">
        <v>1145</v>
      </c>
      <c r="P11" s="43" t="s">
        <v>1146</v>
      </c>
      <c r="Q11" s="43" t="s">
        <v>1147</v>
      </c>
    </row>
    <row r="12" ht="15.75" customHeight="1">
      <c r="A12" s="43" t="s">
        <v>825</v>
      </c>
      <c r="B12" s="43" t="s">
        <v>577</v>
      </c>
      <c r="C12" s="43" t="s">
        <v>363</v>
      </c>
      <c r="D12" s="43" t="s">
        <v>634</v>
      </c>
      <c r="E12" s="43" t="s">
        <v>826</v>
      </c>
      <c r="F12" s="43" t="s">
        <v>751</v>
      </c>
      <c r="G12" s="44">
        <v>2024.0</v>
      </c>
      <c r="H12" s="44">
        <v>1.4245</v>
      </c>
      <c r="I12" s="44">
        <v>1.7938</v>
      </c>
      <c r="J12" s="44">
        <v>14.0</v>
      </c>
      <c r="K12" s="44">
        <v>9.0</v>
      </c>
      <c r="L12" s="44">
        <v>2.0</v>
      </c>
      <c r="M12" s="66">
        <v>106.04</v>
      </c>
      <c r="N12" s="67" t="s">
        <v>764</v>
      </c>
      <c r="O12" s="43" t="s">
        <v>1145</v>
      </c>
      <c r="P12" s="43" t="s">
        <v>1146</v>
      </c>
      <c r="Q12" s="43" t="s">
        <v>1147</v>
      </c>
    </row>
    <row r="13" ht="15.75" customHeight="1">
      <c r="A13" s="43" t="s">
        <v>828</v>
      </c>
      <c r="B13" s="43" t="s">
        <v>603</v>
      </c>
      <c r="C13" s="43" t="s">
        <v>449</v>
      </c>
      <c r="D13" s="43" t="s">
        <v>830</v>
      </c>
      <c r="E13" s="43" t="s">
        <v>797</v>
      </c>
      <c r="F13" s="43" t="s">
        <v>798</v>
      </c>
      <c r="G13" s="44">
        <v>2023.0</v>
      </c>
      <c r="H13" s="44">
        <v>0.2004</v>
      </c>
      <c r="I13" s="44">
        <v>0.2537</v>
      </c>
      <c r="J13" s="44">
        <v>2.0</v>
      </c>
      <c r="K13" s="44">
        <v>1.0</v>
      </c>
      <c r="L13" s="44">
        <v>1.0</v>
      </c>
      <c r="M13" s="66">
        <v>1.3043</v>
      </c>
      <c r="N13" s="67" t="s">
        <v>764</v>
      </c>
      <c r="O13" s="43" t="s">
        <v>1145</v>
      </c>
      <c r="P13" s="43" t="s">
        <v>1146</v>
      </c>
      <c r="Q13" s="43" t="s">
        <v>1147</v>
      </c>
    </row>
    <row r="14" ht="15.75" customHeight="1">
      <c r="A14" s="43" t="s">
        <v>832</v>
      </c>
      <c r="B14" s="43" t="s">
        <v>577</v>
      </c>
      <c r="C14" s="43" t="s">
        <v>294</v>
      </c>
      <c r="D14" s="43" t="s">
        <v>684</v>
      </c>
      <c r="E14" s="43" t="s">
        <v>817</v>
      </c>
      <c r="F14" s="43" t="s">
        <v>798</v>
      </c>
      <c r="G14" s="44">
        <v>2023.0</v>
      </c>
      <c r="H14" s="44">
        <v>0.0898</v>
      </c>
      <c r="I14" s="44">
        <v>0.109</v>
      </c>
      <c r="J14" s="44">
        <v>4.0</v>
      </c>
      <c r="K14" s="44">
        <v>3.0</v>
      </c>
      <c r="L14" s="44">
        <v>1.0</v>
      </c>
      <c r="M14" s="66">
        <v>0.4221</v>
      </c>
      <c r="N14" s="67" t="s">
        <v>764</v>
      </c>
      <c r="O14" s="43" t="s">
        <v>1145</v>
      </c>
      <c r="P14" s="43" t="s">
        <v>1146</v>
      </c>
      <c r="Q14" s="43" t="s">
        <v>1147</v>
      </c>
    </row>
    <row r="15" ht="15.75" customHeight="1">
      <c r="A15" s="43" t="s">
        <v>835</v>
      </c>
      <c r="B15" s="43" t="s">
        <v>581</v>
      </c>
      <c r="C15" s="43" t="s">
        <v>436</v>
      </c>
      <c r="D15" s="43" t="s">
        <v>793</v>
      </c>
      <c r="E15" s="43" t="s">
        <v>836</v>
      </c>
      <c r="F15" s="43" t="s">
        <v>798</v>
      </c>
      <c r="G15" s="44">
        <v>2023.0</v>
      </c>
      <c r="H15" s="44">
        <v>0.1955</v>
      </c>
      <c r="I15" s="44">
        <v>0.2367</v>
      </c>
      <c r="J15" s="44">
        <v>5.0</v>
      </c>
      <c r="K15" s="44">
        <v>2.0</v>
      </c>
      <c r="L15" s="44">
        <v>1.0</v>
      </c>
      <c r="M15" s="66">
        <v>1.4033</v>
      </c>
      <c r="N15" s="67" t="s">
        <v>764</v>
      </c>
      <c r="O15" s="43" t="s">
        <v>1145</v>
      </c>
      <c r="P15" s="43" t="s">
        <v>1146</v>
      </c>
      <c r="Q15" s="43" t="s">
        <v>1147</v>
      </c>
    </row>
    <row r="16" ht="15.75" customHeight="1">
      <c r="A16" s="43" t="s">
        <v>840</v>
      </c>
      <c r="B16" s="43" t="s">
        <v>605</v>
      </c>
      <c r="C16" s="43" t="s">
        <v>221</v>
      </c>
      <c r="D16" s="43" t="s">
        <v>841</v>
      </c>
      <c r="E16" s="43" t="s">
        <v>842</v>
      </c>
      <c r="F16" s="43" t="s">
        <v>751</v>
      </c>
      <c r="G16" s="44">
        <v>2024.0</v>
      </c>
      <c r="H16" s="44">
        <v>0.3843</v>
      </c>
      <c r="I16" s="44">
        <v>0.4924</v>
      </c>
      <c r="J16" s="44">
        <v>4.0</v>
      </c>
      <c r="K16" s="44">
        <v>3.0</v>
      </c>
      <c r="L16" s="44">
        <v>1.0</v>
      </c>
      <c r="M16" s="66">
        <v>25.89</v>
      </c>
      <c r="N16" s="67" t="s">
        <v>764</v>
      </c>
      <c r="O16" s="43" t="s">
        <v>1145</v>
      </c>
      <c r="P16" s="43" t="s">
        <v>1146</v>
      </c>
      <c r="Q16" s="43" t="s">
        <v>1147</v>
      </c>
    </row>
    <row r="17" ht="15.75" customHeight="1">
      <c r="A17" s="43" t="s">
        <v>846</v>
      </c>
      <c r="B17" s="43" t="s">
        <v>605</v>
      </c>
      <c r="C17" s="43" t="s">
        <v>408</v>
      </c>
      <c r="D17" s="43" t="s">
        <v>847</v>
      </c>
      <c r="E17" s="43" t="s">
        <v>836</v>
      </c>
      <c r="F17" s="43" t="s">
        <v>798</v>
      </c>
      <c r="G17" s="44">
        <v>2023.0</v>
      </c>
      <c r="H17" s="44">
        <v>0.3959</v>
      </c>
      <c r="I17" s="44">
        <v>0.4476</v>
      </c>
      <c r="J17" s="44">
        <v>4.0</v>
      </c>
      <c r="K17" s="44">
        <v>3.0</v>
      </c>
      <c r="L17" s="44">
        <v>1.0</v>
      </c>
      <c r="M17" s="66">
        <v>4.338</v>
      </c>
      <c r="N17" s="67" t="s">
        <v>764</v>
      </c>
      <c r="O17" s="43" t="s">
        <v>1145</v>
      </c>
      <c r="P17" s="43" t="s">
        <v>1146</v>
      </c>
      <c r="Q17" s="43" t="s">
        <v>1147</v>
      </c>
    </row>
    <row r="18" ht="15.75" customHeight="1">
      <c r="A18" s="43" t="s">
        <v>850</v>
      </c>
      <c r="B18" s="43" t="s">
        <v>581</v>
      </c>
      <c r="C18" s="43" t="s">
        <v>336</v>
      </c>
      <c r="D18" s="43" t="s">
        <v>755</v>
      </c>
      <c r="E18" s="43" t="s">
        <v>826</v>
      </c>
      <c r="F18" s="43" t="s">
        <v>751</v>
      </c>
      <c r="G18" s="44">
        <v>2024.0</v>
      </c>
      <c r="H18" s="44">
        <v>2.0105</v>
      </c>
      <c r="I18" s="44">
        <v>2.6983</v>
      </c>
      <c r="J18" s="44">
        <v>17.0</v>
      </c>
      <c r="K18" s="44">
        <v>13.0</v>
      </c>
      <c r="L18" s="44">
        <v>2.0</v>
      </c>
      <c r="M18" s="66">
        <v>167.63</v>
      </c>
      <c r="N18" s="67" t="s">
        <v>764</v>
      </c>
      <c r="O18" s="43" t="s">
        <v>1145</v>
      </c>
      <c r="P18" s="43" t="s">
        <v>1146</v>
      </c>
      <c r="Q18" s="43" t="s">
        <v>1147</v>
      </c>
    </row>
    <row r="19" ht="15.75" customHeight="1">
      <c r="A19" s="43" t="s">
        <v>855</v>
      </c>
      <c r="B19" s="43" t="s">
        <v>581</v>
      </c>
      <c r="C19" s="43" t="s">
        <v>489</v>
      </c>
      <c r="D19" s="43" t="s">
        <v>721</v>
      </c>
      <c r="E19" s="43" t="s">
        <v>797</v>
      </c>
      <c r="F19" s="43" t="s">
        <v>798</v>
      </c>
      <c r="G19" s="44">
        <v>2023.0</v>
      </c>
      <c r="H19" s="44">
        <v>0.0585</v>
      </c>
      <c r="I19" s="44">
        <v>0.0741</v>
      </c>
      <c r="J19" s="44">
        <v>2.0</v>
      </c>
      <c r="K19" s="44">
        <v>1.0</v>
      </c>
      <c r="L19" s="44">
        <v>1.0</v>
      </c>
      <c r="M19" s="66">
        <v>0.2598</v>
      </c>
      <c r="N19" s="67" t="s">
        <v>764</v>
      </c>
      <c r="O19" s="43" t="s">
        <v>1145</v>
      </c>
      <c r="P19" s="43" t="s">
        <v>1146</v>
      </c>
      <c r="Q19" s="43" t="s">
        <v>1147</v>
      </c>
    </row>
    <row r="20" ht="15.75" customHeight="1">
      <c r="A20" s="43" t="s">
        <v>860</v>
      </c>
      <c r="B20" s="43" t="s">
        <v>577</v>
      </c>
      <c r="C20" s="43" t="s">
        <v>414</v>
      </c>
      <c r="D20" s="43" t="s">
        <v>647</v>
      </c>
      <c r="E20" s="43" t="s">
        <v>817</v>
      </c>
      <c r="F20" s="43" t="s">
        <v>798</v>
      </c>
      <c r="G20" s="44">
        <v>2023.0</v>
      </c>
      <c r="H20" s="44">
        <v>0.0672</v>
      </c>
      <c r="I20" s="44">
        <v>0.084</v>
      </c>
      <c r="J20" s="44">
        <v>2.0</v>
      </c>
      <c r="K20" s="44">
        <v>1.0</v>
      </c>
      <c r="L20" s="44">
        <v>1.0</v>
      </c>
      <c r="M20" s="66">
        <v>0.3874</v>
      </c>
      <c r="N20" s="67" t="s">
        <v>764</v>
      </c>
      <c r="O20" s="43" t="s">
        <v>1145</v>
      </c>
      <c r="P20" s="43" t="s">
        <v>1146</v>
      </c>
      <c r="Q20" s="43" t="s">
        <v>1147</v>
      </c>
    </row>
    <row r="21" ht="15.75" customHeight="1">
      <c r="A21" s="43" t="s">
        <v>869</v>
      </c>
      <c r="B21" s="43" t="s">
        <v>605</v>
      </c>
      <c r="C21" s="43" t="s">
        <v>523</v>
      </c>
      <c r="D21" s="43" t="s">
        <v>872</v>
      </c>
      <c r="E21" s="43" t="s">
        <v>749</v>
      </c>
      <c r="F21" s="43" t="s">
        <v>751</v>
      </c>
      <c r="G21" s="44">
        <v>2024.0</v>
      </c>
      <c r="H21" s="44">
        <v>0.0088</v>
      </c>
      <c r="I21" s="44">
        <v>0.0112</v>
      </c>
      <c r="J21" s="44">
        <v>2.0</v>
      </c>
      <c r="K21" s="44">
        <v>1.0</v>
      </c>
      <c r="L21" s="44">
        <v>1.0</v>
      </c>
      <c r="M21" s="66">
        <v>1.04</v>
      </c>
      <c r="N21" s="67" t="s">
        <v>764</v>
      </c>
      <c r="O21" s="43" t="s">
        <v>1145</v>
      </c>
      <c r="P21" s="43" t="s">
        <v>1146</v>
      </c>
      <c r="Q21" s="43" t="s">
        <v>1147</v>
      </c>
    </row>
    <row r="22" ht="15.75" customHeight="1">
      <c r="A22" s="43" t="s">
        <v>877</v>
      </c>
      <c r="B22" s="43" t="s">
        <v>605</v>
      </c>
      <c r="C22" s="43" t="s">
        <v>408</v>
      </c>
      <c r="D22" s="43" t="s">
        <v>847</v>
      </c>
      <c r="E22" s="43" t="s">
        <v>784</v>
      </c>
      <c r="F22" s="43" t="s">
        <v>751</v>
      </c>
      <c r="G22" s="44">
        <v>2024.0</v>
      </c>
      <c r="H22" s="44">
        <v>0.6937</v>
      </c>
      <c r="I22" s="44">
        <v>0.8969</v>
      </c>
      <c r="J22" s="44">
        <v>6.0</v>
      </c>
      <c r="K22" s="44">
        <v>4.0</v>
      </c>
      <c r="L22" s="44">
        <v>1.0</v>
      </c>
      <c r="M22" s="66">
        <v>45.43</v>
      </c>
      <c r="N22" s="67" t="s">
        <v>764</v>
      </c>
      <c r="O22" s="43" t="s">
        <v>1145</v>
      </c>
      <c r="P22" s="43" t="s">
        <v>1146</v>
      </c>
      <c r="Q22" s="43" t="s">
        <v>1147</v>
      </c>
    </row>
    <row r="23" ht="15.75" customHeight="1">
      <c r="A23" s="43" t="s">
        <v>879</v>
      </c>
      <c r="B23" s="43" t="s">
        <v>596</v>
      </c>
      <c r="C23" s="43" t="s">
        <v>211</v>
      </c>
      <c r="D23" s="43" t="s">
        <v>868</v>
      </c>
      <c r="E23" s="43" t="s">
        <v>749</v>
      </c>
      <c r="F23" s="43" t="s">
        <v>751</v>
      </c>
      <c r="G23" s="44">
        <v>2024.0</v>
      </c>
      <c r="H23" s="44">
        <v>0.0087</v>
      </c>
      <c r="I23" s="44">
        <v>0.0105</v>
      </c>
      <c r="J23" s="44">
        <v>3.0</v>
      </c>
      <c r="K23" s="44">
        <v>2.0</v>
      </c>
      <c r="L23" s="44">
        <v>1.0</v>
      </c>
      <c r="M23" s="66">
        <v>0.84</v>
      </c>
      <c r="N23" s="67" t="s">
        <v>764</v>
      </c>
      <c r="O23" s="43" t="s">
        <v>1145</v>
      </c>
      <c r="P23" s="43" t="s">
        <v>1146</v>
      </c>
      <c r="Q23" s="43" t="s">
        <v>1147</v>
      </c>
    </row>
    <row r="24" ht="15.75" customHeight="1">
      <c r="A24" s="43" t="s">
        <v>881</v>
      </c>
      <c r="B24" s="43" t="s">
        <v>596</v>
      </c>
      <c r="C24" s="43" t="s">
        <v>211</v>
      </c>
      <c r="D24" s="43" t="s">
        <v>868</v>
      </c>
      <c r="E24" s="43" t="s">
        <v>797</v>
      </c>
      <c r="F24" s="43" t="s">
        <v>798</v>
      </c>
      <c r="G24" s="44">
        <v>2023.0</v>
      </c>
      <c r="H24" s="44">
        <v>0.0597</v>
      </c>
      <c r="I24" s="44">
        <v>0.0721</v>
      </c>
      <c r="J24" s="44">
        <v>4.0</v>
      </c>
      <c r="K24" s="44">
        <v>3.0</v>
      </c>
      <c r="L24" s="44">
        <v>1.0</v>
      </c>
      <c r="M24" s="66">
        <v>0.2829</v>
      </c>
      <c r="N24" s="67" t="s">
        <v>764</v>
      </c>
      <c r="O24" s="43" t="s">
        <v>1145</v>
      </c>
      <c r="P24" s="43" t="s">
        <v>1146</v>
      </c>
      <c r="Q24" s="43" t="s">
        <v>1147</v>
      </c>
    </row>
    <row r="25" ht="15.75" customHeight="1">
      <c r="A25" s="43" t="s">
        <v>884</v>
      </c>
      <c r="B25" s="43" t="s">
        <v>603</v>
      </c>
      <c r="C25" s="43" t="s">
        <v>509</v>
      </c>
      <c r="D25" s="43" t="s">
        <v>885</v>
      </c>
      <c r="E25" s="43" t="s">
        <v>749</v>
      </c>
      <c r="F25" s="43" t="s">
        <v>751</v>
      </c>
      <c r="G25" s="44">
        <v>2024.0</v>
      </c>
      <c r="H25" s="44">
        <v>0.0102</v>
      </c>
      <c r="I25" s="44">
        <v>0.0114</v>
      </c>
      <c r="J25" s="44">
        <v>2.0</v>
      </c>
      <c r="K25" s="44">
        <v>2.0</v>
      </c>
      <c r="L25" s="44">
        <v>1.0</v>
      </c>
      <c r="M25" s="66">
        <v>0.6</v>
      </c>
      <c r="N25" s="67" t="s">
        <v>764</v>
      </c>
      <c r="O25" s="43" t="s">
        <v>1145</v>
      </c>
      <c r="P25" s="43" t="s">
        <v>1146</v>
      </c>
      <c r="Q25" s="43" t="s">
        <v>1147</v>
      </c>
    </row>
    <row r="26" ht="15.75" customHeight="1">
      <c r="A26" s="43" t="s">
        <v>888</v>
      </c>
      <c r="B26" s="43" t="s">
        <v>581</v>
      </c>
      <c r="C26" s="43" t="s">
        <v>517</v>
      </c>
      <c r="D26" s="43" t="s">
        <v>763</v>
      </c>
      <c r="E26" s="43" t="s">
        <v>817</v>
      </c>
      <c r="F26" s="43" t="s">
        <v>798</v>
      </c>
      <c r="G26" s="44">
        <v>2023.0</v>
      </c>
      <c r="H26" s="44">
        <v>0.1308</v>
      </c>
      <c r="I26" s="44">
        <v>0.1519</v>
      </c>
      <c r="J26" s="44">
        <v>2.0</v>
      </c>
      <c r="K26" s="44">
        <v>1.0</v>
      </c>
      <c r="L26" s="44">
        <v>1.0</v>
      </c>
      <c r="M26" s="66">
        <v>0.8377</v>
      </c>
      <c r="N26" s="67" t="s">
        <v>764</v>
      </c>
      <c r="O26" s="43" t="s">
        <v>1145</v>
      </c>
      <c r="P26" s="43" t="s">
        <v>1146</v>
      </c>
      <c r="Q26" s="43" t="s">
        <v>1147</v>
      </c>
    </row>
    <row r="27" ht="15.75" customHeight="1">
      <c r="A27" s="43" t="s">
        <v>892</v>
      </c>
      <c r="B27" s="43" t="s">
        <v>577</v>
      </c>
      <c r="C27" s="43" t="s">
        <v>422</v>
      </c>
      <c r="D27" s="43" t="s">
        <v>688</v>
      </c>
      <c r="E27" s="43" t="s">
        <v>826</v>
      </c>
      <c r="F27" s="43" t="s">
        <v>751</v>
      </c>
      <c r="G27" s="44">
        <v>2024.0</v>
      </c>
      <c r="H27" s="44">
        <v>0.8179</v>
      </c>
      <c r="I27" s="44">
        <v>1.0183</v>
      </c>
      <c r="J27" s="44">
        <v>10.0</v>
      </c>
      <c r="K27" s="44">
        <v>9.0</v>
      </c>
      <c r="L27" s="44">
        <v>1.0</v>
      </c>
      <c r="M27" s="66">
        <v>71.41</v>
      </c>
      <c r="N27" s="67" t="s">
        <v>764</v>
      </c>
      <c r="O27" s="43" t="s">
        <v>1145</v>
      </c>
      <c r="P27" s="43" t="s">
        <v>1146</v>
      </c>
      <c r="Q27" s="43" t="s">
        <v>1147</v>
      </c>
    </row>
    <row r="28" ht="15.75" customHeight="1">
      <c r="A28" s="43" t="s">
        <v>899</v>
      </c>
      <c r="B28" s="43" t="s">
        <v>603</v>
      </c>
      <c r="C28" s="43" t="s">
        <v>509</v>
      </c>
      <c r="D28" s="43" t="s">
        <v>885</v>
      </c>
      <c r="E28" s="43" t="s">
        <v>797</v>
      </c>
      <c r="F28" s="43" t="s">
        <v>798</v>
      </c>
      <c r="G28" s="44">
        <v>2023.0</v>
      </c>
      <c r="H28" s="44">
        <v>0.0424</v>
      </c>
      <c r="I28" s="44">
        <v>0.0559</v>
      </c>
      <c r="J28" s="44">
        <v>2.0</v>
      </c>
      <c r="K28" s="44">
        <v>1.0</v>
      </c>
      <c r="L28" s="44">
        <v>1.0</v>
      </c>
      <c r="M28" s="66">
        <v>0.2385</v>
      </c>
      <c r="N28" s="67" t="s">
        <v>764</v>
      </c>
      <c r="O28" s="43" t="s">
        <v>1145</v>
      </c>
      <c r="P28" s="43" t="s">
        <v>1146</v>
      </c>
      <c r="Q28" s="43" t="s">
        <v>1147</v>
      </c>
    </row>
    <row r="29" ht="15.75" customHeight="1">
      <c r="A29" s="43" t="s">
        <v>903</v>
      </c>
      <c r="B29" s="43" t="s">
        <v>605</v>
      </c>
      <c r="C29" s="43" t="s">
        <v>354</v>
      </c>
      <c r="D29" s="43" t="s">
        <v>905</v>
      </c>
      <c r="E29" s="43" t="s">
        <v>817</v>
      </c>
      <c r="F29" s="43" t="s">
        <v>798</v>
      </c>
      <c r="G29" s="44">
        <v>2023.0</v>
      </c>
      <c r="H29" s="44">
        <v>0.2051</v>
      </c>
      <c r="I29" s="44">
        <v>0.2413</v>
      </c>
      <c r="J29" s="44">
        <v>3.0</v>
      </c>
      <c r="K29" s="44">
        <v>1.0</v>
      </c>
      <c r="L29" s="44">
        <v>1.0</v>
      </c>
      <c r="M29" s="66">
        <v>0.6466</v>
      </c>
      <c r="N29" s="67" t="s">
        <v>764</v>
      </c>
      <c r="O29" s="43" t="s">
        <v>1145</v>
      </c>
      <c r="P29" s="43" t="s">
        <v>1146</v>
      </c>
      <c r="Q29" s="43" t="s">
        <v>1147</v>
      </c>
    </row>
    <row r="30" ht="15.75" customHeight="1">
      <c r="A30" s="43" t="s">
        <v>909</v>
      </c>
      <c r="B30" s="43" t="s">
        <v>581</v>
      </c>
      <c r="C30" s="43" t="s">
        <v>468</v>
      </c>
      <c r="D30" s="43" t="s">
        <v>703</v>
      </c>
      <c r="E30" s="43" t="s">
        <v>817</v>
      </c>
      <c r="F30" s="43" t="s">
        <v>798</v>
      </c>
      <c r="G30" s="44">
        <v>2023.0</v>
      </c>
      <c r="H30" s="44">
        <v>0.2083</v>
      </c>
      <c r="I30" s="44">
        <v>0.2413</v>
      </c>
      <c r="J30" s="44">
        <v>2.0</v>
      </c>
      <c r="K30" s="44">
        <v>1.0</v>
      </c>
      <c r="L30" s="44">
        <v>1.0</v>
      </c>
      <c r="M30" s="66">
        <v>0.9874</v>
      </c>
      <c r="N30" s="67" t="s">
        <v>764</v>
      </c>
      <c r="O30" s="43" t="s">
        <v>1145</v>
      </c>
      <c r="P30" s="43" t="s">
        <v>1146</v>
      </c>
      <c r="Q30" s="43" t="s">
        <v>1147</v>
      </c>
    </row>
    <row r="31" ht="15.75" customHeight="1">
      <c r="A31" s="43" t="s">
        <v>911</v>
      </c>
      <c r="B31" s="43" t="s">
        <v>605</v>
      </c>
      <c r="C31" s="43" t="s">
        <v>497</v>
      </c>
      <c r="D31" s="43" t="s">
        <v>912</v>
      </c>
      <c r="E31" s="43" t="s">
        <v>842</v>
      </c>
      <c r="F31" s="43" t="s">
        <v>751</v>
      </c>
      <c r="G31" s="44">
        <v>2024.0</v>
      </c>
      <c r="H31" s="44">
        <v>0.4742</v>
      </c>
      <c r="I31" s="44">
        <v>0.5489</v>
      </c>
      <c r="J31" s="44">
        <v>7.0</v>
      </c>
      <c r="K31" s="44">
        <v>3.0</v>
      </c>
      <c r="L31" s="44">
        <v>1.0</v>
      </c>
      <c r="M31" s="66">
        <v>40.14</v>
      </c>
      <c r="N31" s="67" t="s">
        <v>764</v>
      </c>
      <c r="O31" s="43" t="s">
        <v>1145</v>
      </c>
      <c r="P31" s="43" t="s">
        <v>1146</v>
      </c>
      <c r="Q31" s="43" t="s">
        <v>1147</v>
      </c>
    </row>
    <row r="32" ht="15.75" customHeight="1">
      <c r="A32" s="43" t="s">
        <v>914</v>
      </c>
      <c r="B32" s="43" t="s">
        <v>577</v>
      </c>
      <c r="C32" s="43" t="s">
        <v>286</v>
      </c>
      <c r="D32" s="43" t="s">
        <v>644</v>
      </c>
      <c r="E32" s="43" t="s">
        <v>826</v>
      </c>
      <c r="F32" s="43" t="s">
        <v>751</v>
      </c>
      <c r="G32" s="44">
        <v>2024.0</v>
      </c>
      <c r="H32" s="44">
        <v>0.2459</v>
      </c>
      <c r="I32" s="44">
        <v>0.3249</v>
      </c>
      <c r="J32" s="44">
        <v>2.0</v>
      </c>
      <c r="K32" s="44">
        <v>2.0</v>
      </c>
      <c r="L32" s="44">
        <v>1.0</v>
      </c>
      <c r="M32" s="66">
        <v>17.82</v>
      </c>
      <c r="N32" s="67" t="s">
        <v>764</v>
      </c>
      <c r="O32" s="43" t="s">
        <v>1145</v>
      </c>
      <c r="P32" s="43" t="s">
        <v>1146</v>
      </c>
      <c r="Q32" s="43" t="s">
        <v>1147</v>
      </c>
    </row>
    <row r="33" ht="15.75" customHeight="1">
      <c r="A33" s="43" t="s">
        <v>916</v>
      </c>
      <c r="B33" s="43" t="s">
        <v>596</v>
      </c>
      <c r="C33" s="43" t="s">
        <v>507</v>
      </c>
      <c r="D33" s="43" t="s">
        <v>864</v>
      </c>
      <c r="E33" s="43" t="s">
        <v>797</v>
      </c>
      <c r="F33" s="43" t="s">
        <v>798</v>
      </c>
      <c r="G33" s="44">
        <v>2023.0</v>
      </c>
      <c r="H33" s="44">
        <v>0.0345</v>
      </c>
      <c r="I33" s="44">
        <v>0.0425</v>
      </c>
      <c r="J33" s="44">
        <v>2.0</v>
      </c>
      <c r="K33" s="44">
        <v>2.0</v>
      </c>
      <c r="L33" s="44">
        <v>1.0</v>
      </c>
      <c r="M33" s="66">
        <v>0.1818</v>
      </c>
      <c r="N33" s="67" t="s">
        <v>764</v>
      </c>
      <c r="O33" s="43" t="s">
        <v>1145</v>
      </c>
      <c r="P33" s="43" t="s">
        <v>1146</v>
      </c>
      <c r="Q33" s="43" t="s">
        <v>1147</v>
      </c>
    </row>
    <row r="34" ht="15.75" customHeight="1">
      <c r="A34" s="43" t="s">
        <v>921</v>
      </c>
      <c r="B34" s="43" t="s">
        <v>577</v>
      </c>
      <c r="C34" s="43" t="s">
        <v>169</v>
      </c>
      <c r="D34" s="43" t="s">
        <v>655</v>
      </c>
      <c r="E34" s="43" t="s">
        <v>836</v>
      </c>
      <c r="F34" s="43" t="s">
        <v>798</v>
      </c>
      <c r="G34" s="44">
        <v>2023.0</v>
      </c>
      <c r="H34" s="44">
        <v>0.2661</v>
      </c>
      <c r="I34" s="44">
        <v>0.3483</v>
      </c>
      <c r="J34" s="44">
        <v>2.0</v>
      </c>
      <c r="K34" s="44">
        <v>1.0</v>
      </c>
      <c r="L34" s="44">
        <v>1.0</v>
      </c>
      <c r="M34" s="66">
        <v>2.8931</v>
      </c>
      <c r="N34" s="67" t="s">
        <v>764</v>
      </c>
      <c r="O34" s="43" t="s">
        <v>1145</v>
      </c>
      <c r="P34" s="43" t="s">
        <v>1146</v>
      </c>
      <c r="Q34" s="43" t="s">
        <v>1147</v>
      </c>
    </row>
    <row r="35" ht="15.75" customHeight="1">
      <c r="A35" s="43" t="s">
        <v>924</v>
      </c>
      <c r="B35" s="43" t="s">
        <v>581</v>
      </c>
      <c r="C35" s="43" t="s">
        <v>491</v>
      </c>
      <c r="D35" s="43" t="s">
        <v>777</v>
      </c>
      <c r="E35" s="43" t="s">
        <v>836</v>
      </c>
      <c r="F35" s="43" t="s">
        <v>798</v>
      </c>
      <c r="G35" s="44">
        <v>2023.0</v>
      </c>
      <c r="H35" s="44">
        <v>0.1357</v>
      </c>
      <c r="I35" s="44">
        <v>0.1708</v>
      </c>
      <c r="J35" s="44">
        <v>3.0</v>
      </c>
      <c r="K35" s="44">
        <v>3.0</v>
      </c>
      <c r="L35" s="44">
        <v>1.0</v>
      </c>
      <c r="M35" s="66">
        <v>1.3135</v>
      </c>
      <c r="N35" s="67" t="s">
        <v>764</v>
      </c>
      <c r="O35" s="43" t="s">
        <v>1145</v>
      </c>
      <c r="P35" s="43" t="s">
        <v>1146</v>
      </c>
      <c r="Q35" s="43" t="s">
        <v>1147</v>
      </c>
    </row>
    <row r="36" ht="15.75" customHeight="1">
      <c r="A36" s="43" t="s">
        <v>927</v>
      </c>
      <c r="B36" s="43" t="s">
        <v>581</v>
      </c>
      <c r="C36" s="43" t="s">
        <v>341</v>
      </c>
      <c r="D36" s="43" t="s">
        <v>783</v>
      </c>
      <c r="E36" s="43" t="s">
        <v>817</v>
      </c>
      <c r="F36" s="43" t="s">
        <v>798</v>
      </c>
      <c r="G36" s="44">
        <v>2023.0</v>
      </c>
      <c r="H36" s="44">
        <v>0.0621</v>
      </c>
      <c r="I36" s="44">
        <v>0.0695</v>
      </c>
      <c r="J36" s="44">
        <v>3.0</v>
      </c>
      <c r="K36" s="44">
        <v>2.0</v>
      </c>
      <c r="L36" s="44">
        <v>1.0</v>
      </c>
      <c r="M36" s="66">
        <v>0.2545</v>
      </c>
      <c r="N36" s="67" t="s">
        <v>764</v>
      </c>
      <c r="O36" s="43" t="s">
        <v>1145</v>
      </c>
      <c r="P36" s="43" t="s">
        <v>1146</v>
      </c>
      <c r="Q36" s="43" t="s">
        <v>1147</v>
      </c>
    </row>
    <row r="37" ht="15.75" customHeight="1">
      <c r="A37" s="43" t="s">
        <v>929</v>
      </c>
      <c r="B37" s="43" t="s">
        <v>603</v>
      </c>
      <c r="C37" s="43" t="s">
        <v>449</v>
      </c>
      <c r="D37" s="43" t="s">
        <v>830</v>
      </c>
      <c r="E37" s="43" t="s">
        <v>826</v>
      </c>
      <c r="F37" s="43" t="s">
        <v>751</v>
      </c>
      <c r="G37" s="44">
        <v>2024.0</v>
      </c>
      <c r="H37" s="44">
        <v>0.3567</v>
      </c>
      <c r="I37" s="44">
        <v>0.4492</v>
      </c>
      <c r="J37" s="44">
        <v>3.0</v>
      </c>
      <c r="K37" s="44">
        <v>2.0</v>
      </c>
      <c r="L37" s="44">
        <v>1.0</v>
      </c>
      <c r="M37" s="66">
        <v>33.71</v>
      </c>
      <c r="N37" s="67" t="s">
        <v>764</v>
      </c>
      <c r="O37" s="43" t="s">
        <v>1145</v>
      </c>
      <c r="P37" s="43" t="s">
        <v>1146</v>
      </c>
      <c r="Q37" s="43" t="s">
        <v>1147</v>
      </c>
    </row>
    <row r="38" ht="15.75" customHeight="1">
      <c r="A38" s="43" t="s">
        <v>931</v>
      </c>
      <c r="B38" s="43" t="s">
        <v>596</v>
      </c>
      <c r="C38" s="43" t="s">
        <v>346</v>
      </c>
      <c r="D38" s="43" t="s">
        <v>873</v>
      </c>
      <c r="E38" s="43" t="s">
        <v>797</v>
      </c>
      <c r="F38" s="43" t="s">
        <v>798</v>
      </c>
      <c r="G38" s="44">
        <v>2023.0</v>
      </c>
      <c r="H38" s="44">
        <v>0.0857</v>
      </c>
      <c r="I38" s="44">
        <v>0.1119</v>
      </c>
      <c r="J38" s="44">
        <v>2.0</v>
      </c>
      <c r="K38" s="44">
        <v>1.0</v>
      </c>
      <c r="L38" s="44">
        <v>1.0</v>
      </c>
      <c r="M38" s="66">
        <v>0.4681</v>
      </c>
      <c r="N38" s="67" t="s">
        <v>764</v>
      </c>
      <c r="O38" s="43" t="s">
        <v>1145</v>
      </c>
      <c r="P38" s="43" t="s">
        <v>1146</v>
      </c>
      <c r="Q38" s="43" t="s">
        <v>1147</v>
      </c>
    </row>
    <row r="39" ht="15.75" customHeight="1">
      <c r="A39" s="43" t="s">
        <v>934</v>
      </c>
      <c r="B39" s="43" t="s">
        <v>577</v>
      </c>
      <c r="C39" s="43" t="s">
        <v>51</v>
      </c>
      <c r="D39" s="43" t="s">
        <v>641</v>
      </c>
      <c r="E39" s="43" t="s">
        <v>749</v>
      </c>
      <c r="F39" s="43" t="s">
        <v>751</v>
      </c>
      <c r="G39" s="44">
        <v>2024.0</v>
      </c>
      <c r="H39" s="44">
        <v>0.0061</v>
      </c>
      <c r="I39" s="44">
        <v>0.0068</v>
      </c>
      <c r="J39" s="44">
        <v>2.0</v>
      </c>
      <c r="K39" s="44">
        <v>2.0</v>
      </c>
      <c r="L39" s="44">
        <v>1.0</v>
      </c>
      <c r="M39" s="66">
        <v>0.6</v>
      </c>
      <c r="N39" s="67" t="s">
        <v>764</v>
      </c>
      <c r="O39" s="43" t="s">
        <v>1145</v>
      </c>
      <c r="P39" s="43" t="s">
        <v>1146</v>
      </c>
      <c r="Q39" s="43" t="s">
        <v>1147</v>
      </c>
    </row>
    <row r="40" ht="15.75" customHeight="1">
      <c r="A40" s="43" t="s">
        <v>936</v>
      </c>
      <c r="B40" s="43" t="s">
        <v>605</v>
      </c>
      <c r="C40" s="43" t="s">
        <v>160</v>
      </c>
      <c r="D40" s="43" t="s">
        <v>937</v>
      </c>
      <c r="E40" s="43" t="s">
        <v>836</v>
      </c>
      <c r="F40" s="43" t="s">
        <v>798</v>
      </c>
      <c r="G40" s="44">
        <v>2023.0</v>
      </c>
      <c r="H40" s="44">
        <v>0.1264</v>
      </c>
      <c r="I40" s="44">
        <v>0.1655</v>
      </c>
      <c r="J40" s="44">
        <v>2.0</v>
      </c>
      <c r="K40" s="44">
        <v>1.0</v>
      </c>
      <c r="L40" s="44">
        <v>1.0</v>
      </c>
      <c r="M40" s="66">
        <v>1.0806</v>
      </c>
      <c r="N40" s="67" t="s">
        <v>764</v>
      </c>
      <c r="O40" s="43" t="s">
        <v>1145</v>
      </c>
      <c r="P40" s="43" t="s">
        <v>1146</v>
      </c>
      <c r="Q40" s="43" t="s">
        <v>1147</v>
      </c>
    </row>
    <row r="41" ht="15.75" customHeight="1">
      <c r="A41" s="43" t="s">
        <v>939</v>
      </c>
      <c r="B41" s="43" t="s">
        <v>577</v>
      </c>
      <c r="C41" s="43" t="s">
        <v>463</v>
      </c>
      <c r="D41" s="43" t="s">
        <v>662</v>
      </c>
      <c r="E41" s="43" t="s">
        <v>826</v>
      </c>
      <c r="F41" s="43" t="s">
        <v>751</v>
      </c>
      <c r="G41" s="44">
        <v>2024.0</v>
      </c>
      <c r="H41" s="44">
        <v>0.6859</v>
      </c>
      <c r="I41" s="44">
        <v>0.7804</v>
      </c>
      <c r="J41" s="44">
        <v>4.0</v>
      </c>
      <c r="K41" s="44">
        <v>2.0</v>
      </c>
      <c r="L41" s="44">
        <v>1.0</v>
      </c>
      <c r="M41" s="66">
        <v>56.74</v>
      </c>
      <c r="N41" s="67" t="s">
        <v>764</v>
      </c>
      <c r="O41" s="43" t="s">
        <v>1145</v>
      </c>
      <c r="P41" s="43" t="s">
        <v>1146</v>
      </c>
      <c r="Q41" s="43" t="s">
        <v>1147</v>
      </c>
    </row>
    <row r="42" ht="15.75" customHeight="1">
      <c r="A42" s="43" t="s">
        <v>942</v>
      </c>
      <c r="B42" s="43" t="s">
        <v>581</v>
      </c>
      <c r="C42" s="43" t="s">
        <v>491</v>
      </c>
      <c r="D42" s="43" t="s">
        <v>777</v>
      </c>
      <c r="E42" s="43" t="s">
        <v>826</v>
      </c>
      <c r="F42" s="43" t="s">
        <v>751</v>
      </c>
      <c r="G42" s="44">
        <v>2024.0</v>
      </c>
      <c r="H42" s="44">
        <v>0.9144</v>
      </c>
      <c r="I42" s="44">
        <v>1.1931</v>
      </c>
      <c r="J42" s="44">
        <v>6.0</v>
      </c>
      <c r="K42" s="44">
        <v>5.0</v>
      </c>
      <c r="L42" s="44">
        <v>1.0</v>
      </c>
      <c r="M42" s="66">
        <v>70.89</v>
      </c>
      <c r="N42" s="67" t="s">
        <v>764</v>
      </c>
      <c r="O42" s="43" t="s">
        <v>1145</v>
      </c>
      <c r="P42" s="43" t="s">
        <v>1146</v>
      </c>
      <c r="Q42" s="43" t="s">
        <v>1147</v>
      </c>
    </row>
    <row r="43" ht="15.75" customHeight="1">
      <c r="A43" s="43" t="s">
        <v>945</v>
      </c>
      <c r="B43" s="43" t="s">
        <v>577</v>
      </c>
      <c r="C43" s="43" t="s">
        <v>372</v>
      </c>
      <c r="D43" s="43" t="s">
        <v>673</v>
      </c>
      <c r="E43" s="43" t="s">
        <v>826</v>
      </c>
      <c r="F43" s="43" t="s">
        <v>751</v>
      </c>
      <c r="G43" s="44">
        <v>2024.0</v>
      </c>
      <c r="H43" s="44">
        <v>1.1914</v>
      </c>
      <c r="I43" s="44">
        <v>1.4466</v>
      </c>
      <c r="J43" s="44">
        <v>14.0</v>
      </c>
      <c r="K43" s="44">
        <v>7.0</v>
      </c>
      <c r="L43" s="44">
        <v>2.0</v>
      </c>
      <c r="M43" s="66">
        <v>106.6</v>
      </c>
      <c r="N43" s="67" t="s">
        <v>764</v>
      </c>
      <c r="O43" s="43" t="s">
        <v>1145</v>
      </c>
      <c r="P43" s="43" t="s">
        <v>1146</v>
      </c>
      <c r="Q43" s="43" t="s">
        <v>1147</v>
      </c>
    </row>
    <row r="44" ht="15.75" customHeight="1">
      <c r="A44" s="43" t="s">
        <v>951</v>
      </c>
      <c r="B44" s="43" t="s">
        <v>577</v>
      </c>
      <c r="C44" s="43" t="s">
        <v>78</v>
      </c>
      <c r="D44" s="43" t="s">
        <v>680</v>
      </c>
      <c r="E44" s="43" t="s">
        <v>842</v>
      </c>
      <c r="F44" s="43" t="s">
        <v>751</v>
      </c>
      <c r="G44" s="44">
        <v>2024.0</v>
      </c>
      <c r="H44" s="44">
        <v>0.8724</v>
      </c>
      <c r="I44" s="44">
        <v>0.9881</v>
      </c>
      <c r="J44" s="44">
        <v>8.0</v>
      </c>
      <c r="K44" s="44">
        <v>7.0</v>
      </c>
      <c r="L44" s="44">
        <v>1.0</v>
      </c>
      <c r="M44" s="66">
        <v>95.65</v>
      </c>
      <c r="N44" s="67" t="s">
        <v>764</v>
      </c>
      <c r="O44" s="43" t="s">
        <v>1145</v>
      </c>
      <c r="P44" s="43" t="s">
        <v>1146</v>
      </c>
      <c r="Q44" s="43" t="s">
        <v>1147</v>
      </c>
    </row>
    <row r="45" ht="15.75" customHeight="1">
      <c r="A45" s="43" t="s">
        <v>955</v>
      </c>
      <c r="B45" s="43" t="s">
        <v>581</v>
      </c>
      <c r="C45" s="43" t="s">
        <v>491</v>
      </c>
      <c r="D45" s="43" t="s">
        <v>777</v>
      </c>
      <c r="E45" s="43" t="s">
        <v>784</v>
      </c>
      <c r="F45" s="43" t="s">
        <v>751</v>
      </c>
      <c r="G45" s="44">
        <v>2024.0</v>
      </c>
      <c r="H45" s="44">
        <v>0.8831</v>
      </c>
      <c r="I45" s="44">
        <v>1.0709</v>
      </c>
      <c r="J45" s="44">
        <v>9.0</v>
      </c>
      <c r="K45" s="44">
        <v>8.0</v>
      </c>
      <c r="L45" s="44">
        <v>1.0</v>
      </c>
      <c r="M45" s="66">
        <v>61.31</v>
      </c>
      <c r="N45" s="67" t="s">
        <v>764</v>
      </c>
      <c r="O45" s="43" t="s">
        <v>1145</v>
      </c>
      <c r="P45" s="43" t="s">
        <v>1146</v>
      </c>
      <c r="Q45" s="43" t="s">
        <v>1147</v>
      </c>
    </row>
    <row r="46" ht="15.75" customHeight="1">
      <c r="A46" s="43" t="s">
        <v>959</v>
      </c>
      <c r="B46" s="43" t="s">
        <v>581</v>
      </c>
      <c r="C46" s="43" t="s">
        <v>489</v>
      </c>
      <c r="D46" s="43" t="s">
        <v>721</v>
      </c>
      <c r="E46" s="43" t="s">
        <v>836</v>
      </c>
      <c r="F46" s="43" t="s">
        <v>798</v>
      </c>
      <c r="G46" s="44">
        <v>2023.0</v>
      </c>
      <c r="H46" s="44">
        <v>0.2146</v>
      </c>
      <c r="I46" s="44">
        <v>0.2331</v>
      </c>
      <c r="J46" s="44">
        <v>5.0</v>
      </c>
      <c r="K46" s="44">
        <v>4.0</v>
      </c>
      <c r="L46" s="44">
        <v>1.0</v>
      </c>
      <c r="M46" s="66">
        <v>2.3502</v>
      </c>
      <c r="N46" s="67" t="s">
        <v>764</v>
      </c>
      <c r="O46" s="43" t="s">
        <v>1145</v>
      </c>
      <c r="P46" s="43" t="s">
        <v>1146</v>
      </c>
      <c r="Q46" s="43" t="s">
        <v>1147</v>
      </c>
    </row>
    <row r="47" ht="15.75" customHeight="1">
      <c r="A47" s="43" t="s">
        <v>963</v>
      </c>
      <c r="B47" s="43" t="s">
        <v>577</v>
      </c>
      <c r="C47" s="43" t="s">
        <v>229</v>
      </c>
      <c r="D47" s="43" t="s">
        <v>630</v>
      </c>
      <c r="E47" s="43" t="s">
        <v>817</v>
      </c>
      <c r="F47" s="43" t="s">
        <v>798</v>
      </c>
      <c r="G47" s="44">
        <v>2023.0</v>
      </c>
      <c r="H47" s="44">
        <v>0.2235</v>
      </c>
      <c r="I47" s="44">
        <v>0.2856</v>
      </c>
      <c r="J47" s="44">
        <v>2.0</v>
      </c>
      <c r="K47" s="44">
        <v>1.0</v>
      </c>
      <c r="L47" s="44">
        <v>1.0</v>
      </c>
      <c r="M47" s="66">
        <v>0.8705</v>
      </c>
      <c r="N47" s="67" t="s">
        <v>764</v>
      </c>
      <c r="O47" s="43" t="s">
        <v>1145</v>
      </c>
      <c r="P47" s="43" t="s">
        <v>1146</v>
      </c>
      <c r="Q47" s="43" t="s">
        <v>1147</v>
      </c>
    </row>
    <row r="48" ht="15.75" customHeight="1">
      <c r="A48" s="43" t="s">
        <v>968</v>
      </c>
      <c r="B48" s="43" t="s">
        <v>581</v>
      </c>
      <c r="C48" s="43" t="s">
        <v>104</v>
      </c>
      <c r="D48" s="43" t="s">
        <v>729</v>
      </c>
      <c r="E48" s="43" t="s">
        <v>749</v>
      </c>
      <c r="F48" s="43" t="s">
        <v>751</v>
      </c>
      <c r="G48" s="44">
        <v>2024.0</v>
      </c>
      <c r="H48" s="44">
        <v>0.0197</v>
      </c>
      <c r="I48" s="44">
        <v>0.0247</v>
      </c>
      <c r="J48" s="44">
        <v>2.0</v>
      </c>
      <c r="K48" s="44">
        <v>1.0</v>
      </c>
      <c r="L48" s="44">
        <v>1.0</v>
      </c>
      <c r="M48" s="66"/>
      <c r="N48" s="67" t="s">
        <v>764</v>
      </c>
      <c r="O48" s="43" t="s">
        <v>1145</v>
      </c>
      <c r="P48" s="43" t="s">
        <v>1146</v>
      </c>
      <c r="Q48" s="43" t="s">
        <v>1147</v>
      </c>
    </row>
    <row r="49" ht="15.75" customHeight="1">
      <c r="A49" s="43" t="s">
        <v>975</v>
      </c>
      <c r="B49" s="43" t="s">
        <v>581</v>
      </c>
      <c r="C49" s="43" t="s">
        <v>505</v>
      </c>
      <c r="D49" s="43" t="s">
        <v>799</v>
      </c>
      <c r="E49" s="43" t="s">
        <v>836</v>
      </c>
      <c r="F49" s="43" t="s">
        <v>798</v>
      </c>
      <c r="G49" s="44">
        <v>2023.0</v>
      </c>
      <c r="H49" s="44">
        <v>0.316</v>
      </c>
      <c r="I49" s="44">
        <v>0.3956</v>
      </c>
      <c r="J49" s="44">
        <v>2.0</v>
      </c>
      <c r="K49" s="44">
        <v>1.0</v>
      </c>
      <c r="L49" s="44">
        <v>1.0</v>
      </c>
      <c r="M49" s="66">
        <v>3.5327</v>
      </c>
      <c r="N49" s="67" t="s">
        <v>764</v>
      </c>
      <c r="O49" s="43" t="s">
        <v>1145</v>
      </c>
      <c r="P49" s="43" t="s">
        <v>1146</v>
      </c>
      <c r="Q49" s="43" t="s">
        <v>1147</v>
      </c>
    </row>
    <row r="50" ht="15.75" customHeight="1">
      <c r="A50" s="43" t="s">
        <v>976</v>
      </c>
      <c r="B50" s="43" t="s">
        <v>581</v>
      </c>
      <c r="C50" s="43" t="s">
        <v>299</v>
      </c>
      <c r="D50" s="43" t="s">
        <v>736</v>
      </c>
      <c r="E50" s="43" t="s">
        <v>784</v>
      </c>
      <c r="F50" s="43" t="s">
        <v>751</v>
      </c>
      <c r="G50" s="44">
        <v>2024.0</v>
      </c>
      <c r="H50" s="44">
        <v>1.8299</v>
      </c>
      <c r="I50" s="44">
        <v>2.1452</v>
      </c>
      <c r="J50" s="44">
        <v>21.0</v>
      </c>
      <c r="K50" s="44">
        <v>16.0</v>
      </c>
      <c r="L50" s="44">
        <v>2.0</v>
      </c>
      <c r="M50" s="66">
        <v>126.54</v>
      </c>
      <c r="N50" s="67" t="s">
        <v>764</v>
      </c>
      <c r="O50" s="43" t="s">
        <v>1145</v>
      </c>
      <c r="P50" s="43" t="s">
        <v>1146</v>
      </c>
      <c r="Q50" s="43" t="s">
        <v>1147</v>
      </c>
    </row>
    <row r="51" ht="15.75" customHeight="1">
      <c r="A51" s="43" t="s">
        <v>978</v>
      </c>
      <c r="B51" s="43" t="s">
        <v>596</v>
      </c>
      <c r="C51" s="43" t="s">
        <v>493</v>
      </c>
      <c r="D51" s="43" t="s">
        <v>823</v>
      </c>
      <c r="E51" s="43" t="s">
        <v>836</v>
      </c>
      <c r="F51" s="43" t="s">
        <v>798</v>
      </c>
      <c r="G51" s="44">
        <v>2023.0</v>
      </c>
      <c r="H51" s="44">
        <v>0.366</v>
      </c>
      <c r="I51" s="44">
        <v>0.4587</v>
      </c>
      <c r="J51" s="44">
        <v>6.0</v>
      </c>
      <c r="K51" s="44">
        <v>4.0</v>
      </c>
      <c r="L51" s="44">
        <v>1.0</v>
      </c>
      <c r="M51" s="66">
        <v>5.1566</v>
      </c>
      <c r="N51" s="67" t="s">
        <v>764</v>
      </c>
      <c r="O51" s="43" t="s">
        <v>1145</v>
      </c>
      <c r="P51" s="43" t="s">
        <v>1146</v>
      </c>
      <c r="Q51" s="43" t="s">
        <v>1147</v>
      </c>
    </row>
    <row r="52" ht="15.75" customHeight="1">
      <c r="A52" s="43" t="s">
        <v>979</v>
      </c>
      <c r="B52" s="43" t="s">
        <v>581</v>
      </c>
      <c r="C52" s="43" t="s">
        <v>336</v>
      </c>
      <c r="D52" s="43" t="s">
        <v>755</v>
      </c>
      <c r="E52" s="43" t="s">
        <v>784</v>
      </c>
      <c r="F52" s="43" t="s">
        <v>751</v>
      </c>
      <c r="G52" s="44">
        <v>2024.0</v>
      </c>
      <c r="H52" s="44">
        <v>1.5677</v>
      </c>
      <c r="I52" s="44">
        <v>1.9875</v>
      </c>
      <c r="J52" s="44">
        <v>14.0</v>
      </c>
      <c r="K52" s="44">
        <v>12.0</v>
      </c>
      <c r="L52" s="44">
        <v>2.0</v>
      </c>
      <c r="M52" s="66">
        <v>110.8</v>
      </c>
      <c r="N52" s="67" t="s">
        <v>764</v>
      </c>
      <c r="O52" s="43" t="s">
        <v>1145</v>
      </c>
      <c r="P52" s="43" t="s">
        <v>1146</v>
      </c>
      <c r="Q52" s="43" t="s">
        <v>1147</v>
      </c>
    </row>
    <row r="53" ht="15.75" customHeight="1">
      <c r="A53" s="43" t="s">
        <v>982</v>
      </c>
      <c r="B53" s="43" t="s">
        <v>603</v>
      </c>
      <c r="C53" s="43" t="s">
        <v>449</v>
      </c>
      <c r="D53" s="43" t="s">
        <v>830</v>
      </c>
      <c r="E53" s="43" t="s">
        <v>784</v>
      </c>
      <c r="F53" s="43" t="s">
        <v>751</v>
      </c>
      <c r="G53" s="44">
        <v>2024.0</v>
      </c>
      <c r="H53" s="44">
        <v>0.7343</v>
      </c>
      <c r="I53" s="44">
        <v>0.8637</v>
      </c>
      <c r="J53" s="44">
        <v>7.0</v>
      </c>
      <c r="K53" s="44">
        <v>5.0</v>
      </c>
      <c r="L53" s="44">
        <v>1.0</v>
      </c>
      <c r="M53" s="66">
        <v>57.87</v>
      </c>
      <c r="N53" s="67" t="s">
        <v>764</v>
      </c>
      <c r="O53" s="43" t="s">
        <v>1145</v>
      </c>
      <c r="P53" s="43" t="s">
        <v>1146</v>
      </c>
      <c r="Q53" s="43" t="s">
        <v>1147</v>
      </c>
    </row>
    <row r="54" ht="15.75" customHeight="1">
      <c r="A54" s="43" t="s">
        <v>983</v>
      </c>
      <c r="B54" s="43" t="s">
        <v>605</v>
      </c>
      <c r="C54" s="43" t="s">
        <v>221</v>
      </c>
      <c r="D54" s="43" t="s">
        <v>841</v>
      </c>
      <c r="E54" s="43" t="s">
        <v>836</v>
      </c>
      <c r="F54" s="43" t="s">
        <v>798</v>
      </c>
      <c r="G54" s="44">
        <v>2023.0</v>
      </c>
      <c r="H54" s="44">
        <v>0.0901</v>
      </c>
      <c r="I54" s="44">
        <v>0.1048</v>
      </c>
      <c r="J54" s="44">
        <v>2.0</v>
      </c>
      <c r="K54" s="44">
        <v>1.0</v>
      </c>
      <c r="L54" s="44">
        <v>1.0</v>
      </c>
      <c r="M54" s="66">
        <v>0.8836</v>
      </c>
      <c r="N54" s="67" t="s">
        <v>764</v>
      </c>
      <c r="O54" s="43" t="s">
        <v>1145</v>
      </c>
      <c r="P54" s="43" t="s">
        <v>1146</v>
      </c>
      <c r="Q54" s="43" t="s">
        <v>1147</v>
      </c>
    </row>
    <row r="55" ht="15.75" customHeight="1">
      <c r="A55" s="43" t="s">
        <v>985</v>
      </c>
      <c r="B55" s="43" t="s">
        <v>577</v>
      </c>
      <c r="C55" s="43" t="s">
        <v>414</v>
      </c>
      <c r="D55" s="43" t="s">
        <v>647</v>
      </c>
      <c r="E55" s="43" t="s">
        <v>784</v>
      </c>
      <c r="F55" s="43" t="s">
        <v>751</v>
      </c>
      <c r="G55" s="44">
        <v>2024.0</v>
      </c>
      <c r="H55" s="44">
        <v>1.3299</v>
      </c>
      <c r="I55" s="44">
        <v>1.67</v>
      </c>
      <c r="J55" s="44">
        <v>14.0</v>
      </c>
      <c r="K55" s="44">
        <v>12.0</v>
      </c>
      <c r="L55" s="44">
        <v>2.0</v>
      </c>
      <c r="M55" s="66">
        <v>113.69</v>
      </c>
      <c r="N55" s="67" t="s">
        <v>764</v>
      </c>
      <c r="O55" s="43" t="s">
        <v>1145</v>
      </c>
      <c r="P55" s="43" t="s">
        <v>1146</v>
      </c>
      <c r="Q55" s="43" t="s">
        <v>1147</v>
      </c>
    </row>
    <row r="56" ht="15.75" customHeight="1">
      <c r="A56" s="43" t="s">
        <v>987</v>
      </c>
      <c r="B56" s="43" t="s">
        <v>581</v>
      </c>
      <c r="C56" s="43" t="s">
        <v>489</v>
      </c>
      <c r="D56" s="43" t="s">
        <v>721</v>
      </c>
      <c r="E56" s="43" t="s">
        <v>817</v>
      </c>
      <c r="F56" s="43" t="s">
        <v>798</v>
      </c>
      <c r="G56" s="44">
        <v>2023.0</v>
      </c>
      <c r="H56" s="44">
        <v>0.0908</v>
      </c>
      <c r="I56" s="44">
        <v>0.1175</v>
      </c>
      <c r="J56" s="44">
        <v>2.0</v>
      </c>
      <c r="K56" s="44">
        <v>2.0</v>
      </c>
      <c r="L56" s="44">
        <v>1.0</v>
      </c>
      <c r="M56" s="66">
        <v>0.51</v>
      </c>
      <c r="N56" s="67" t="s">
        <v>764</v>
      </c>
      <c r="O56" s="43" t="s">
        <v>1145</v>
      </c>
      <c r="P56" s="43" t="s">
        <v>1146</v>
      </c>
      <c r="Q56" s="43" t="s">
        <v>1147</v>
      </c>
    </row>
    <row r="57" ht="15.75" customHeight="1">
      <c r="A57" s="43" t="s">
        <v>989</v>
      </c>
      <c r="B57" s="43" t="s">
        <v>581</v>
      </c>
      <c r="C57" s="43" t="s">
        <v>123</v>
      </c>
      <c r="D57" s="43" t="s">
        <v>782</v>
      </c>
      <c r="E57" s="43" t="s">
        <v>784</v>
      </c>
      <c r="F57" s="43" t="s">
        <v>751</v>
      </c>
      <c r="G57" s="44">
        <v>2024.0</v>
      </c>
      <c r="H57" s="44">
        <v>0.3669</v>
      </c>
      <c r="I57" s="44">
        <v>0.436</v>
      </c>
      <c r="J57" s="44">
        <v>6.0</v>
      </c>
      <c r="K57" s="44">
        <v>4.0</v>
      </c>
      <c r="L57" s="44">
        <v>1.0</v>
      </c>
      <c r="M57" s="66">
        <v>31.52</v>
      </c>
      <c r="N57" s="67" t="s">
        <v>764</v>
      </c>
      <c r="O57" s="43" t="s">
        <v>1145</v>
      </c>
      <c r="P57" s="43" t="s">
        <v>1146</v>
      </c>
      <c r="Q57" s="43" t="s">
        <v>1147</v>
      </c>
    </row>
    <row r="58" ht="15.75" customHeight="1">
      <c r="A58" s="43" t="s">
        <v>991</v>
      </c>
      <c r="B58" s="43" t="s">
        <v>596</v>
      </c>
      <c r="C58" s="43" t="s">
        <v>392</v>
      </c>
      <c r="D58" s="43" t="s">
        <v>838</v>
      </c>
      <c r="E58" s="43" t="s">
        <v>826</v>
      </c>
      <c r="F58" s="43" t="s">
        <v>751</v>
      </c>
      <c r="G58" s="44">
        <v>2024.0</v>
      </c>
      <c r="H58" s="44">
        <v>0.51</v>
      </c>
      <c r="I58" s="44">
        <v>0.5724</v>
      </c>
      <c r="J58" s="44">
        <v>6.0</v>
      </c>
      <c r="K58" s="44">
        <v>5.0</v>
      </c>
      <c r="L58" s="44">
        <v>1.0</v>
      </c>
      <c r="M58" s="66">
        <v>37.72</v>
      </c>
      <c r="N58" s="67" t="s">
        <v>764</v>
      </c>
      <c r="O58" s="43" t="s">
        <v>1145</v>
      </c>
      <c r="P58" s="43" t="s">
        <v>1146</v>
      </c>
      <c r="Q58" s="43" t="s">
        <v>1147</v>
      </c>
    </row>
    <row r="59" ht="15.75" customHeight="1">
      <c r="A59" s="43" t="s">
        <v>993</v>
      </c>
      <c r="B59" s="43" t="s">
        <v>581</v>
      </c>
      <c r="C59" s="43" t="s">
        <v>196</v>
      </c>
      <c r="D59" s="43" t="s">
        <v>750</v>
      </c>
      <c r="E59" s="43" t="s">
        <v>826</v>
      </c>
      <c r="F59" s="43" t="s">
        <v>751</v>
      </c>
      <c r="G59" s="44">
        <v>2024.0</v>
      </c>
      <c r="H59" s="44">
        <v>0.6259</v>
      </c>
      <c r="I59" s="44">
        <v>0.6883</v>
      </c>
      <c r="J59" s="44">
        <v>9.0</v>
      </c>
      <c r="K59" s="44">
        <v>8.0</v>
      </c>
      <c r="L59" s="44">
        <v>1.0</v>
      </c>
      <c r="M59" s="66">
        <v>47.06</v>
      </c>
      <c r="N59" s="67" t="s">
        <v>764</v>
      </c>
      <c r="O59" s="43" t="s">
        <v>1145</v>
      </c>
      <c r="P59" s="43" t="s">
        <v>1146</v>
      </c>
      <c r="Q59" s="43" t="s">
        <v>1147</v>
      </c>
    </row>
    <row r="60" ht="15.75" customHeight="1">
      <c r="A60" s="43" t="s">
        <v>994</v>
      </c>
      <c r="B60" s="43" t="s">
        <v>581</v>
      </c>
      <c r="C60" s="43" t="s">
        <v>468</v>
      </c>
      <c r="D60" s="43" t="s">
        <v>703</v>
      </c>
      <c r="E60" s="43" t="s">
        <v>797</v>
      </c>
      <c r="F60" s="43" t="s">
        <v>798</v>
      </c>
      <c r="G60" s="44">
        <v>2023.0</v>
      </c>
      <c r="H60" s="44">
        <v>0.0375</v>
      </c>
      <c r="I60" s="44">
        <v>0.0453</v>
      </c>
      <c r="J60" s="44">
        <v>2.0</v>
      </c>
      <c r="K60" s="44">
        <v>1.0</v>
      </c>
      <c r="L60" s="44">
        <v>1.0</v>
      </c>
      <c r="M60" s="66">
        <v>0.2103</v>
      </c>
      <c r="N60" s="67" t="s">
        <v>764</v>
      </c>
      <c r="O60" s="43" t="s">
        <v>1145</v>
      </c>
      <c r="P60" s="43" t="s">
        <v>1146</v>
      </c>
      <c r="Q60" s="43" t="s">
        <v>1147</v>
      </c>
    </row>
    <row r="61" ht="15.75" customHeight="1">
      <c r="A61" s="43" t="s">
        <v>996</v>
      </c>
      <c r="B61" s="43" t="s">
        <v>596</v>
      </c>
      <c r="C61" s="43" t="s">
        <v>136</v>
      </c>
      <c r="D61" s="43" t="s">
        <v>852</v>
      </c>
      <c r="E61" s="43" t="s">
        <v>826</v>
      </c>
      <c r="F61" s="43" t="s">
        <v>751</v>
      </c>
      <c r="G61" s="44">
        <v>2024.0</v>
      </c>
      <c r="H61" s="44">
        <v>0.653</v>
      </c>
      <c r="I61" s="44">
        <v>0.7346</v>
      </c>
      <c r="J61" s="44">
        <v>5.0</v>
      </c>
      <c r="K61" s="44">
        <v>3.0</v>
      </c>
      <c r="L61" s="44">
        <v>1.0</v>
      </c>
      <c r="M61" s="66">
        <v>73.67</v>
      </c>
      <c r="N61" s="67" t="s">
        <v>764</v>
      </c>
      <c r="O61" s="43" t="s">
        <v>1145</v>
      </c>
      <c r="P61" s="43" t="s">
        <v>1146</v>
      </c>
      <c r="Q61" s="43" t="s">
        <v>1147</v>
      </c>
    </row>
    <row r="62" ht="15.75" customHeight="1">
      <c r="A62" s="43" t="s">
        <v>998</v>
      </c>
      <c r="B62" s="43" t="s">
        <v>596</v>
      </c>
      <c r="C62" s="43" t="s">
        <v>346</v>
      </c>
      <c r="D62" s="43" t="s">
        <v>873</v>
      </c>
      <c r="E62" s="43" t="s">
        <v>817</v>
      </c>
      <c r="F62" s="43" t="s">
        <v>798</v>
      </c>
      <c r="G62" s="44">
        <v>2023.0</v>
      </c>
      <c r="H62" s="44">
        <v>0.1387</v>
      </c>
      <c r="I62" s="44">
        <v>0.1765</v>
      </c>
      <c r="J62" s="44">
        <v>2.0</v>
      </c>
      <c r="K62" s="44">
        <v>1.0</v>
      </c>
      <c r="L62" s="44">
        <v>1.0</v>
      </c>
      <c r="M62" s="66">
        <v>0.8902</v>
      </c>
      <c r="N62" s="67" t="s">
        <v>764</v>
      </c>
      <c r="O62" s="43" t="s">
        <v>1145</v>
      </c>
      <c r="P62" s="43" t="s">
        <v>1146</v>
      </c>
      <c r="Q62" s="43" t="s">
        <v>1147</v>
      </c>
    </row>
    <row r="63" ht="15.75" customHeight="1">
      <c r="A63" s="43" t="s">
        <v>1000</v>
      </c>
      <c r="B63" s="43" t="s">
        <v>605</v>
      </c>
      <c r="C63" s="43" t="s">
        <v>324</v>
      </c>
      <c r="D63" s="43" t="s">
        <v>970</v>
      </c>
      <c r="E63" s="43" t="s">
        <v>749</v>
      </c>
      <c r="F63" s="43" t="s">
        <v>751</v>
      </c>
      <c r="G63" s="44">
        <v>2024.0</v>
      </c>
      <c r="H63" s="44">
        <v>0.0043</v>
      </c>
      <c r="I63" s="44">
        <v>0.0049</v>
      </c>
      <c r="J63" s="44">
        <v>2.0</v>
      </c>
      <c r="K63" s="44">
        <v>1.0</v>
      </c>
      <c r="L63" s="44">
        <v>1.0</v>
      </c>
      <c r="M63" s="66">
        <v>0.43</v>
      </c>
      <c r="N63" s="67" t="s">
        <v>764</v>
      </c>
      <c r="O63" s="43" t="s">
        <v>1145</v>
      </c>
      <c r="P63" s="43" t="s">
        <v>1146</v>
      </c>
      <c r="Q63" s="43" t="s">
        <v>1147</v>
      </c>
    </row>
    <row r="64" ht="15.75" customHeight="1">
      <c r="A64" s="43" t="s">
        <v>1002</v>
      </c>
      <c r="B64" s="43" t="s">
        <v>603</v>
      </c>
      <c r="C64" s="43" t="s">
        <v>272</v>
      </c>
      <c r="D64" s="43" t="s">
        <v>891</v>
      </c>
      <c r="E64" s="43" t="s">
        <v>749</v>
      </c>
      <c r="F64" s="43" t="s">
        <v>751</v>
      </c>
      <c r="G64" s="44">
        <v>2024.0</v>
      </c>
      <c r="H64" s="44">
        <v>0.0047</v>
      </c>
      <c r="I64" s="44">
        <v>0.0056</v>
      </c>
      <c r="J64" s="44">
        <v>2.0</v>
      </c>
      <c r="K64" s="44">
        <v>1.0</v>
      </c>
      <c r="L64" s="44">
        <v>1.0</v>
      </c>
      <c r="M64" s="66">
        <v>0.31</v>
      </c>
      <c r="N64" s="67" t="s">
        <v>764</v>
      </c>
      <c r="O64" s="43" t="s">
        <v>1145</v>
      </c>
      <c r="P64" s="43" t="s">
        <v>1146</v>
      </c>
      <c r="Q64" s="43" t="s">
        <v>1147</v>
      </c>
    </row>
    <row r="65" ht="15.75" customHeight="1">
      <c r="A65" s="43" t="s">
        <v>1004</v>
      </c>
      <c r="B65" s="43" t="s">
        <v>603</v>
      </c>
      <c r="C65" s="43" t="s">
        <v>495</v>
      </c>
      <c r="D65" s="43" t="s">
        <v>900</v>
      </c>
      <c r="E65" s="43" t="s">
        <v>836</v>
      </c>
      <c r="F65" s="43" t="s">
        <v>798</v>
      </c>
      <c r="G65" s="44">
        <v>2023.0</v>
      </c>
      <c r="H65" s="44">
        <v>0.1217</v>
      </c>
      <c r="I65" s="44">
        <v>0.1407</v>
      </c>
      <c r="J65" s="44">
        <v>2.0</v>
      </c>
      <c r="K65" s="44">
        <v>1.0</v>
      </c>
      <c r="L65" s="44">
        <v>1.0</v>
      </c>
      <c r="M65" s="66">
        <v>1.4841</v>
      </c>
      <c r="N65" s="67" t="s">
        <v>764</v>
      </c>
      <c r="O65" s="43" t="s">
        <v>1145</v>
      </c>
      <c r="P65" s="43" t="s">
        <v>1146</v>
      </c>
      <c r="Q65" s="43" t="s">
        <v>1147</v>
      </c>
    </row>
    <row r="66" ht="15.75" customHeight="1">
      <c r="A66" s="43" t="s">
        <v>1006</v>
      </c>
      <c r="B66" s="43" t="s">
        <v>596</v>
      </c>
      <c r="C66" s="43" t="s">
        <v>136</v>
      </c>
      <c r="D66" s="43" t="s">
        <v>852</v>
      </c>
      <c r="E66" s="43" t="s">
        <v>817</v>
      </c>
      <c r="F66" s="43" t="s">
        <v>798</v>
      </c>
      <c r="G66" s="44">
        <v>2023.0</v>
      </c>
      <c r="H66" s="44">
        <v>0.1891</v>
      </c>
      <c r="I66" s="44">
        <v>0.2133</v>
      </c>
      <c r="J66" s="44">
        <v>2.0</v>
      </c>
      <c r="K66" s="44">
        <v>1.0</v>
      </c>
      <c r="L66" s="44">
        <v>1.0</v>
      </c>
      <c r="M66" s="66">
        <v>0.979</v>
      </c>
      <c r="N66" s="67" t="s">
        <v>764</v>
      </c>
      <c r="O66" s="43" t="s">
        <v>1145</v>
      </c>
      <c r="P66" s="43" t="s">
        <v>1146</v>
      </c>
      <c r="Q66" s="43" t="s">
        <v>1147</v>
      </c>
    </row>
    <row r="67" ht="15.75" customHeight="1">
      <c r="A67" s="43" t="s">
        <v>1008</v>
      </c>
      <c r="B67" s="43" t="s">
        <v>577</v>
      </c>
      <c r="C67" s="43" t="s">
        <v>422</v>
      </c>
      <c r="D67" s="43" t="s">
        <v>688</v>
      </c>
      <c r="E67" s="43" t="s">
        <v>836</v>
      </c>
      <c r="F67" s="43" t="s">
        <v>798</v>
      </c>
      <c r="G67" s="44">
        <v>2023.0</v>
      </c>
      <c r="H67" s="44">
        <v>0.5481</v>
      </c>
      <c r="I67" s="44">
        <v>0.7096</v>
      </c>
      <c r="J67" s="44">
        <v>4.0</v>
      </c>
      <c r="K67" s="44">
        <v>3.0</v>
      </c>
      <c r="L67" s="44">
        <v>1.0</v>
      </c>
      <c r="M67" s="66">
        <v>4.8669</v>
      </c>
      <c r="N67" s="67" t="s">
        <v>764</v>
      </c>
      <c r="O67" s="43" t="s">
        <v>1145</v>
      </c>
      <c r="P67" s="43" t="s">
        <v>1146</v>
      </c>
      <c r="Q67" s="43" t="s">
        <v>1147</v>
      </c>
    </row>
    <row r="68" ht="15.75" customHeight="1">
      <c r="A68" s="43" t="s">
        <v>1009</v>
      </c>
      <c r="B68" s="43" t="s">
        <v>577</v>
      </c>
      <c r="C68" s="43" t="s">
        <v>237</v>
      </c>
      <c r="D68" s="43" t="s">
        <v>669</v>
      </c>
      <c r="E68" s="43" t="s">
        <v>817</v>
      </c>
      <c r="F68" s="43" t="s">
        <v>798</v>
      </c>
      <c r="G68" s="44">
        <v>2023.0</v>
      </c>
      <c r="H68" s="44">
        <v>0.039</v>
      </c>
      <c r="I68" s="44">
        <v>0.0475</v>
      </c>
      <c r="J68" s="44">
        <v>3.0</v>
      </c>
      <c r="K68" s="44">
        <v>2.0</v>
      </c>
      <c r="L68" s="44">
        <v>1.0</v>
      </c>
      <c r="M68" s="66">
        <v>0.1976</v>
      </c>
      <c r="N68" s="67" t="s">
        <v>764</v>
      </c>
      <c r="O68" s="43" t="s">
        <v>1145</v>
      </c>
      <c r="P68" s="43" t="s">
        <v>1146</v>
      </c>
      <c r="Q68" s="43" t="s">
        <v>1147</v>
      </c>
    </row>
    <row r="69" ht="15.75" customHeight="1">
      <c r="A69" s="43" t="s">
        <v>1011</v>
      </c>
      <c r="B69" s="43" t="s">
        <v>581</v>
      </c>
      <c r="C69" s="43" t="s">
        <v>305</v>
      </c>
      <c r="D69" s="43" t="s">
        <v>788</v>
      </c>
      <c r="E69" s="43" t="s">
        <v>817</v>
      </c>
      <c r="F69" s="43" t="s">
        <v>798</v>
      </c>
      <c r="G69" s="44">
        <v>2023.0</v>
      </c>
      <c r="H69" s="44">
        <v>0.0208</v>
      </c>
      <c r="I69" s="44">
        <v>0.0248</v>
      </c>
      <c r="J69" s="44">
        <v>2.0</v>
      </c>
      <c r="K69" s="44">
        <v>1.0</v>
      </c>
      <c r="L69" s="44">
        <v>1.0</v>
      </c>
      <c r="M69" s="66">
        <v>0.1132</v>
      </c>
      <c r="N69" s="67" t="s">
        <v>764</v>
      </c>
      <c r="O69" s="43" t="s">
        <v>1145</v>
      </c>
      <c r="P69" s="43" t="s">
        <v>1146</v>
      </c>
      <c r="Q69" s="43" t="s">
        <v>1147</v>
      </c>
    </row>
    <row r="70" ht="15.75" customHeight="1">
      <c r="A70" s="43" t="s">
        <v>1013</v>
      </c>
      <c r="B70" s="43" t="s">
        <v>603</v>
      </c>
      <c r="C70" s="43" t="s">
        <v>495</v>
      </c>
      <c r="D70" s="43" t="s">
        <v>900</v>
      </c>
      <c r="E70" s="43" t="s">
        <v>817</v>
      </c>
      <c r="F70" s="43" t="s">
        <v>798</v>
      </c>
      <c r="G70" s="44">
        <v>2023.0</v>
      </c>
      <c r="H70" s="44">
        <v>0.1045</v>
      </c>
      <c r="I70" s="44">
        <v>0.1238</v>
      </c>
      <c r="J70" s="44">
        <v>2.0</v>
      </c>
      <c r="K70" s="44">
        <v>1.0</v>
      </c>
      <c r="L70" s="44">
        <v>1.0</v>
      </c>
      <c r="M70" s="66">
        <v>0.4061</v>
      </c>
      <c r="N70" s="67" t="s">
        <v>764</v>
      </c>
      <c r="O70" s="43" t="s">
        <v>1145</v>
      </c>
      <c r="P70" s="43" t="s">
        <v>1146</v>
      </c>
      <c r="Q70" s="43" t="s">
        <v>1147</v>
      </c>
    </row>
    <row r="71" ht="15.75" customHeight="1">
      <c r="A71" s="43" t="s">
        <v>1015</v>
      </c>
      <c r="B71" s="43" t="s">
        <v>605</v>
      </c>
      <c r="C71" s="43" t="s">
        <v>160</v>
      </c>
      <c r="D71" s="43" t="s">
        <v>937</v>
      </c>
      <c r="E71" s="43" t="s">
        <v>826</v>
      </c>
      <c r="F71" s="43" t="s">
        <v>751</v>
      </c>
      <c r="G71" s="44">
        <v>2024.0</v>
      </c>
      <c r="H71" s="44">
        <v>0.7858</v>
      </c>
      <c r="I71" s="44">
        <v>0.9567</v>
      </c>
      <c r="J71" s="44">
        <v>7.0</v>
      </c>
      <c r="K71" s="44">
        <v>4.0</v>
      </c>
      <c r="L71" s="44">
        <v>1.0</v>
      </c>
      <c r="M71" s="66">
        <v>90.35</v>
      </c>
      <c r="N71" s="67" t="s">
        <v>764</v>
      </c>
      <c r="O71" s="43" t="s">
        <v>1145</v>
      </c>
      <c r="P71" s="43" t="s">
        <v>1146</v>
      </c>
      <c r="Q71" s="43" t="s">
        <v>1147</v>
      </c>
    </row>
    <row r="72" ht="15.75" customHeight="1">
      <c r="A72" s="43" t="s">
        <v>1017</v>
      </c>
      <c r="B72" s="43" t="s">
        <v>577</v>
      </c>
      <c r="C72" s="43" t="s">
        <v>294</v>
      </c>
      <c r="D72" s="43" t="s">
        <v>684</v>
      </c>
      <c r="E72" s="43" t="s">
        <v>797</v>
      </c>
      <c r="F72" s="43" t="s">
        <v>798</v>
      </c>
      <c r="G72" s="44">
        <v>2023.0</v>
      </c>
      <c r="H72" s="44">
        <v>0.0595</v>
      </c>
      <c r="I72" s="44">
        <v>0.0723</v>
      </c>
      <c r="J72" s="44">
        <v>2.0</v>
      </c>
      <c r="K72" s="44">
        <v>2.0</v>
      </c>
      <c r="L72" s="44">
        <v>1.0</v>
      </c>
      <c r="M72" s="66">
        <v>0.2393</v>
      </c>
      <c r="N72" s="67" t="s">
        <v>764</v>
      </c>
      <c r="O72" s="43" t="s">
        <v>1145</v>
      </c>
      <c r="P72" s="43" t="s">
        <v>1146</v>
      </c>
      <c r="Q72" s="43" t="s">
        <v>1147</v>
      </c>
    </row>
    <row r="73" ht="15.75" customHeight="1">
      <c r="A73" s="43" t="s">
        <v>1019</v>
      </c>
      <c r="B73" s="43" t="s">
        <v>603</v>
      </c>
      <c r="C73" s="43" t="s">
        <v>317</v>
      </c>
      <c r="D73" s="43" t="s">
        <v>917</v>
      </c>
      <c r="E73" s="43" t="s">
        <v>826</v>
      </c>
      <c r="F73" s="43" t="s">
        <v>751</v>
      </c>
      <c r="G73" s="44">
        <v>2024.0</v>
      </c>
      <c r="H73" s="44">
        <v>0.2155</v>
      </c>
      <c r="I73" s="44">
        <v>0.2527</v>
      </c>
      <c r="J73" s="44">
        <v>2.0</v>
      </c>
      <c r="K73" s="44">
        <v>1.0</v>
      </c>
      <c r="L73" s="44">
        <v>1.0</v>
      </c>
      <c r="M73" s="66">
        <v>15.86</v>
      </c>
      <c r="N73" s="67" t="s">
        <v>764</v>
      </c>
      <c r="O73" s="43" t="s">
        <v>1145</v>
      </c>
      <c r="P73" s="43" t="s">
        <v>1146</v>
      </c>
      <c r="Q73" s="43" t="s">
        <v>1147</v>
      </c>
    </row>
    <row r="74" ht="15.75" customHeight="1">
      <c r="A74" s="43" t="s">
        <v>1021</v>
      </c>
      <c r="B74" s="43" t="s">
        <v>581</v>
      </c>
      <c r="C74" s="43" t="s">
        <v>378</v>
      </c>
      <c r="D74" s="43" t="s">
        <v>718</v>
      </c>
      <c r="E74" s="43" t="s">
        <v>826</v>
      </c>
      <c r="F74" s="43" t="s">
        <v>751</v>
      </c>
      <c r="G74" s="44">
        <v>2024.0</v>
      </c>
      <c r="H74" s="44">
        <v>0.9179</v>
      </c>
      <c r="I74" s="44">
        <v>1.1284</v>
      </c>
      <c r="J74" s="44">
        <v>9.0</v>
      </c>
      <c r="K74" s="44">
        <v>7.0</v>
      </c>
      <c r="L74" s="44">
        <v>1.0</v>
      </c>
      <c r="M74" s="66">
        <v>75.56</v>
      </c>
      <c r="N74" s="67" t="s">
        <v>764</v>
      </c>
      <c r="O74" s="43" t="s">
        <v>1145</v>
      </c>
      <c r="P74" s="43" t="s">
        <v>1146</v>
      </c>
      <c r="Q74" s="43" t="s">
        <v>1147</v>
      </c>
    </row>
    <row r="75" ht="15.75" customHeight="1">
      <c r="A75" s="43" t="s">
        <v>1022</v>
      </c>
      <c r="B75" s="43" t="s">
        <v>581</v>
      </c>
      <c r="C75" s="43" t="s">
        <v>489</v>
      </c>
      <c r="D75" s="43" t="s">
        <v>721</v>
      </c>
      <c r="E75" s="43" t="s">
        <v>826</v>
      </c>
      <c r="F75" s="43" t="s">
        <v>751</v>
      </c>
      <c r="G75" s="44">
        <v>2024.0</v>
      </c>
      <c r="H75" s="44">
        <v>0.3588</v>
      </c>
      <c r="I75" s="44">
        <v>0.4498</v>
      </c>
      <c r="J75" s="44">
        <v>2.0</v>
      </c>
      <c r="K75" s="44">
        <v>2.0</v>
      </c>
      <c r="L75" s="44">
        <v>1.0</v>
      </c>
      <c r="M75" s="66">
        <v>33.38</v>
      </c>
      <c r="N75" s="67" t="s">
        <v>764</v>
      </c>
      <c r="O75" s="43" t="s">
        <v>1145</v>
      </c>
      <c r="P75" s="43" t="s">
        <v>1146</v>
      </c>
      <c r="Q75" s="43" t="s">
        <v>1147</v>
      </c>
    </row>
    <row r="76" ht="15.75" customHeight="1">
      <c r="A76" s="43" t="s">
        <v>1024</v>
      </c>
      <c r="B76" s="43" t="s">
        <v>581</v>
      </c>
      <c r="C76" s="43" t="s">
        <v>385</v>
      </c>
      <c r="D76" s="43" t="s">
        <v>773</v>
      </c>
      <c r="E76" s="43" t="s">
        <v>826</v>
      </c>
      <c r="F76" s="43" t="s">
        <v>751</v>
      </c>
      <c r="G76" s="44">
        <v>2024.0</v>
      </c>
      <c r="H76" s="44">
        <v>1.2578</v>
      </c>
      <c r="I76" s="44">
        <v>1.6554</v>
      </c>
      <c r="J76" s="44">
        <v>16.0</v>
      </c>
      <c r="K76" s="44">
        <v>10.0</v>
      </c>
      <c r="L76" s="44">
        <v>1.0</v>
      </c>
      <c r="M76" s="66">
        <v>100.37</v>
      </c>
      <c r="N76" s="67" t="s">
        <v>764</v>
      </c>
      <c r="O76" s="43" t="s">
        <v>1145</v>
      </c>
      <c r="P76" s="43" t="s">
        <v>1146</v>
      </c>
      <c r="Q76" s="43" t="s">
        <v>1147</v>
      </c>
    </row>
    <row r="77" ht="15.75" customHeight="1">
      <c r="A77" s="43" t="s">
        <v>1026</v>
      </c>
      <c r="B77" s="43" t="s">
        <v>577</v>
      </c>
      <c r="C77" s="43" t="s">
        <v>294</v>
      </c>
      <c r="D77" s="43" t="s">
        <v>684</v>
      </c>
      <c r="E77" s="43" t="s">
        <v>836</v>
      </c>
      <c r="F77" s="43" t="s">
        <v>798</v>
      </c>
      <c r="G77" s="44">
        <v>2023.0</v>
      </c>
      <c r="H77" s="44">
        <v>0.5291</v>
      </c>
      <c r="I77" s="44">
        <v>0.7103</v>
      </c>
      <c r="J77" s="44">
        <v>6.0</v>
      </c>
      <c r="K77" s="44">
        <v>3.0</v>
      </c>
      <c r="L77" s="44">
        <v>1.0</v>
      </c>
      <c r="M77" s="66">
        <v>5.0846</v>
      </c>
      <c r="N77" s="67" t="s">
        <v>764</v>
      </c>
      <c r="O77" s="43" t="s">
        <v>1145</v>
      </c>
      <c r="P77" s="43" t="s">
        <v>1146</v>
      </c>
      <c r="Q77" s="43" t="s">
        <v>1147</v>
      </c>
    </row>
    <row r="78" ht="15.75" customHeight="1">
      <c r="A78" s="43" t="s">
        <v>1028</v>
      </c>
      <c r="B78" s="43" t="s">
        <v>577</v>
      </c>
      <c r="C78" s="43" t="s">
        <v>185</v>
      </c>
      <c r="D78" s="43" t="s">
        <v>695</v>
      </c>
      <c r="E78" s="43" t="s">
        <v>784</v>
      </c>
      <c r="F78" s="43" t="s">
        <v>751</v>
      </c>
      <c r="G78" s="44">
        <v>2024.0</v>
      </c>
      <c r="H78" s="44">
        <v>0.6825</v>
      </c>
      <c r="I78" s="44">
        <v>0.7974</v>
      </c>
      <c r="J78" s="44">
        <v>8.0</v>
      </c>
      <c r="K78" s="44">
        <v>5.0</v>
      </c>
      <c r="L78" s="44">
        <v>1.0</v>
      </c>
      <c r="M78" s="66">
        <v>47.65</v>
      </c>
      <c r="N78" s="67" t="s">
        <v>764</v>
      </c>
      <c r="O78" s="43" t="s">
        <v>1145</v>
      </c>
      <c r="P78" s="43" t="s">
        <v>1146</v>
      </c>
      <c r="Q78" s="43" t="s">
        <v>1147</v>
      </c>
    </row>
    <row r="79" ht="15.75" customHeight="1">
      <c r="A79" s="43" t="s">
        <v>1030</v>
      </c>
      <c r="B79" s="43" t="s">
        <v>605</v>
      </c>
      <c r="C79" s="43" t="s">
        <v>408</v>
      </c>
      <c r="D79" s="43" t="s">
        <v>847</v>
      </c>
      <c r="E79" s="43" t="s">
        <v>826</v>
      </c>
      <c r="F79" s="43" t="s">
        <v>751</v>
      </c>
      <c r="G79" s="44">
        <v>2024.0</v>
      </c>
      <c r="H79" s="44">
        <v>0.4036</v>
      </c>
      <c r="I79" s="44">
        <v>0.5191</v>
      </c>
      <c r="J79" s="44">
        <v>6.0</v>
      </c>
      <c r="K79" s="44">
        <v>3.0</v>
      </c>
      <c r="L79" s="44">
        <v>1.0</v>
      </c>
      <c r="M79" s="66">
        <v>34.19</v>
      </c>
      <c r="N79" s="67" t="s">
        <v>764</v>
      </c>
      <c r="O79" s="43" t="s">
        <v>1145</v>
      </c>
      <c r="P79" s="43" t="s">
        <v>1146</v>
      </c>
      <c r="Q79" s="43" t="s">
        <v>1147</v>
      </c>
    </row>
    <row r="80" ht="15.75" customHeight="1">
      <c r="A80" s="43" t="s">
        <v>1032</v>
      </c>
      <c r="B80" s="43" t="s">
        <v>581</v>
      </c>
      <c r="C80" s="43" t="s">
        <v>378</v>
      </c>
      <c r="D80" s="43" t="s">
        <v>718</v>
      </c>
      <c r="E80" s="43" t="s">
        <v>836</v>
      </c>
      <c r="F80" s="43" t="s">
        <v>798</v>
      </c>
      <c r="G80" s="44">
        <v>2023.0</v>
      </c>
      <c r="H80" s="44">
        <v>0.2695</v>
      </c>
      <c r="I80" s="44">
        <v>0.3191</v>
      </c>
      <c r="J80" s="44">
        <v>2.0</v>
      </c>
      <c r="K80" s="44">
        <v>1.0</v>
      </c>
      <c r="L80" s="44">
        <v>1.0</v>
      </c>
      <c r="M80" s="66">
        <v>2.4869</v>
      </c>
      <c r="N80" s="67" t="s">
        <v>764</v>
      </c>
      <c r="O80" s="43" t="s">
        <v>1145</v>
      </c>
      <c r="P80" s="43" t="s">
        <v>1146</v>
      </c>
      <c r="Q80" s="43" t="s">
        <v>1147</v>
      </c>
    </row>
    <row r="81" ht="15.75" customHeight="1">
      <c r="A81" s="43" t="s">
        <v>1033</v>
      </c>
      <c r="B81" s="43" t="s">
        <v>581</v>
      </c>
      <c r="C81" s="43" t="s">
        <v>196</v>
      </c>
      <c r="D81" s="43" t="s">
        <v>750</v>
      </c>
      <c r="E81" s="43" t="s">
        <v>749</v>
      </c>
      <c r="F81" s="43" t="s">
        <v>751</v>
      </c>
      <c r="G81" s="44">
        <v>2024.0</v>
      </c>
      <c r="H81" s="44">
        <v>0.0069</v>
      </c>
      <c r="I81" s="44">
        <v>0.008</v>
      </c>
      <c r="J81" s="44">
        <v>2.0</v>
      </c>
      <c r="K81" s="44">
        <v>1.0</v>
      </c>
      <c r="L81" s="44">
        <v>1.0</v>
      </c>
      <c r="M81" s="66">
        <v>0.42</v>
      </c>
      <c r="N81" s="67" t="s">
        <v>764</v>
      </c>
      <c r="O81" s="43" t="s">
        <v>1145</v>
      </c>
      <c r="P81" s="43" t="s">
        <v>1146</v>
      </c>
      <c r="Q81" s="43" t="s">
        <v>1147</v>
      </c>
    </row>
    <row r="82" ht="15.75" customHeight="1">
      <c r="A82" s="43" t="s">
        <v>1035</v>
      </c>
      <c r="B82" s="43" t="s">
        <v>581</v>
      </c>
      <c r="C82" s="43" t="s">
        <v>505</v>
      </c>
      <c r="D82" s="43" t="s">
        <v>799</v>
      </c>
      <c r="E82" s="43" t="s">
        <v>749</v>
      </c>
      <c r="F82" s="43" t="s">
        <v>751</v>
      </c>
      <c r="G82" s="44">
        <v>2024.0</v>
      </c>
      <c r="H82" s="44">
        <v>0.0051</v>
      </c>
      <c r="I82" s="44">
        <v>0.0066</v>
      </c>
      <c r="J82" s="44">
        <v>2.0</v>
      </c>
      <c r="K82" s="44">
        <v>1.0</v>
      </c>
      <c r="L82" s="44">
        <v>1.0</v>
      </c>
      <c r="M82" s="66">
        <v>0.27</v>
      </c>
      <c r="N82" s="67" t="s">
        <v>764</v>
      </c>
      <c r="O82" s="43" t="s">
        <v>1145</v>
      </c>
      <c r="P82" s="43" t="s">
        <v>1146</v>
      </c>
      <c r="Q82" s="43" t="s">
        <v>1147</v>
      </c>
    </row>
    <row r="83" ht="15.75" customHeight="1">
      <c r="A83" s="43" t="s">
        <v>1037</v>
      </c>
      <c r="B83" s="43" t="s">
        <v>577</v>
      </c>
      <c r="C83" s="43" t="s">
        <v>185</v>
      </c>
      <c r="D83" s="43" t="s">
        <v>695</v>
      </c>
      <c r="E83" s="43" t="s">
        <v>836</v>
      </c>
      <c r="F83" s="43" t="s">
        <v>798</v>
      </c>
      <c r="G83" s="44">
        <v>2023.0</v>
      </c>
      <c r="H83" s="44">
        <v>0.2357</v>
      </c>
      <c r="I83" s="44">
        <v>0.2748</v>
      </c>
      <c r="J83" s="44">
        <v>4.0</v>
      </c>
      <c r="K83" s="44">
        <v>2.0</v>
      </c>
      <c r="L83" s="44">
        <v>1.0</v>
      </c>
      <c r="M83" s="66">
        <v>1.8122</v>
      </c>
      <c r="N83" s="67" t="s">
        <v>764</v>
      </c>
      <c r="O83" s="43" t="s">
        <v>1145</v>
      </c>
      <c r="P83" s="43" t="s">
        <v>1146</v>
      </c>
      <c r="Q83" s="43" t="s">
        <v>1147</v>
      </c>
    </row>
    <row r="84" ht="15.75" customHeight="1">
      <c r="A84" s="43" t="s">
        <v>1039</v>
      </c>
      <c r="B84" s="43" t="s">
        <v>605</v>
      </c>
      <c r="C84" s="43" t="s">
        <v>483</v>
      </c>
      <c r="D84" s="43" t="s">
        <v>803</v>
      </c>
      <c r="E84" s="43" t="s">
        <v>836</v>
      </c>
      <c r="F84" s="43" t="s">
        <v>798</v>
      </c>
      <c r="G84" s="44">
        <v>2023.0</v>
      </c>
      <c r="H84" s="44">
        <v>0.0776</v>
      </c>
      <c r="I84" s="44">
        <v>0.0839</v>
      </c>
      <c r="J84" s="44">
        <v>2.0</v>
      </c>
      <c r="K84" s="44">
        <v>1.0</v>
      </c>
      <c r="L84" s="44">
        <v>1.0</v>
      </c>
      <c r="M84" s="66">
        <v>0.9345</v>
      </c>
      <c r="N84" s="67" t="s">
        <v>764</v>
      </c>
      <c r="O84" s="43" t="s">
        <v>1145</v>
      </c>
      <c r="P84" s="43" t="s">
        <v>1146</v>
      </c>
      <c r="Q84" s="43" t="s">
        <v>1147</v>
      </c>
    </row>
    <row r="85" ht="15.75" customHeight="1">
      <c r="A85" s="43" t="s">
        <v>1041</v>
      </c>
      <c r="B85" s="43" t="s">
        <v>581</v>
      </c>
      <c r="C85" s="43" t="s">
        <v>519</v>
      </c>
      <c r="D85" s="43" t="s">
        <v>748</v>
      </c>
      <c r="E85" s="43" t="s">
        <v>784</v>
      </c>
      <c r="F85" s="43" t="s">
        <v>751</v>
      </c>
      <c r="G85" s="44">
        <v>2024.0</v>
      </c>
      <c r="H85" s="44">
        <v>0.6077</v>
      </c>
      <c r="I85" s="44">
        <v>0.7144</v>
      </c>
      <c r="J85" s="44">
        <v>4.0</v>
      </c>
      <c r="K85" s="44">
        <v>2.0</v>
      </c>
      <c r="L85" s="44">
        <v>1.0</v>
      </c>
      <c r="M85" s="66">
        <v>73.17</v>
      </c>
      <c r="N85" s="67" t="s">
        <v>764</v>
      </c>
      <c r="O85" s="43" t="s">
        <v>1145</v>
      </c>
      <c r="P85" s="43" t="s">
        <v>1146</v>
      </c>
      <c r="Q85" s="43" t="s">
        <v>1147</v>
      </c>
    </row>
    <row r="86" ht="15.75" customHeight="1">
      <c r="A86" s="43" t="s">
        <v>1043</v>
      </c>
      <c r="B86" s="43" t="s">
        <v>605</v>
      </c>
      <c r="C86" s="43" t="s">
        <v>324</v>
      </c>
      <c r="D86" s="43" t="s">
        <v>970</v>
      </c>
      <c r="E86" s="43" t="s">
        <v>836</v>
      </c>
      <c r="F86" s="43" t="s">
        <v>798</v>
      </c>
      <c r="G86" s="44">
        <v>2023.0</v>
      </c>
      <c r="H86" s="44">
        <v>0.1154</v>
      </c>
      <c r="I86" s="44">
        <v>0.1313</v>
      </c>
      <c r="J86" s="44">
        <v>3.0</v>
      </c>
      <c r="K86" s="44">
        <v>2.0</v>
      </c>
      <c r="L86" s="44">
        <v>1.0</v>
      </c>
      <c r="M86" s="66">
        <v>1.3939</v>
      </c>
      <c r="N86" s="67" t="s">
        <v>764</v>
      </c>
      <c r="O86" s="43" t="s">
        <v>1145</v>
      </c>
      <c r="P86" s="43" t="s">
        <v>1146</v>
      </c>
      <c r="Q86" s="43" t="s">
        <v>1147</v>
      </c>
    </row>
    <row r="87" ht="15.75" customHeight="1">
      <c r="A87" s="43" t="s">
        <v>1045</v>
      </c>
      <c r="B87" s="43" t="s">
        <v>581</v>
      </c>
      <c r="C87" s="43" t="s">
        <v>489</v>
      </c>
      <c r="D87" s="43" t="s">
        <v>721</v>
      </c>
      <c r="E87" s="43" t="s">
        <v>749</v>
      </c>
      <c r="F87" s="43" t="s">
        <v>751</v>
      </c>
      <c r="G87" s="44">
        <v>2024.0</v>
      </c>
      <c r="H87" s="44">
        <v>0.0069</v>
      </c>
      <c r="I87" s="44">
        <v>0.009</v>
      </c>
      <c r="J87" s="44">
        <v>2.0</v>
      </c>
      <c r="K87" s="44">
        <v>2.0</v>
      </c>
      <c r="L87" s="44">
        <v>1.0</v>
      </c>
      <c r="M87" s="66">
        <v>0.56</v>
      </c>
      <c r="N87" s="67" t="s">
        <v>764</v>
      </c>
      <c r="O87" s="43" t="s">
        <v>1145</v>
      </c>
      <c r="P87" s="43" t="s">
        <v>1146</v>
      </c>
      <c r="Q87" s="43" t="s">
        <v>1147</v>
      </c>
    </row>
    <row r="88" ht="15.75" customHeight="1">
      <c r="A88" s="43" t="s">
        <v>1046</v>
      </c>
      <c r="B88" s="43" t="s">
        <v>577</v>
      </c>
      <c r="C88" s="43" t="s">
        <v>78</v>
      </c>
      <c r="D88" s="43" t="s">
        <v>680</v>
      </c>
      <c r="E88" s="43" t="s">
        <v>836</v>
      </c>
      <c r="F88" s="43" t="s">
        <v>798</v>
      </c>
      <c r="G88" s="44">
        <v>2023.0</v>
      </c>
      <c r="H88" s="44">
        <v>0.1553</v>
      </c>
      <c r="I88" s="44">
        <v>0.1698</v>
      </c>
      <c r="J88" s="44">
        <v>4.0</v>
      </c>
      <c r="K88" s="44">
        <v>3.0</v>
      </c>
      <c r="L88" s="44">
        <v>1.0</v>
      </c>
      <c r="M88" s="66">
        <v>1.6806</v>
      </c>
      <c r="N88" s="67" t="s">
        <v>764</v>
      </c>
      <c r="O88" s="43" t="s">
        <v>1145</v>
      </c>
      <c r="P88" s="43" t="s">
        <v>1146</v>
      </c>
      <c r="Q88" s="43" t="s">
        <v>1147</v>
      </c>
    </row>
    <row r="89" ht="15.75" customHeight="1">
      <c r="A89" s="43" t="s">
        <v>1048</v>
      </c>
      <c r="B89" s="43" t="s">
        <v>605</v>
      </c>
      <c r="C89" s="43" t="s">
        <v>523</v>
      </c>
      <c r="D89" s="43" t="s">
        <v>872</v>
      </c>
      <c r="E89" s="43" t="s">
        <v>797</v>
      </c>
      <c r="F89" s="43" t="s">
        <v>798</v>
      </c>
      <c r="G89" s="44">
        <v>2023.0</v>
      </c>
      <c r="H89" s="44">
        <v>0.0845</v>
      </c>
      <c r="I89" s="44">
        <v>0.093</v>
      </c>
      <c r="J89" s="44">
        <v>2.0</v>
      </c>
      <c r="K89" s="44">
        <v>1.0</v>
      </c>
      <c r="L89" s="44">
        <v>1.0</v>
      </c>
      <c r="M89" s="66">
        <v>0.4457</v>
      </c>
      <c r="N89" s="67" t="s">
        <v>764</v>
      </c>
      <c r="O89" s="43" t="s">
        <v>1145</v>
      </c>
      <c r="P89" s="43" t="s">
        <v>1146</v>
      </c>
      <c r="Q89" s="43" t="s">
        <v>1147</v>
      </c>
    </row>
    <row r="90" ht="15.75" customHeight="1">
      <c r="A90" s="43" t="s">
        <v>1050</v>
      </c>
      <c r="B90" s="43" t="s">
        <v>577</v>
      </c>
      <c r="C90" s="43" t="s">
        <v>485</v>
      </c>
      <c r="D90" s="43" t="s">
        <v>637</v>
      </c>
      <c r="E90" s="43" t="s">
        <v>784</v>
      </c>
      <c r="F90" s="43" t="s">
        <v>751</v>
      </c>
      <c r="G90" s="44">
        <v>2024.0</v>
      </c>
      <c r="H90" s="44">
        <v>0.6111</v>
      </c>
      <c r="I90" s="44">
        <v>0.7292</v>
      </c>
      <c r="J90" s="44">
        <v>6.0</v>
      </c>
      <c r="K90" s="44">
        <v>4.0</v>
      </c>
      <c r="L90" s="44">
        <v>1.0</v>
      </c>
      <c r="M90" s="66">
        <v>48.33</v>
      </c>
      <c r="N90" s="67" t="s">
        <v>764</v>
      </c>
      <c r="O90" s="43" t="s">
        <v>1145</v>
      </c>
      <c r="P90" s="43" t="s">
        <v>1146</v>
      </c>
      <c r="Q90" s="43" t="s">
        <v>1147</v>
      </c>
    </row>
    <row r="91" ht="15.75" customHeight="1">
      <c r="A91" s="43" t="s">
        <v>1052</v>
      </c>
      <c r="B91" s="43" t="s">
        <v>605</v>
      </c>
      <c r="C91" s="43" t="s">
        <v>483</v>
      </c>
      <c r="D91" s="43" t="s">
        <v>803</v>
      </c>
      <c r="E91" s="43" t="s">
        <v>784</v>
      </c>
      <c r="F91" s="43" t="s">
        <v>751</v>
      </c>
      <c r="G91" s="44">
        <v>2024.0</v>
      </c>
      <c r="H91" s="44">
        <v>3.2862</v>
      </c>
      <c r="I91" s="44">
        <v>3.8318</v>
      </c>
      <c r="J91" s="44">
        <v>31.0</v>
      </c>
      <c r="K91" s="44">
        <v>21.0</v>
      </c>
      <c r="L91" s="44">
        <v>3.0</v>
      </c>
      <c r="M91" s="66">
        <v>370.03</v>
      </c>
      <c r="N91" s="67" t="s">
        <v>764</v>
      </c>
      <c r="O91" s="43" t="s">
        <v>1145</v>
      </c>
      <c r="P91" s="43" t="s">
        <v>1146</v>
      </c>
      <c r="Q91" s="43" t="s">
        <v>1147</v>
      </c>
    </row>
    <row r="92" ht="15.75" customHeight="1">
      <c r="A92" s="43" t="s">
        <v>1054</v>
      </c>
      <c r="B92" s="43" t="s">
        <v>596</v>
      </c>
      <c r="C92" s="43" t="s">
        <v>481</v>
      </c>
      <c r="D92" s="43" t="s">
        <v>774</v>
      </c>
      <c r="E92" s="43" t="s">
        <v>842</v>
      </c>
      <c r="F92" s="43" t="s">
        <v>751</v>
      </c>
      <c r="G92" s="44">
        <v>2024.0</v>
      </c>
      <c r="H92" s="44">
        <v>0.3936</v>
      </c>
      <c r="I92" s="44">
        <v>0.4384</v>
      </c>
      <c r="J92" s="44">
        <v>8.0</v>
      </c>
      <c r="K92" s="44">
        <v>5.0</v>
      </c>
      <c r="L92" s="44">
        <v>1.0</v>
      </c>
      <c r="M92" s="66">
        <v>27.92</v>
      </c>
      <c r="N92" s="67" t="s">
        <v>764</v>
      </c>
      <c r="O92" s="43" t="s">
        <v>1145</v>
      </c>
      <c r="P92" s="43" t="s">
        <v>1146</v>
      </c>
      <c r="Q92" s="43" t="s">
        <v>1147</v>
      </c>
    </row>
    <row r="93" ht="15.75" customHeight="1">
      <c r="A93" s="43" t="s">
        <v>1055</v>
      </c>
      <c r="B93" s="43" t="s">
        <v>581</v>
      </c>
      <c r="C93" s="43" t="s">
        <v>123</v>
      </c>
      <c r="D93" s="43" t="s">
        <v>782</v>
      </c>
      <c r="E93" s="43" t="s">
        <v>749</v>
      </c>
      <c r="F93" s="43" t="s">
        <v>751</v>
      </c>
      <c r="G93" s="44">
        <v>2024.0</v>
      </c>
      <c r="H93" s="44">
        <v>0.0146</v>
      </c>
      <c r="I93" s="44">
        <v>0.019</v>
      </c>
      <c r="J93" s="44">
        <v>2.0</v>
      </c>
      <c r="K93" s="44">
        <v>1.0</v>
      </c>
      <c r="L93" s="44">
        <v>1.0</v>
      </c>
      <c r="M93" s="66">
        <v>1.22</v>
      </c>
      <c r="N93" s="67" t="s">
        <v>764</v>
      </c>
      <c r="O93" s="43" t="s">
        <v>1145</v>
      </c>
      <c r="P93" s="43" t="s">
        <v>1146</v>
      </c>
      <c r="Q93" s="43" t="s">
        <v>1147</v>
      </c>
    </row>
    <row r="94" ht="15.75" customHeight="1">
      <c r="A94" s="43" t="s">
        <v>1057</v>
      </c>
      <c r="B94" s="43" t="s">
        <v>577</v>
      </c>
      <c r="C94" s="43" t="s">
        <v>485</v>
      </c>
      <c r="D94" s="43" t="s">
        <v>637</v>
      </c>
      <c r="E94" s="43" t="s">
        <v>842</v>
      </c>
      <c r="F94" s="43" t="s">
        <v>751</v>
      </c>
      <c r="G94" s="44">
        <v>2024.0</v>
      </c>
      <c r="H94" s="44">
        <v>0.4181</v>
      </c>
      <c r="I94" s="44">
        <v>0.4748</v>
      </c>
      <c r="J94" s="44">
        <v>5.0</v>
      </c>
      <c r="K94" s="44">
        <v>3.0</v>
      </c>
      <c r="L94" s="44">
        <v>1.0</v>
      </c>
      <c r="M94" s="66">
        <v>41.42</v>
      </c>
      <c r="N94" s="67" t="s">
        <v>764</v>
      </c>
      <c r="O94" s="43" t="s">
        <v>1145</v>
      </c>
      <c r="P94" s="43" t="s">
        <v>1146</v>
      </c>
      <c r="Q94" s="43" t="s">
        <v>1147</v>
      </c>
    </row>
    <row r="95" ht="15.75" customHeight="1">
      <c r="A95" s="43" t="s">
        <v>1059</v>
      </c>
      <c r="B95" s="43" t="s">
        <v>581</v>
      </c>
      <c r="C95" s="43" t="s">
        <v>104</v>
      </c>
      <c r="D95" s="43" t="s">
        <v>729</v>
      </c>
      <c r="E95" s="43" t="s">
        <v>836</v>
      </c>
      <c r="F95" s="43" t="s">
        <v>798</v>
      </c>
      <c r="G95" s="44">
        <v>2023.0</v>
      </c>
      <c r="H95" s="44">
        <v>0.0493</v>
      </c>
      <c r="I95" s="44">
        <v>0.0582</v>
      </c>
      <c r="J95" s="44">
        <v>2.0</v>
      </c>
      <c r="K95" s="44">
        <v>2.0</v>
      </c>
      <c r="L95" s="44">
        <v>1.0</v>
      </c>
      <c r="M95" s="66">
        <v>0.5547</v>
      </c>
      <c r="N95" s="67" t="s">
        <v>764</v>
      </c>
      <c r="O95" s="43" t="s">
        <v>1145</v>
      </c>
      <c r="P95" s="43" t="s">
        <v>1146</v>
      </c>
      <c r="Q95" s="43" t="s">
        <v>1147</v>
      </c>
    </row>
    <row r="96" ht="15.75" customHeight="1">
      <c r="A96" s="43" t="s">
        <v>1064</v>
      </c>
      <c r="B96" s="43" t="s">
        <v>605</v>
      </c>
      <c r="C96" s="43" t="s">
        <v>324</v>
      </c>
      <c r="D96" s="43" t="s">
        <v>970</v>
      </c>
      <c r="E96" s="43" t="s">
        <v>784</v>
      </c>
      <c r="F96" s="43" t="s">
        <v>751</v>
      </c>
      <c r="G96" s="44">
        <v>2024.0</v>
      </c>
      <c r="H96" s="44">
        <v>0.464</v>
      </c>
      <c r="I96" s="44">
        <v>0.6028</v>
      </c>
      <c r="J96" s="44">
        <v>3.0</v>
      </c>
      <c r="K96" s="44">
        <v>2.0</v>
      </c>
      <c r="L96" s="44">
        <v>1.0</v>
      </c>
      <c r="M96" s="66">
        <v>41.75</v>
      </c>
      <c r="N96" s="67" t="s">
        <v>764</v>
      </c>
      <c r="O96" s="43" t="s">
        <v>1145</v>
      </c>
      <c r="P96" s="43" t="s">
        <v>1146</v>
      </c>
      <c r="Q96" s="43" t="s">
        <v>1147</v>
      </c>
    </row>
    <row r="97" ht="15.75" customHeight="1">
      <c r="A97" s="43" t="s">
        <v>1065</v>
      </c>
      <c r="B97" s="43" t="s">
        <v>596</v>
      </c>
      <c r="C97" s="43" t="s">
        <v>346</v>
      </c>
      <c r="D97" s="43" t="s">
        <v>873</v>
      </c>
      <c r="E97" s="43" t="s">
        <v>784</v>
      </c>
      <c r="F97" s="43" t="s">
        <v>751</v>
      </c>
      <c r="G97" s="44">
        <v>2024.0</v>
      </c>
      <c r="H97" s="44">
        <v>0.8851</v>
      </c>
      <c r="I97" s="44">
        <v>0.9618</v>
      </c>
      <c r="J97" s="44">
        <v>6.0</v>
      </c>
      <c r="K97" s="44">
        <v>5.0</v>
      </c>
      <c r="L97" s="44">
        <v>1.0</v>
      </c>
      <c r="M97" s="66">
        <v>88.93</v>
      </c>
      <c r="N97" s="67" t="s">
        <v>764</v>
      </c>
      <c r="O97" s="43" t="s">
        <v>1145</v>
      </c>
      <c r="P97" s="43" t="s">
        <v>1146</v>
      </c>
      <c r="Q97" s="43" t="s">
        <v>1147</v>
      </c>
    </row>
    <row r="98" ht="15.75" customHeight="1">
      <c r="A98" s="43" t="s">
        <v>1067</v>
      </c>
      <c r="B98" s="43" t="s">
        <v>581</v>
      </c>
      <c r="C98" s="43" t="s">
        <v>515</v>
      </c>
      <c r="D98" s="43" t="s">
        <v>709</v>
      </c>
      <c r="E98" s="43" t="s">
        <v>842</v>
      </c>
      <c r="F98" s="43" t="s">
        <v>751</v>
      </c>
      <c r="G98" s="44">
        <v>2024.0</v>
      </c>
      <c r="H98" s="44">
        <v>0.8212</v>
      </c>
      <c r="I98" s="44">
        <v>0.9657</v>
      </c>
      <c r="J98" s="44">
        <v>9.0</v>
      </c>
      <c r="K98" s="44">
        <v>6.0</v>
      </c>
      <c r="L98" s="44">
        <v>1.0</v>
      </c>
      <c r="M98" s="66">
        <v>44.05</v>
      </c>
      <c r="N98" s="67" t="s">
        <v>764</v>
      </c>
      <c r="O98" s="43" t="s">
        <v>1145</v>
      </c>
      <c r="P98" s="43" t="s">
        <v>1146</v>
      </c>
      <c r="Q98" s="43" t="s">
        <v>1147</v>
      </c>
    </row>
    <row r="99" ht="15.75" customHeight="1">
      <c r="A99" s="43" t="s">
        <v>1069</v>
      </c>
      <c r="B99" s="43" t="s">
        <v>603</v>
      </c>
      <c r="C99" s="43" t="s">
        <v>521</v>
      </c>
      <c r="D99" s="43" t="s">
        <v>882</v>
      </c>
      <c r="E99" s="43" t="s">
        <v>817</v>
      </c>
      <c r="F99" s="43" t="s">
        <v>798</v>
      </c>
      <c r="G99" s="44">
        <v>2023.0</v>
      </c>
      <c r="H99" s="44">
        <v>0.1375</v>
      </c>
      <c r="I99" s="44">
        <v>0.1845</v>
      </c>
      <c r="J99" s="44">
        <v>2.0</v>
      </c>
      <c r="K99" s="44">
        <v>2.0</v>
      </c>
      <c r="L99" s="44">
        <v>1.0</v>
      </c>
      <c r="M99" s="66">
        <v>0.8047</v>
      </c>
      <c r="N99" s="67" t="s">
        <v>764</v>
      </c>
      <c r="O99" s="43" t="s">
        <v>1145</v>
      </c>
      <c r="P99" s="43" t="s">
        <v>1146</v>
      </c>
      <c r="Q99" s="43" t="s">
        <v>1147</v>
      </c>
    </row>
    <row r="100" ht="15.75" customHeight="1">
      <c r="A100" s="43" t="s">
        <v>1071</v>
      </c>
      <c r="B100" s="43" t="s">
        <v>605</v>
      </c>
      <c r="C100" s="43" t="s">
        <v>160</v>
      </c>
      <c r="D100" s="43" t="s">
        <v>937</v>
      </c>
      <c r="E100" s="43" t="s">
        <v>797</v>
      </c>
      <c r="F100" s="43" t="s">
        <v>798</v>
      </c>
      <c r="G100" s="44">
        <v>2023.0</v>
      </c>
      <c r="H100" s="44">
        <v>0.0578</v>
      </c>
      <c r="I100" s="44">
        <v>0.0636</v>
      </c>
      <c r="J100" s="44">
        <v>3.0</v>
      </c>
      <c r="K100" s="44">
        <v>2.0</v>
      </c>
      <c r="L100" s="44">
        <v>1.0</v>
      </c>
      <c r="M100" s="66">
        <v>0.1706</v>
      </c>
      <c r="N100" s="67" t="s">
        <v>764</v>
      </c>
      <c r="O100" s="43" t="s">
        <v>1145</v>
      </c>
      <c r="P100" s="43" t="s">
        <v>1146</v>
      </c>
      <c r="Q100" s="43" t="s">
        <v>1147</v>
      </c>
    </row>
    <row r="101" ht="15.75" customHeight="1">
      <c r="A101" s="43" t="s">
        <v>1072</v>
      </c>
      <c r="B101" s="43" t="s">
        <v>596</v>
      </c>
      <c r="C101" s="43" t="s">
        <v>493</v>
      </c>
      <c r="D101" s="43" t="s">
        <v>823</v>
      </c>
      <c r="E101" s="43" t="s">
        <v>826</v>
      </c>
      <c r="F101" s="43" t="s">
        <v>751</v>
      </c>
      <c r="G101" s="44">
        <v>2024.0</v>
      </c>
      <c r="H101" s="44">
        <v>0.1574</v>
      </c>
      <c r="I101" s="44">
        <v>0.182</v>
      </c>
      <c r="J101" s="44">
        <v>4.0</v>
      </c>
      <c r="K101" s="44">
        <v>3.0</v>
      </c>
      <c r="L101" s="44">
        <v>1.0</v>
      </c>
      <c r="M101" s="66">
        <v>9.29</v>
      </c>
      <c r="N101" s="67" t="s">
        <v>764</v>
      </c>
      <c r="O101" s="43" t="s">
        <v>1145</v>
      </c>
      <c r="P101" s="43" t="s">
        <v>1146</v>
      </c>
      <c r="Q101" s="43" t="s">
        <v>1147</v>
      </c>
    </row>
    <row r="102" ht="15.75" customHeight="1">
      <c r="A102" s="43" t="s">
        <v>1074</v>
      </c>
      <c r="B102" s="43" t="s">
        <v>581</v>
      </c>
      <c r="C102" s="43" t="s">
        <v>503</v>
      </c>
      <c r="D102" s="43" t="s">
        <v>745</v>
      </c>
      <c r="E102" s="43" t="s">
        <v>836</v>
      </c>
      <c r="F102" s="43" t="s">
        <v>798</v>
      </c>
      <c r="G102" s="44">
        <v>2023.0</v>
      </c>
      <c r="H102" s="44">
        <v>0.2259</v>
      </c>
      <c r="I102" s="44">
        <v>0.2677</v>
      </c>
      <c r="J102" s="44">
        <v>2.0</v>
      </c>
      <c r="K102" s="44">
        <v>1.0</v>
      </c>
      <c r="L102" s="44">
        <v>1.0</v>
      </c>
      <c r="M102" s="66">
        <v>2.8569</v>
      </c>
      <c r="N102" s="67" t="s">
        <v>764</v>
      </c>
      <c r="O102" s="43" t="s">
        <v>1145</v>
      </c>
      <c r="P102" s="43" t="s">
        <v>1146</v>
      </c>
      <c r="Q102" s="43" t="s">
        <v>1147</v>
      </c>
    </row>
    <row r="103" ht="15.75" customHeight="1">
      <c r="A103" s="43" t="s">
        <v>1076</v>
      </c>
      <c r="B103" s="43" t="s">
        <v>581</v>
      </c>
      <c r="C103" s="43" t="s">
        <v>252</v>
      </c>
      <c r="D103" s="43" t="s">
        <v>714</v>
      </c>
      <c r="E103" s="43" t="s">
        <v>826</v>
      </c>
      <c r="F103" s="43" t="s">
        <v>751</v>
      </c>
      <c r="G103" s="44">
        <v>2024.0</v>
      </c>
      <c r="H103" s="44">
        <v>1.0556</v>
      </c>
      <c r="I103" s="44">
        <v>1.2872</v>
      </c>
      <c r="J103" s="44">
        <v>8.0</v>
      </c>
      <c r="K103" s="44">
        <v>6.0</v>
      </c>
      <c r="L103" s="44">
        <v>1.0</v>
      </c>
      <c r="M103" s="66">
        <v>109.34</v>
      </c>
      <c r="N103" s="67" t="s">
        <v>764</v>
      </c>
      <c r="O103" s="43" t="s">
        <v>1145</v>
      </c>
      <c r="P103" s="43" t="s">
        <v>1146</v>
      </c>
      <c r="Q103" s="43" t="s">
        <v>1147</v>
      </c>
    </row>
    <row r="104" ht="15.75" customHeight="1">
      <c r="A104" s="43" t="s">
        <v>1078</v>
      </c>
      <c r="B104" s="43" t="s">
        <v>577</v>
      </c>
      <c r="C104" s="43" t="s">
        <v>414</v>
      </c>
      <c r="D104" s="43" t="s">
        <v>647</v>
      </c>
      <c r="E104" s="43" t="s">
        <v>842</v>
      </c>
      <c r="F104" s="43" t="s">
        <v>751</v>
      </c>
      <c r="G104" s="44">
        <v>2024.0</v>
      </c>
      <c r="H104" s="44">
        <v>0.6655</v>
      </c>
      <c r="I104" s="44">
        <v>0.8965</v>
      </c>
      <c r="J104" s="44">
        <v>3.0</v>
      </c>
      <c r="K104" s="44">
        <v>2.0</v>
      </c>
      <c r="L104" s="44">
        <v>1.0</v>
      </c>
      <c r="M104" s="66">
        <v>66.83</v>
      </c>
      <c r="N104" s="67" t="s">
        <v>764</v>
      </c>
      <c r="O104" s="43" t="s">
        <v>1145</v>
      </c>
      <c r="P104" s="43" t="s">
        <v>1146</v>
      </c>
      <c r="Q104" s="43" t="s">
        <v>1147</v>
      </c>
    </row>
    <row r="105" ht="15.75" customHeight="1">
      <c r="A105" s="43" t="s">
        <v>1080</v>
      </c>
      <c r="B105" s="43" t="s">
        <v>577</v>
      </c>
      <c r="C105" s="43" t="s">
        <v>501</v>
      </c>
      <c r="D105" s="43" t="s">
        <v>691</v>
      </c>
      <c r="E105" s="43" t="s">
        <v>826</v>
      </c>
      <c r="F105" s="43" t="s">
        <v>751</v>
      </c>
      <c r="G105" s="44">
        <v>2024.0</v>
      </c>
      <c r="H105" s="44">
        <v>0.5741</v>
      </c>
      <c r="I105" s="44">
        <v>0.6348</v>
      </c>
      <c r="J105" s="44">
        <v>7.0</v>
      </c>
      <c r="K105" s="44">
        <v>4.0</v>
      </c>
      <c r="L105" s="44">
        <v>1.0</v>
      </c>
      <c r="M105" s="66">
        <v>78.12</v>
      </c>
      <c r="N105" s="67" t="s">
        <v>764</v>
      </c>
      <c r="O105" s="43" t="s">
        <v>1145</v>
      </c>
      <c r="P105" s="43" t="s">
        <v>1146</v>
      </c>
      <c r="Q105" s="43" t="s">
        <v>1147</v>
      </c>
    </row>
    <row r="106" ht="15.75" customHeight="1">
      <c r="A106" s="43" t="s">
        <v>1081</v>
      </c>
      <c r="B106" s="43" t="s">
        <v>577</v>
      </c>
      <c r="C106" s="43" t="s">
        <v>511</v>
      </c>
      <c r="D106" s="43" t="s">
        <v>626</v>
      </c>
      <c r="E106" s="43" t="s">
        <v>817</v>
      </c>
      <c r="F106" s="43" t="s">
        <v>798</v>
      </c>
      <c r="G106" s="44">
        <v>2023.0</v>
      </c>
      <c r="H106" s="44">
        <v>0.3248</v>
      </c>
      <c r="I106" s="44">
        <v>0.3856</v>
      </c>
      <c r="J106" s="44">
        <v>3.0</v>
      </c>
      <c r="K106" s="44">
        <v>2.0</v>
      </c>
      <c r="L106" s="44">
        <v>1.0</v>
      </c>
      <c r="M106" s="66">
        <v>1.5025</v>
      </c>
      <c r="N106" s="67" t="s">
        <v>764</v>
      </c>
      <c r="O106" s="43" t="s">
        <v>1145</v>
      </c>
      <c r="P106" s="43" t="s">
        <v>1146</v>
      </c>
      <c r="Q106" s="43" t="s">
        <v>1147</v>
      </c>
    </row>
    <row r="107" ht="15.75" customHeight="1">
      <c r="A107" s="43" t="s">
        <v>1083</v>
      </c>
      <c r="B107" s="43" t="s">
        <v>577</v>
      </c>
      <c r="C107" s="43" t="s">
        <v>511</v>
      </c>
      <c r="D107" s="43" t="s">
        <v>626</v>
      </c>
      <c r="E107" s="43" t="s">
        <v>749</v>
      </c>
      <c r="F107" s="43" t="s">
        <v>751</v>
      </c>
      <c r="G107" s="44">
        <v>2024.0</v>
      </c>
      <c r="H107" s="44">
        <v>0.0106</v>
      </c>
      <c r="I107" s="44">
        <v>0.0121</v>
      </c>
      <c r="J107" s="44">
        <v>2.0</v>
      </c>
      <c r="K107" s="44">
        <v>2.0</v>
      </c>
      <c r="L107" s="44">
        <v>1.0</v>
      </c>
      <c r="M107" s="66">
        <v>0.8</v>
      </c>
      <c r="N107" s="67" t="s">
        <v>764</v>
      </c>
      <c r="O107" s="43" t="s">
        <v>1145</v>
      </c>
      <c r="P107" s="43" t="s">
        <v>1146</v>
      </c>
      <c r="Q107" s="43" t="s">
        <v>1147</v>
      </c>
    </row>
    <row r="108" ht="15.75" customHeight="1">
      <c r="A108" s="43" t="s">
        <v>1085</v>
      </c>
      <c r="B108" s="43" t="s">
        <v>581</v>
      </c>
      <c r="C108" s="43" t="s">
        <v>305</v>
      </c>
      <c r="D108" s="43" t="s">
        <v>788</v>
      </c>
      <c r="E108" s="43" t="s">
        <v>836</v>
      </c>
      <c r="F108" s="43" t="s">
        <v>798</v>
      </c>
      <c r="G108" s="44">
        <v>2023.0</v>
      </c>
      <c r="H108" s="44">
        <v>0.1461</v>
      </c>
      <c r="I108" s="44">
        <v>0.1659</v>
      </c>
      <c r="J108" s="44">
        <v>2.0</v>
      </c>
      <c r="K108" s="44">
        <v>1.0</v>
      </c>
      <c r="L108" s="44">
        <v>1.0</v>
      </c>
      <c r="M108" s="66">
        <v>1.6112</v>
      </c>
      <c r="N108" s="67" t="s">
        <v>764</v>
      </c>
      <c r="O108" s="43" t="s">
        <v>1145</v>
      </c>
      <c r="P108" s="43" t="s">
        <v>1146</v>
      </c>
      <c r="Q108" s="43" t="s">
        <v>1147</v>
      </c>
    </row>
    <row r="109" ht="15.75" customHeight="1">
      <c r="A109" s="43" t="s">
        <v>1087</v>
      </c>
      <c r="B109" s="43" t="s">
        <v>603</v>
      </c>
      <c r="C109" s="43" t="s">
        <v>317</v>
      </c>
      <c r="D109" s="43" t="s">
        <v>917</v>
      </c>
      <c r="E109" s="43" t="s">
        <v>836</v>
      </c>
      <c r="F109" s="43" t="s">
        <v>798</v>
      </c>
      <c r="G109" s="44">
        <v>2023.0</v>
      </c>
      <c r="H109" s="44">
        <v>0.3506</v>
      </c>
      <c r="I109" s="44">
        <v>0.4531</v>
      </c>
      <c r="J109" s="44">
        <v>2.0</v>
      </c>
      <c r="K109" s="44">
        <v>1.0</v>
      </c>
      <c r="L109" s="44">
        <v>1.0</v>
      </c>
      <c r="M109" s="66">
        <v>3.9749</v>
      </c>
      <c r="N109" s="67" t="s">
        <v>764</v>
      </c>
      <c r="O109" s="43" t="s">
        <v>1145</v>
      </c>
      <c r="P109" s="43" t="s">
        <v>1146</v>
      </c>
      <c r="Q109" s="43" t="s">
        <v>1147</v>
      </c>
    </row>
    <row r="110" ht="15.75" customHeight="1">
      <c r="A110" s="43" t="s">
        <v>1089</v>
      </c>
      <c r="B110" s="43" t="s">
        <v>581</v>
      </c>
      <c r="C110" s="43" t="s">
        <v>252</v>
      </c>
      <c r="D110" s="43" t="s">
        <v>714</v>
      </c>
      <c r="E110" s="43" t="s">
        <v>842</v>
      </c>
      <c r="F110" s="43" t="s">
        <v>751</v>
      </c>
      <c r="G110" s="44">
        <v>2024.0</v>
      </c>
      <c r="H110" s="44">
        <v>0.8601</v>
      </c>
      <c r="I110" s="44">
        <v>0.942</v>
      </c>
      <c r="J110" s="44">
        <v>6.0</v>
      </c>
      <c r="K110" s="44">
        <v>5.0</v>
      </c>
      <c r="L110" s="44">
        <v>1.0</v>
      </c>
      <c r="M110" s="66">
        <v>51.66</v>
      </c>
      <c r="N110" s="67" t="s">
        <v>764</v>
      </c>
      <c r="O110" s="43" t="s">
        <v>1145</v>
      </c>
      <c r="P110" s="43" t="s">
        <v>1146</v>
      </c>
      <c r="Q110" s="43" t="s">
        <v>1147</v>
      </c>
    </row>
    <row r="111" ht="15.75" customHeight="1">
      <c r="A111" s="43" t="s">
        <v>1090</v>
      </c>
      <c r="B111" s="43" t="s">
        <v>581</v>
      </c>
      <c r="C111" s="43" t="s">
        <v>385</v>
      </c>
      <c r="D111" s="43" t="s">
        <v>773</v>
      </c>
      <c r="E111" s="43" t="s">
        <v>784</v>
      </c>
      <c r="F111" s="43" t="s">
        <v>751</v>
      </c>
      <c r="G111" s="44">
        <v>2024.0</v>
      </c>
      <c r="H111" s="44">
        <v>1.293</v>
      </c>
      <c r="I111" s="44">
        <v>1.703</v>
      </c>
      <c r="J111" s="44">
        <v>14.0</v>
      </c>
      <c r="K111" s="44">
        <v>7.0</v>
      </c>
      <c r="L111" s="44">
        <v>2.0</v>
      </c>
      <c r="M111" s="66">
        <v>161.98</v>
      </c>
      <c r="N111" s="67" t="s">
        <v>764</v>
      </c>
      <c r="O111" s="43" t="s">
        <v>1145</v>
      </c>
      <c r="P111" s="43" t="s">
        <v>1146</v>
      </c>
      <c r="Q111" s="43" t="s">
        <v>1147</v>
      </c>
    </row>
    <row r="112" ht="15.75" customHeight="1">
      <c r="A112" s="43" t="s">
        <v>1092</v>
      </c>
      <c r="B112" s="43" t="s">
        <v>577</v>
      </c>
      <c r="C112" s="43" t="s">
        <v>485</v>
      </c>
      <c r="D112" s="43" t="s">
        <v>637</v>
      </c>
      <c r="E112" s="43" t="s">
        <v>836</v>
      </c>
      <c r="F112" s="43" t="s">
        <v>798</v>
      </c>
      <c r="G112" s="44">
        <v>2023.0</v>
      </c>
      <c r="H112" s="44">
        <v>0.0828</v>
      </c>
      <c r="I112" s="44">
        <v>0.1043</v>
      </c>
      <c r="J112" s="44">
        <v>2.0</v>
      </c>
      <c r="K112" s="44">
        <v>1.0</v>
      </c>
      <c r="L112" s="44">
        <v>1.0</v>
      </c>
      <c r="M112" s="66">
        <v>0.9636</v>
      </c>
      <c r="N112" s="67" t="s">
        <v>764</v>
      </c>
      <c r="O112" s="43" t="s">
        <v>1145</v>
      </c>
      <c r="P112" s="43" t="s">
        <v>1146</v>
      </c>
      <c r="Q112" s="43" t="s">
        <v>1147</v>
      </c>
    </row>
    <row r="113" ht="15.75" customHeight="1">
      <c r="A113" s="43" t="s">
        <v>1094</v>
      </c>
      <c r="B113" s="43" t="s">
        <v>581</v>
      </c>
      <c r="C113" s="43" t="s">
        <v>299</v>
      </c>
      <c r="D113" s="43" t="s">
        <v>736</v>
      </c>
      <c r="E113" s="43" t="s">
        <v>842</v>
      </c>
      <c r="F113" s="43" t="s">
        <v>751</v>
      </c>
      <c r="G113" s="44">
        <v>2024.0</v>
      </c>
      <c r="H113" s="44">
        <v>0.1463</v>
      </c>
      <c r="I113" s="44">
        <v>0.1682</v>
      </c>
      <c r="J113" s="44">
        <v>2.0</v>
      </c>
      <c r="K113" s="44">
        <v>1.0</v>
      </c>
      <c r="L113" s="44">
        <v>1.0</v>
      </c>
      <c r="M113" s="66">
        <v>12.51</v>
      </c>
      <c r="N113" s="67" t="s">
        <v>764</v>
      </c>
      <c r="O113" s="43" t="s">
        <v>1145</v>
      </c>
      <c r="P113" s="43" t="s">
        <v>1146</v>
      </c>
      <c r="Q113" s="43" t="s">
        <v>1147</v>
      </c>
    </row>
    <row r="114" ht="15.75" customHeight="1">
      <c r="A114" s="43" t="s">
        <v>1095</v>
      </c>
      <c r="B114" s="43" t="s">
        <v>581</v>
      </c>
      <c r="C114" s="43" t="s">
        <v>341</v>
      </c>
      <c r="D114" s="43" t="s">
        <v>783</v>
      </c>
      <c r="E114" s="43" t="s">
        <v>842</v>
      </c>
      <c r="F114" s="43" t="s">
        <v>751</v>
      </c>
      <c r="G114" s="44">
        <v>2024.0</v>
      </c>
      <c r="H114" s="44">
        <v>1.01</v>
      </c>
      <c r="I114" s="44">
        <v>1.1117</v>
      </c>
      <c r="J114" s="44">
        <v>9.0</v>
      </c>
      <c r="K114" s="44">
        <v>7.0</v>
      </c>
      <c r="L114" s="44">
        <v>1.0</v>
      </c>
      <c r="M114" s="66">
        <v>105.16</v>
      </c>
      <c r="N114" s="67" t="s">
        <v>764</v>
      </c>
      <c r="O114" s="43" t="s">
        <v>1145</v>
      </c>
      <c r="P114" s="43" t="s">
        <v>1146</v>
      </c>
      <c r="Q114" s="43" t="s">
        <v>1147</v>
      </c>
    </row>
    <row r="115" ht="15.75" customHeight="1">
      <c r="A115" s="43" t="s">
        <v>1098</v>
      </c>
      <c r="B115" s="43" t="s">
        <v>605</v>
      </c>
      <c r="C115" s="43" t="s">
        <v>354</v>
      </c>
      <c r="D115" s="43" t="s">
        <v>905</v>
      </c>
      <c r="E115" s="43" t="s">
        <v>826</v>
      </c>
      <c r="F115" s="43" t="s">
        <v>751</v>
      </c>
      <c r="G115" s="44">
        <v>2024.0</v>
      </c>
      <c r="H115" s="44">
        <v>1.6601</v>
      </c>
      <c r="I115" s="44">
        <v>1.9602</v>
      </c>
      <c r="J115" s="44">
        <v>13.0</v>
      </c>
      <c r="K115" s="44">
        <v>8.0</v>
      </c>
      <c r="L115" s="44">
        <v>2.0</v>
      </c>
      <c r="M115" s="66">
        <v>158.35</v>
      </c>
      <c r="N115" s="67" t="s">
        <v>764</v>
      </c>
      <c r="O115" s="43" t="s">
        <v>1145</v>
      </c>
      <c r="P115" s="43" t="s">
        <v>1146</v>
      </c>
      <c r="Q115" s="43" t="s">
        <v>1147</v>
      </c>
    </row>
    <row r="116" ht="15.75" customHeight="1">
      <c r="A116" s="43" t="s">
        <v>1100</v>
      </c>
      <c r="B116" s="43" t="s">
        <v>577</v>
      </c>
      <c r="C116" s="43" t="s">
        <v>372</v>
      </c>
      <c r="D116" s="43" t="s">
        <v>673</v>
      </c>
      <c r="E116" s="43" t="s">
        <v>797</v>
      </c>
      <c r="F116" s="43" t="s">
        <v>798</v>
      </c>
      <c r="G116" s="44">
        <v>2023.0</v>
      </c>
      <c r="H116" s="44">
        <v>0.0407</v>
      </c>
      <c r="I116" s="44">
        <v>0.0448</v>
      </c>
      <c r="J116" s="44">
        <v>2.0</v>
      </c>
      <c r="K116" s="44">
        <v>1.0</v>
      </c>
      <c r="L116" s="44">
        <v>1.0</v>
      </c>
      <c r="M116" s="66">
        <v>0.2027</v>
      </c>
      <c r="N116" s="67" t="s">
        <v>764</v>
      </c>
      <c r="O116" s="43" t="s">
        <v>1145</v>
      </c>
      <c r="P116" s="43" t="s">
        <v>1146</v>
      </c>
      <c r="Q116" s="43" t="s">
        <v>1147</v>
      </c>
    </row>
    <row r="117" ht="15.75" customHeight="1">
      <c r="A117" s="43" t="s">
        <v>1102</v>
      </c>
      <c r="B117" s="43" t="s">
        <v>577</v>
      </c>
      <c r="C117" s="43" t="s">
        <v>326</v>
      </c>
      <c r="D117" s="43" t="s">
        <v>658</v>
      </c>
      <c r="E117" s="43" t="s">
        <v>842</v>
      </c>
      <c r="F117" s="43" t="s">
        <v>751</v>
      </c>
      <c r="G117" s="44">
        <v>2024.0</v>
      </c>
      <c r="H117" s="44">
        <v>0.6988</v>
      </c>
      <c r="I117" s="44">
        <v>0.8194</v>
      </c>
      <c r="J117" s="44">
        <v>4.0</v>
      </c>
      <c r="K117" s="44">
        <v>3.0</v>
      </c>
      <c r="L117" s="44">
        <v>1.0</v>
      </c>
      <c r="M117" s="66">
        <v>40.74</v>
      </c>
      <c r="N117" s="67" t="s">
        <v>764</v>
      </c>
      <c r="O117" s="43" t="s">
        <v>1145</v>
      </c>
      <c r="P117" s="43" t="s">
        <v>1146</v>
      </c>
      <c r="Q117" s="43" t="s">
        <v>1147</v>
      </c>
    </row>
    <row r="118" ht="15.75" customHeight="1">
      <c r="A118" s="43" t="s">
        <v>1104</v>
      </c>
      <c r="B118" s="43" t="s">
        <v>577</v>
      </c>
      <c r="C118" s="43" t="s">
        <v>51</v>
      </c>
      <c r="D118" s="43" t="s">
        <v>641</v>
      </c>
      <c r="E118" s="43" t="s">
        <v>842</v>
      </c>
      <c r="F118" s="43" t="s">
        <v>751</v>
      </c>
      <c r="G118" s="44">
        <v>2024.0</v>
      </c>
      <c r="H118" s="44">
        <v>0.3986</v>
      </c>
      <c r="I118" s="44">
        <v>0.4724</v>
      </c>
      <c r="J118" s="44">
        <v>6.0</v>
      </c>
      <c r="K118" s="44">
        <v>4.0</v>
      </c>
      <c r="L118" s="44">
        <v>1.0</v>
      </c>
      <c r="M118" s="66">
        <v>23.12</v>
      </c>
      <c r="N118" s="67" t="s">
        <v>764</v>
      </c>
      <c r="O118" s="43" t="s">
        <v>1145</v>
      </c>
      <c r="P118" s="43" t="s">
        <v>1146</v>
      </c>
      <c r="Q118" s="43" t="s">
        <v>1147</v>
      </c>
    </row>
    <row r="119" ht="15.75" customHeight="1">
      <c r="A119" s="43" t="s">
        <v>1105</v>
      </c>
      <c r="B119" s="43" t="s">
        <v>605</v>
      </c>
      <c r="C119" s="43" t="s">
        <v>160</v>
      </c>
      <c r="D119" s="43" t="s">
        <v>937</v>
      </c>
      <c r="E119" s="43" t="s">
        <v>842</v>
      </c>
      <c r="F119" s="43" t="s">
        <v>751</v>
      </c>
      <c r="G119" s="44">
        <v>2024.0</v>
      </c>
      <c r="H119" s="44">
        <v>0.2364</v>
      </c>
      <c r="I119" s="44">
        <v>0.2969</v>
      </c>
      <c r="J119" s="44">
        <v>2.0</v>
      </c>
      <c r="K119" s="44">
        <v>1.0</v>
      </c>
      <c r="L119" s="44">
        <v>1.0</v>
      </c>
      <c r="M119" s="66">
        <v>14.64</v>
      </c>
      <c r="N119" s="67" t="s">
        <v>764</v>
      </c>
      <c r="O119" s="43" t="s">
        <v>1145</v>
      </c>
      <c r="P119" s="43" t="s">
        <v>1146</v>
      </c>
      <c r="Q119" s="43" t="s">
        <v>1147</v>
      </c>
    </row>
    <row r="120" ht="15.75" customHeight="1">
      <c r="A120" s="43" t="s">
        <v>1107</v>
      </c>
      <c r="B120" s="43" t="s">
        <v>581</v>
      </c>
      <c r="C120" s="43" t="s">
        <v>196</v>
      </c>
      <c r="D120" s="43" t="s">
        <v>750</v>
      </c>
      <c r="E120" s="43" t="s">
        <v>797</v>
      </c>
      <c r="F120" s="43" t="s">
        <v>798</v>
      </c>
      <c r="G120" s="44">
        <v>2023.0</v>
      </c>
      <c r="H120" s="44">
        <v>0.1116</v>
      </c>
      <c r="I120" s="44">
        <v>0.143</v>
      </c>
      <c r="J120" s="44">
        <v>6.0</v>
      </c>
      <c r="K120" s="44">
        <v>5.0</v>
      </c>
      <c r="L120" s="44">
        <v>1.0</v>
      </c>
      <c r="M120" s="66">
        <v>0.4782</v>
      </c>
      <c r="N120" s="67" t="s">
        <v>764</v>
      </c>
      <c r="O120" s="43" t="s">
        <v>1145</v>
      </c>
      <c r="P120" s="43" t="s">
        <v>1146</v>
      </c>
      <c r="Q120" s="43" t="s">
        <v>1147</v>
      </c>
    </row>
    <row r="121" ht="15.75" customHeight="1">
      <c r="A121" s="43" t="s">
        <v>1109</v>
      </c>
      <c r="B121" s="43" t="s">
        <v>577</v>
      </c>
      <c r="C121" s="43" t="s">
        <v>487</v>
      </c>
      <c r="D121" s="43" t="s">
        <v>677</v>
      </c>
      <c r="E121" s="43" t="s">
        <v>784</v>
      </c>
      <c r="F121" s="43" t="s">
        <v>751</v>
      </c>
      <c r="G121" s="44">
        <v>2024.0</v>
      </c>
      <c r="H121" s="44">
        <v>0.5688</v>
      </c>
      <c r="I121" s="44">
        <v>0.6328</v>
      </c>
      <c r="J121" s="44">
        <v>6.0</v>
      </c>
      <c r="K121" s="44">
        <v>4.0</v>
      </c>
      <c r="L121" s="44">
        <v>1.0</v>
      </c>
      <c r="M121" s="66">
        <v>43.0</v>
      </c>
      <c r="N121" s="67" t="s">
        <v>764</v>
      </c>
      <c r="O121" s="43" t="s">
        <v>1145</v>
      </c>
      <c r="P121" s="43" t="s">
        <v>1146</v>
      </c>
      <c r="Q121" s="43" t="s">
        <v>1147</v>
      </c>
    </row>
    <row r="122" ht="15.75" customHeight="1">
      <c r="A122" s="43" t="s">
        <v>1111</v>
      </c>
      <c r="B122" s="43" t="s">
        <v>577</v>
      </c>
      <c r="C122" s="43" t="s">
        <v>499</v>
      </c>
      <c r="D122" s="43" t="s">
        <v>651</v>
      </c>
      <c r="E122" s="43" t="s">
        <v>842</v>
      </c>
      <c r="F122" s="43" t="s">
        <v>751</v>
      </c>
      <c r="G122" s="44">
        <v>2024.0</v>
      </c>
      <c r="H122" s="44">
        <v>0.2651</v>
      </c>
      <c r="I122" s="44">
        <v>0.3462</v>
      </c>
      <c r="J122" s="44">
        <v>4.0</v>
      </c>
      <c r="K122" s="44">
        <v>3.0</v>
      </c>
      <c r="L122" s="44">
        <v>1.0</v>
      </c>
      <c r="M122" s="66">
        <v>22.19</v>
      </c>
      <c r="N122" s="67" t="s">
        <v>764</v>
      </c>
      <c r="O122" s="43" t="s">
        <v>1145</v>
      </c>
      <c r="P122" s="43" t="s">
        <v>1146</v>
      </c>
      <c r="Q122" s="43" t="s">
        <v>1147</v>
      </c>
    </row>
    <row r="123" ht="15.75" customHeight="1">
      <c r="A123" s="43" t="s">
        <v>1112</v>
      </c>
      <c r="B123" s="43" t="s">
        <v>577</v>
      </c>
      <c r="C123" s="43" t="s">
        <v>78</v>
      </c>
      <c r="D123" s="43" t="s">
        <v>680</v>
      </c>
      <c r="E123" s="43" t="s">
        <v>749</v>
      </c>
      <c r="F123" s="43" t="s">
        <v>751</v>
      </c>
      <c r="G123" s="44">
        <v>2024.0</v>
      </c>
      <c r="H123" s="44">
        <v>0.0087</v>
      </c>
      <c r="I123" s="44">
        <v>0.0097</v>
      </c>
      <c r="J123" s="44">
        <v>2.0</v>
      </c>
      <c r="K123" s="44">
        <v>1.0</v>
      </c>
      <c r="L123" s="44">
        <v>1.0</v>
      </c>
      <c r="M123" s="66">
        <v>0.65</v>
      </c>
      <c r="N123" s="67" t="s">
        <v>764</v>
      </c>
      <c r="O123" s="43" t="s">
        <v>1145</v>
      </c>
      <c r="P123" s="43" t="s">
        <v>1146</v>
      </c>
      <c r="Q123" s="43" t="s">
        <v>1147</v>
      </c>
    </row>
    <row r="124" ht="15.75" customHeight="1">
      <c r="A124" s="43" t="s">
        <v>1114</v>
      </c>
      <c r="B124" s="43" t="s">
        <v>577</v>
      </c>
      <c r="C124" s="43" t="s">
        <v>229</v>
      </c>
      <c r="D124" s="43" t="s">
        <v>630</v>
      </c>
      <c r="E124" s="43" t="s">
        <v>836</v>
      </c>
      <c r="F124" s="43" t="s">
        <v>798</v>
      </c>
      <c r="G124" s="44">
        <v>2023.0</v>
      </c>
      <c r="H124" s="44">
        <v>0.1395</v>
      </c>
      <c r="I124" s="44">
        <v>0.1565</v>
      </c>
      <c r="J124" s="44">
        <v>3.0</v>
      </c>
      <c r="K124" s="44">
        <v>1.0</v>
      </c>
      <c r="L124" s="44">
        <v>1.0</v>
      </c>
      <c r="M124" s="66">
        <v>1.4351</v>
      </c>
      <c r="N124" s="67" t="s">
        <v>764</v>
      </c>
      <c r="O124" s="43" t="s">
        <v>1145</v>
      </c>
      <c r="P124" s="43" t="s">
        <v>1146</v>
      </c>
      <c r="Q124" s="43" t="s">
        <v>1147</v>
      </c>
    </row>
    <row r="125" ht="15.75" customHeight="1">
      <c r="A125" s="43" t="s">
        <v>1116</v>
      </c>
      <c r="B125" s="43" t="s">
        <v>596</v>
      </c>
      <c r="C125" s="43" t="s">
        <v>392</v>
      </c>
      <c r="D125" s="43" t="s">
        <v>838</v>
      </c>
      <c r="E125" s="43" t="s">
        <v>784</v>
      </c>
      <c r="F125" s="43" t="s">
        <v>751</v>
      </c>
      <c r="G125" s="44">
        <v>2024.0</v>
      </c>
      <c r="H125" s="44">
        <v>0.3423</v>
      </c>
      <c r="I125" s="44">
        <v>0.432</v>
      </c>
      <c r="J125" s="44">
        <v>6.0</v>
      </c>
      <c r="K125" s="44">
        <v>5.0</v>
      </c>
      <c r="L125" s="44">
        <v>1.0</v>
      </c>
      <c r="M125" s="66">
        <v>23.47</v>
      </c>
      <c r="N125" s="67" t="s">
        <v>764</v>
      </c>
      <c r="O125" s="43" t="s">
        <v>1145</v>
      </c>
      <c r="P125" s="43" t="s">
        <v>1146</v>
      </c>
      <c r="Q125" s="43" t="s">
        <v>1147</v>
      </c>
    </row>
    <row r="126" ht="15.75" customHeight="1">
      <c r="A126" s="43" t="s">
        <v>1118</v>
      </c>
      <c r="B126" s="43" t="s">
        <v>603</v>
      </c>
      <c r="C126" s="43" t="s">
        <v>509</v>
      </c>
      <c r="D126" s="43" t="s">
        <v>885</v>
      </c>
      <c r="E126" s="43" t="s">
        <v>842</v>
      </c>
      <c r="F126" s="43" t="s">
        <v>751</v>
      </c>
      <c r="G126" s="44">
        <v>2024.0</v>
      </c>
      <c r="H126" s="44">
        <v>0.3491</v>
      </c>
      <c r="I126" s="44">
        <v>0.4114</v>
      </c>
      <c r="J126" s="44">
        <v>2.0</v>
      </c>
      <c r="K126" s="44">
        <v>1.0</v>
      </c>
      <c r="L126" s="44">
        <v>1.0</v>
      </c>
      <c r="M126" s="66">
        <v>31.01</v>
      </c>
      <c r="N126" s="67" t="s">
        <v>764</v>
      </c>
      <c r="O126" s="43" t="s">
        <v>1145</v>
      </c>
      <c r="P126" s="43" t="s">
        <v>1146</v>
      </c>
      <c r="Q126" s="43" t="s">
        <v>1147</v>
      </c>
    </row>
    <row r="127" ht="15.75" customHeight="1">
      <c r="A127" s="43" t="s">
        <v>1120</v>
      </c>
      <c r="B127" s="43" t="s">
        <v>603</v>
      </c>
      <c r="C127" s="43" t="s">
        <v>521</v>
      </c>
      <c r="D127" s="43" t="s">
        <v>882</v>
      </c>
      <c r="E127" s="43" t="s">
        <v>784</v>
      </c>
      <c r="F127" s="43" t="s">
        <v>751</v>
      </c>
      <c r="G127" s="44">
        <v>2024.0</v>
      </c>
      <c r="H127" s="44">
        <v>0.6454</v>
      </c>
      <c r="I127" s="44">
        <v>0.7635</v>
      </c>
      <c r="J127" s="44">
        <v>7.0</v>
      </c>
      <c r="K127" s="44">
        <v>5.0</v>
      </c>
      <c r="L127" s="44">
        <v>1.0</v>
      </c>
      <c r="M127" s="66">
        <v>56.44</v>
      </c>
      <c r="N127" s="67" t="s">
        <v>764</v>
      </c>
      <c r="O127" s="43" t="s">
        <v>1145</v>
      </c>
      <c r="P127" s="43" t="s">
        <v>1146</v>
      </c>
      <c r="Q127" s="43" t="s">
        <v>1147</v>
      </c>
    </row>
    <row r="128" ht="15.75" customHeight="1">
      <c r="A128" s="43" t="s">
        <v>1122</v>
      </c>
      <c r="B128" s="43" t="s">
        <v>581</v>
      </c>
      <c r="C128" s="43" t="s">
        <v>341</v>
      </c>
      <c r="D128" s="43" t="s">
        <v>783</v>
      </c>
      <c r="E128" s="43" t="s">
        <v>836</v>
      </c>
      <c r="F128" s="43" t="s">
        <v>798</v>
      </c>
      <c r="G128" s="44">
        <v>2023.0</v>
      </c>
      <c r="H128" s="44">
        <v>0.1556</v>
      </c>
      <c r="I128" s="44">
        <v>0.1819</v>
      </c>
      <c r="J128" s="44">
        <v>2.0</v>
      </c>
      <c r="K128" s="44">
        <v>1.0</v>
      </c>
      <c r="L128" s="44">
        <v>1.0</v>
      </c>
      <c r="M128" s="66">
        <v>1.6718</v>
      </c>
      <c r="N128" s="67" t="s">
        <v>764</v>
      </c>
      <c r="O128" s="43" t="s">
        <v>1145</v>
      </c>
      <c r="P128" s="43" t="s">
        <v>1146</v>
      </c>
      <c r="Q128" s="43" t="s">
        <v>1147</v>
      </c>
    </row>
    <row r="129" ht="15.75" customHeight="1">
      <c r="A129" s="43" t="s">
        <v>1123</v>
      </c>
      <c r="B129" s="43" t="s">
        <v>581</v>
      </c>
      <c r="C129" s="43" t="s">
        <v>202</v>
      </c>
      <c r="D129" s="43" t="s">
        <v>803</v>
      </c>
      <c r="E129" s="43" t="s">
        <v>836</v>
      </c>
      <c r="F129" s="43" t="s">
        <v>798</v>
      </c>
      <c r="G129" s="44">
        <v>2023.0</v>
      </c>
      <c r="H129" s="44">
        <v>0.2055</v>
      </c>
      <c r="I129" s="44">
        <v>0.2451</v>
      </c>
      <c r="J129" s="44">
        <v>2.0</v>
      </c>
      <c r="K129" s="44">
        <v>1.0</v>
      </c>
      <c r="L129" s="44">
        <v>1.0</v>
      </c>
      <c r="M129" s="66">
        <v>1.5351</v>
      </c>
      <c r="N129" s="67" t="s">
        <v>764</v>
      </c>
      <c r="O129" s="43" t="s">
        <v>1145</v>
      </c>
      <c r="P129" s="43" t="s">
        <v>1146</v>
      </c>
      <c r="Q129" s="43" t="s">
        <v>1147</v>
      </c>
    </row>
    <row r="130" ht="15.75" customHeight="1">
      <c r="A130" s="43" t="s">
        <v>1125</v>
      </c>
      <c r="B130" s="43" t="s">
        <v>577</v>
      </c>
      <c r="C130" s="43" t="s">
        <v>326</v>
      </c>
      <c r="D130" s="43" t="s">
        <v>658</v>
      </c>
      <c r="E130" s="43" t="s">
        <v>826</v>
      </c>
      <c r="F130" s="43" t="s">
        <v>751</v>
      </c>
      <c r="G130" s="44">
        <v>2024.0</v>
      </c>
      <c r="H130" s="44">
        <v>0.5551</v>
      </c>
      <c r="I130" s="44">
        <v>0.6081</v>
      </c>
      <c r="J130" s="44">
        <v>5.0</v>
      </c>
      <c r="K130" s="44">
        <v>3.0</v>
      </c>
      <c r="L130" s="44">
        <v>1.0</v>
      </c>
      <c r="M130" s="66">
        <v>52.19</v>
      </c>
      <c r="N130" s="67" t="s">
        <v>764</v>
      </c>
      <c r="O130" s="43" t="s">
        <v>1145</v>
      </c>
      <c r="P130" s="43" t="s">
        <v>1146</v>
      </c>
      <c r="Q130" s="43" t="s">
        <v>1147</v>
      </c>
    </row>
    <row r="131" ht="15.75" customHeight="1">
      <c r="A131" s="43" t="s">
        <v>1127</v>
      </c>
      <c r="B131" s="43" t="s">
        <v>596</v>
      </c>
      <c r="C131" s="43" t="s">
        <v>265</v>
      </c>
      <c r="D131" s="43" t="s">
        <v>829</v>
      </c>
      <c r="E131" s="43" t="s">
        <v>784</v>
      </c>
      <c r="F131" s="43" t="s">
        <v>751</v>
      </c>
      <c r="G131" s="44">
        <v>2024.0</v>
      </c>
      <c r="H131" s="44">
        <v>0.6208</v>
      </c>
      <c r="I131" s="44">
        <v>0.7772</v>
      </c>
      <c r="J131" s="44">
        <v>6.0</v>
      </c>
      <c r="K131" s="44">
        <v>5.0</v>
      </c>
      <c r="L131" s="44">
        <v>1.0</v>
      </c>
      <c r="M131" s="66">
        <v>58.59</v>
      </c>
      <c r="N131" s="67" t="s">
        <v>764</v>
      </c>
      <c r="O131" s="43" t="s">
        <v>1145</v>
      </c>
      <c r="P131" s="43" t="s">
        <v>1146</v>
      </c>
      <c r="Q131" s="43" t="s">
        <v>1147</v>
      </c>
    </row>
    <row r="132" ht="15.75" customHeight="1">
      <c r="A132" s="43" t="s">
        <v>1129</v>
      </c>
      <c r="B132" s="43" t="s">
        <v>603</v>
      </c>
      <c r="C132" s="43" t="s">
        <v>521</v>
      </c>
      <c r="D132" s="43" t="s">
        <v>882</v>
      </c>
      <c r="E132" s="43" t="s">
        <v>826</v>
      </c>
      <c r="F132" s="43" t="s">
        <v>751</v>
      </c>
      <c r="G132" s="44">
        <v>2024.0</v>
      </c>
      <c r="H132" s="44">
        <v>0.4519</v>
      </c>
      <c r="I132" s="44">
        <v>0.4946</v>
      </c>
      <c r="J132" s="44">
        <v>3.0</v>
      </c>
      <c r="K132" s="44">
        <v>2.0</v>
      </c>
      <c r="L132" s="44">
        <v>1.0</v>
      </c>
      <c r="M132" s="66">
        <v>26.72</v>
      </c>
      <c r="N132" s="67" t="s">
        <v>764</v>
      </c>
      <c r="O132" s="43" t="s">
        <v>1145</v>
      </c>
      <c r="P132" s="43" t="s">
        <v>1146</v>
      </c>
      <c r="Q132" s="43" t="s">
        <v>1147</v>
      </c>
    </row>
    <row r="133" ht="15.75" customHeight="1">
      <c r="A133" s="43" t="s">
        <v>1131</v>
      </c>
      <c r="B133" s="43" t="s">
        <v>581</v>
      </c>
      <c r="C133" s="43" t="s">
        <v>479</v>
      </c>
      <c r="D133" s="43" t="s">
        <v>811</v>
      </c>
      <c r="E133" s="43" t="s">
        <v>749</v>
      </c>
      <c r="F133" s="43" t="s">
        <v>751</v>
      </c>
      <c r="G133" s="44">
        <v>2024.0</v>
      </c>
      <c r="H133" s="44">
        <v>0.0125</v>
      </c>
      <c r="I133" s="44">
        <v>0.0153</v>
      </c>
      <c r="J133" s="44">
        <v>2.0</v>
      </c>
      <c r="K133" s="44">
        <v>1.0</v>
      </c>
      <c r="L133" s="44">
        <v>1.0</v>
      </c>
      <c r="M133" s="66">
        <v>1.1</v>
      </c>
      <c r="N133" s="67" t="s">
        <v>764</v>
      </c>
      <c r="O133" s="43" t="s">
        <v>1145</v>
      </c>
      <c r="P133" s="43" t="s">
        <v>1146</v>
      </c>
      <c r="Q133" s="43" t="s">
        <v>1147</v>
      </c>
    </row>
    <row r="134" ht="15.75" customHeight="1">
      <c r="A134" s="43" t="s">
        <v>1133</v>
      </c>
      <c r="B134" s="43" t="s">
        <v>605</v>
      </c>
      <c r="C134" s="43" t="s">
        <v>221</v>
      </c>
      <c r="D134" s="43" t="s">
        <v>841</v>
      </c>
      <c r="E134" s="43" t="s">
        <v>817</v>
      </c>
      <c r="F134" s="43" t="s">
        <v>798</v>
      </c>
      <c r="G134" s="44">
        <v>2023.0</v>
      </c>
      <c r="H134" s="44">
        <v>0.2252</v>
      </c>
      <c r="I134" s="44">
        <v>0.2962</v>
      </c>
      <c r="J134" s="44">
        <v>2.0</v>
      </c>
      <c r="K134" s="44">
        <v>1.0</v>
      </c>
      <c r="L134" s="44">
        <v>1.0</v>
      </c>
      <c r="M134" s="66">
        <v>1.1198</v>
      </c>
      <c r="N134" s="67" t="s">
        <v>764</v>
      </c>
      <c r="O134" s="43" t="s">
        <v>1145</v>
      </c>
      <c r="P134" s="43" t="s">
        <v>1146</v>
      </c>
      <c r="Q134" s="43" t="s">
        <v>1147</v>
      </c>
    </row>
    <row r="135" ht="15.75" customHeight="1">
      <c r="A135" s="43" t="s">
        <v>1135</v>
      </c>
      <c r="B135" s="43" t="s">
        <v>577</v>
      </c>
      <c r="C135" s="43" t="s">
        <v>51</v>
      </c>
      <c r="D135" s="43" t="s">
        <v>641</v>
      </c>
      <c r="E135" s="43" t="s">
        <v>797</v>
      </c>
      <c r="F135" s="43" t="s">
        <v>798</v>
      </c>
      <c r="G135" s="44">
        <v>2023.0</v>
      </c>
      <c r="H135" s="44">
        <v>0.1253</v>
      </c>
      <c r="I135" s="44">
        <v>0.1369</v>
      </c>
      <c r="J135" s="44">
        <v>2.0</v>
      </c>
      <c r="K135" s="44">
        <v>1.0</v>
      </c>
      <c r="L135" s="44">
        <v>1.0</v>
      </c>
      <c r="M135" s="66">
        <v>0.7769</v>
      </c>
      <c r="N135" s="67" t="s">
        <v>764</v>
      </c>
      <c r="O135" s="43" t="s">
        <v>1145</v>
      </c>
      <c r="P135" s="43" t="s">
        <v>1146</v>
      </c>
      <c r="Q135" s="43" t="s">
        <v>1147</v>
      </c>
    </row>
    <row r="136" ht="15.75" customHeight="1">
      <c r="A136" s="43" t="s">
        <v>1138</v>
      </c>
      <c r="B136" s="43" t="s">
        <v>581</v>
      </c>
      <c r="C136" s="43" t="s">
        <v>252</v>
      </c>
      <c r="D136" s="43" t="s">
        <v>714</v>
      </c>
      <c r="E136" s="43" t="s">
        <v>797</v>
      </c>
      <c r="F136" s="43" t="s">
        <v>798</v>
      </c>
      <c r="G136" s="44">
        <v>2023.0</v>
      </c>
      <c r="H136" s="44">
        <v>0.0731</v>
      </c>
      <c r="I136" s="44">
        <v>0.0981</v>
      </c>
      <c r="J136" s="44">
        <v>4.0</v>
      </c>
      <c r="K136" s="44">
        <v>3.0</v>
      </c>
      <c r="L136" s="44">
        <v>1.0</v>
      </c>
      <c r="M136" s="66">
        <v>0.2939</v>
      </c>
      <c r="N136" s="67" t="s">
        <v>764</v>
      </c>
      <c r="O136" s="43" t="s">
        <v>1145</v>
      </c>
      <c r="P136" s="43" t="s">
        <v>1146</v>
      </c>
      <c r="Q136" s="43" t="s">
        <v>1147</v>
      </c>
    </row>
    <row r="137" ht="15.75" customHeight="1">
      <c r="A137" s="43" t="s">
        <v>1140</v>
      </c>
      <c r="B137" s="43" t="s">
        <v>603</v>
      </c>
      <c r="C137" s="43" t="s">
        <v>272</v>
      </c>
      <c r="D137" s="43" t="s">
        <v>891</v>
      </c>
      <c r="E137" s="43" t="s">
        <v>797</v>
      </c>
      <c r="F137" s="43" t="s">
        <v>798</v>
      </c>
      <c r="G137" s="44">
        <v>2023.0</v>
      </c>
      <c r="H137" s="44">
        <v>0.1056</v>
      </c>
      <c r="I137" s="44">
        <v>0.1279</v>
      </c>
      <c r="J137" s="44">
        <v>3.0</v>
      </c>
      <c r="K137" s="44">
        <v>1.0</v>
      </c>
      <c r="L137" s="44">
        <v>1.0</v>
      </c>
      <c r="M137" s="66">
        <v>0.5922</v>
      </c>
      <c r="N137" s="67" t="s">
        <v>764</v>
      </c>
      <c r="O137" s="43" t="s">
        <v>1145</v>
      </c>
      <c r="P137" s="43" t="s">
        <v>1146</v>
      </c>
      <c r="Q137" s="43" t="s">
        <v>1147</v>
      </c>
    </row>
    <row r="138" ht="15.75" customHeight="1">
      <c r="A138" s="43" t="s">
        <v>1142</v>
      </c>
      <c r="B138" s="43" t="s">
        <v>581</v>
      </c>
      <c r="C138" s="43" t="s">
        <v>436</v>
      </c>
      <c r="D138" s="43" t="s">
        <v>793</v>
      </c>
      <c r="E138" s="43" t="s">
        <v>842</v>
      </c>
      <c r="F138" s="43" t="s">
        <v>751</v>
      </c>
      <c r="G138" s="44">
        <v>2024.0</v>
      </c>
      <c r="H138" s="44">
        <v>0.3104</v>
      </c>
      <c r="I138" s="44">
        <v>0.4172</v>
      </c>
      <c r="J138" s="44">
        <v>2.0</v>
      </c>
      <c r="K138" s="44">
        <v>1.0</v>
      </c>
      <c r="L138" s="44">
        <v>1.0</v>
      </c>
      <c r="M138" s="66">
        <v>23.54</v>
      </c>
      <c r="N138" s="67" t="s">
        <v>764</v>
      </c>
      <c r="O138" s="43" t="s">
        <v>1145</v>
      </c>
      <c r="P138" s="43" t="s">
        <v>1146</v>
      </c>
      <c r="Q138" s="43" t="s">
        <v>1147</v>
      </c>
    </row>
    <row r="139" ht="15.75" customHeight="1">
      <c r="A139" s="43" t="s">
        <v>1144</v>
      </c>
      <c r="B139" s="43" t="s">
        <v>605</v>
      </c>
      <c r="C139" s="43" t="s">
        <v>497</v>
      </c>
      <c r="D139" s="43" t="s">
        <v>912</v>
      </c>
      <c r="E139" s="43" t="s">
        <v>784</v>
      </c>
      <c r="F139" s="43" t="s">
        <v>751</v>
      </c>
      <c r="G139" s="44">
        <v>2024.0</v>
      </c>
      <c r="H139" s="44">
        <v>1.3473</v>
      </c>
      <c r="I139" s="44">
        <v>1.5519</v>
      </c>
      <c r="J139" s="44">
        <v>11.0</v>
      </c>
      <c r="K139" s="44">
        <v>9.0</v>
      </c>
      <c r="L139" s="44">
        <v>1.0</v>
      </c>
      <c r="M139" s="66">
        <v>108.87</v>
      </c>
      <c r="N139" s="67" t="s">
        <v>764</v>
      </c>
      <c r="O139" s="43" t="s">
        <v>1145</v>
      </c>
      <c r="P139" s="43" t="s">
        <v>1146</v>
      </c>
      <c r="Q139" s="43" t="s">
        <v>1147</v>
      </c>
    </row>
    <row r="140" ht="15.75" customHeight="1">
      <c r="A140" s="43" t="s">
        <v>1149</v>
      </c>
      <c r="B140" s="43" t="s">
        <v>605</v>
      </c>
      <c r="C140" s="43" t="s">
        <v>408</v>
      </c>
      <c r="D140" s="43" t="s">
        <v>847</v>
      </c>
      <c r="E140" s="43" t="s">
        <v>842</v>
      </c>
      <c r="F140" s="43" t="s">
        <v>751</v>
      </c>
      <c r="G140" s="44">
        <v>2024.0</v>
      </c>
      <c r="H140" s="44">
        <v>0.3219</v>
      </c>
      <c r="I140" s="44">
        <v>0.4197</v>
      </c>
      <c r="J140" s="44">
        <v>5.0</v>
      </c>
      <c r="K140" s="44">
        <v>4.0</v>
      </c>
      <c r="L140" s="44">
        <v>1.0</v>
      </c>
      <c r="M140" s="66">
        <v>39.52</v>
      </c>
      <c r="N140" s="67" t="s">
        <v>764</v>
      </c>
      <c r="O140" s="43" t="s">
        <v>1145</v>
      </c>
      <c r="P140" s="43" t="s">
        <v>1146</v>
      </c>
      <c r="Q140" s="43" t="s">
        <v>1147</v>
      </c>
    </row>
    <row r="141" ht="15.75" customHeight="1">
      <c r="A141" s="43" t="s">
        <v>1151</v>
      </c>
      <c r="B141" s="43" t="s">
        <v>577</v>
      </c>
      <c r="C141" s="43" t="s">
        <v>501</v>
      </c>
      <c r="D141" s="43" t="s">
        <v>691</v>
      </c>
      <c r="E141" s="43" t="s">
        <v>784</v>
      </c>
      <c r="F141" s="43" t="s">
        <v>751</v>
      </c>
      <c r="G141" s="44">
        <v>2024.0</v>
      </c>
      <c r="H141" s="44">
        <v>0.3809</v>
      </c>
      <c r="I141" s="44">
        <v>0.4501</v>
      </c>
      <c r="J141" s="44">
        <v>9.0</v>
      </c>
      <c r="K141" s="44">
        <v>5.0</v>
      </c>
      <c r="L141" s="44">
        <v>1.0</v>
      </c>
      <c r="M141" s="66">
        <v>33.47</v>
      </c>
      <c r="N141" s="67" t="s">
        <v>764</v>
      </c>
      <c r="O141" s="43" t="s">
        <v>1145</v>
      </c>
      <c r="P141" s="43" t="s">
        <v>1146</v>
      </c>
      <c r="Q141" s="43" t="s">
        <v>1147</v>
      </c>
    </row>
    <row r="142" ht="15.75" customHeight="1">
      <c r="A142" s="43" t="s">
        <v>1152</v>
      </c>
      <c r="B142" s="43" t="s">
        <v>577</v>
      </c>
      <c r="C142" s="43" t="s">
        <v>286</v>
      </c>
      <c r="D142" s="43" t="s">
        <v>644</v>
      </c>
      <c r="E142" s="43" t="s">
        <v>836</v>
      </c>
      <c r="F142" s="43" t="s">
        <v>798</v>
      </c>
      <c r="G142" s="44">
        <v>2023.0</v>
      </c>
      <c r="H142" s="44">
        <v>0.1174</v>
      </c>
      <c r="I142" s="44">
        <v>0.1409</v>
      </c>
      <c r="J142" s="44">
        <v>2.0</v>
      </c>
      <c r="K142" s="44">
        <v>2.0</v>
      </c>
      <c r="L142" s="44">
        <v>1.0</v>
      </c>
      <c r="M142" s="66">
        <v>1.7376</v>
      </c>
      <c r="N142" s="67" t="s">
        <v>764</v>
      </c>
      <c r="O142" s="43" t="s">
        <v>1145</v>
      </c>
      <c r="P142" s="43" t="s">
        <v>1146</v>
      </c>
      <c r="Q142" s="43" t="s">
        <v>1147</v>
      </c>
    </row>
    <row r="143" ht="15.75" customHeight="1">
      <c r="A143" s="43" t="s">
        <v>1154</v>
      </c>
      <c r="B143" s="43" t="s">
        <v>581</v>
      </c>
      <c r="C143" s="43" t="s">
        <v>505</v>
      </c>
      <c r="D143" s="43" t="s">
        <v>799</v>
      </c>
      <c r="E143" s="43" t="s">
        <v>842</v>
      </c>
      <c r="F143" s="43" t="s">
        <v>751</v>
      </c>
      <c r="G143" s="44">
        <v>2024.0</v>
      </c>
      <c r="H143" s="44">
        <v>0.6656</v>
      </c>
      <c r="I143" s="44">
        <v>0.7325</v>
      </c>
      <c r="J143" s="44">
        <v>6.0</v>
      </c>
      <c r="K143" s="44">
        <v>4.0</v>
      </c>
      <c r="L143" s="44">
        <v>1.0</v>
      </c>
      <c r="M143" s="66">
        <v>53.61</v>
      </c>
      <c r="N143" s="67" t="s">
        <v>764</v>
      </c>
      <c r="O143" s="43" t="s">
        <v>1145</v>
      </c>
      <c r="P143" s="43" t="s">
        <v>1146</v>
      </c>
      <c r="Q143" s="43" t="s">
        <v>1147</v>
      </c>
    </row>
    <row r="144" ht="15.75" customHeight="1">
      <c r="A144" s="43" t="s">
        <v>1156</v>
      </c>
      <c r="B144" s="43" t="s">
        <v>581</v>
      </c>
      <c r="C144" s="43" t="s">
        <v>430</v>
      </c>
      <c r="D144" s="43" t="s">
        <v>741</v>
      </c>
      <c r="E144" s="43" t="s">
        <v>784</v>
      </c>
      <c r="F144" s="43" t="s">
        <v>751</v>
      </c>
      <c r="G144" s="44">
        <v>2024.0</v>
      </c>
      <c r="H144" s="44">
        <v>0.9237</v>
      </c>
      <c r="I144" s="44">
        <v>1.0681</v>
      </c>
      <c r="J144" s="44">
        <v>8.0</v>
      </c>
      <c r="K144" s="44">
        <v>5.0</v>
      </c>
      <c r="L144" s="44">
        <v>1.0</v>
      </c>
      <c r="M144" s="66">
        <v>66.95</v>
      </c>
      <c r="N144" s="67" t="s">
        <v>764</v>
      </c>
      <c r="O144" s="43" t="s">
        <v>1145</v>
      </c>
      <c r="P144" s="43" t="s">
        <v>1146</v>
      </c>
      <c r="Q144" s="43" t="s">
        <v>1147</v>
      </c>
    </row>
    <row r="145" ht="15.75" customHeight="1">
      <c r="A145" s="43" t="s">
        <v>1158</v>
      </c>
      <c r="B145" s="43" t="s">
        <v>596</v>
      </c>
      <c r="C145" s="43" t="s">
        <v>211</v>
      </c>
      <c r="D145" s="43" t="s">
        <v>868</v>
      </c>
      <c r="E145" s="43" t="s">
        <v>817</v>
      </c>
      <c r="F145" s="43" t="s">
        <v>798</v>
      </c>
      <c r="G145" s="44">
        <v>2023.0</v>
      </c>
      <c r="H145" s="44">
        <v>0.1786</v>
      </c>
      <c r="I145" s="44">
        <v>0.2343</v>
      </c>
      <c r="J145" s="44">
        <v>2.0</v>
      </c>
      <c r="K145" s="44">
        <v>1.0</v>
      </c>
      <c r="L145" s="44">
        <v>1.0</v>
      </c>
      <c r="M145" s="66">
        <v>1.1372</v>
      </c>
      <c r="N145" s="67" t="s">
        <v>764</v>
      </c>
      <c r="O145" s="43" t="s">
        <v>1145</v>
      </c>
      <c r="P145" s="43" t="s">
        <v>1146</v>
      </c>
      <c r="Q145" s="43" t="s">
        <v>1147</v>
      </c>
    </row>
    <row r="146" ht="15.75" customHeight="1">
      <c r="A146" s="43" t="s">
        <v>1160</v>
      </c>
      <c r="B146" s="43" t="s">
        <v>581</v>
      </c>
      <c r="C146" s="43" t="s">
        <v>477</v>
      </c>
      <c r="D146" s="43" t="s">
        <v>759</v>
      </c>
      <c r="E146" s="43" t="s">
        <v>749</v>
      </c>
      <c r="F146" s="43" t="s">
        <v>751</v>
      </c>
      <c r="G146" s="44">
        <v>2024.0</v>
      </c>
      <c r="H146" s="44">
        <v>0.0054</v>
      </c>
      <c r="I146" s="44">
        <v>0.0059</v>
      </c>
      <c r="J146" s="44">
        <v>2.0</v>
      </c>
      <c r="K146" s="44">
        <v>1.0</v>
      </c>
      <c r="L146" s="44">
        <v>1.0</v>
      </c>
      <c r="M146" s="66">
        <v>0.44</v>
      </c>
      <c r="N146" s="67" t="s">
        <v>764</v>
      </c>
      <c r="O146" s="43" t="s">
        <v>1145</v>
      </c>
      <c r="P146" s="43" t="s">
        <v>1146</v>
      </c>
      <c r="Q146" s="43" t="s">
        <v>1147</v>
      </c>
    </row>
    <row r="147" ht="15.75" customHeight="1">
      <c r="A147" s="43" t="s">
        <v>1162</v>
      </c>
      <c r="B147" s="43" t="s">
        <v>581</v>
      </c>
      <c r="C147" s="43" t="s">
        <v>430</v>
      </c>
      <c r="D147" s="43" t="s">
        <v>741</v>
      </c>
      <c r="E147" s="43" t="s">
        <v>826</v>
      </c>
      <c r="F147" s="43" t="s">
        <v>751</v>
      </c>
      <c r="G147" s="44">
        <v>2024.0</v>
      </c>
      <c r="H147" s="44">
        <v>0.3872</v>
      </c>
      <c r="I147" s="44">
        <v>0.4187</v>
      </c>
      <c r="J147" s="44">
        <v>4.0</v>
      </c>
      <c r="K147" s="44">
        <v>2.0</v>
      </c>
      <c r="L147" s="44">
        <v>1.0</v>
      </c>
      <c r="M147" s="66">
        <v>22.84</v>
      </c>
      <c r="N147" s="67" t="s">
        <v>764</v>
      </c>
      <c r="O147" s="43" t="s">
        <v>1145</v>
      </c>
      <c r="P147" s="43" t="s">
        <v>1146</v>
      </c>
      <c r="Q147" s="43" t="s">
        <v>1147</v>
      </c>
    </row>
    <row r="148" ht="15.75" customHeight="1">
      <c r="A148" s="43" t="s">
        <v>1164</v>
      </c>
      <c r="B148" s="43" t="s">
        <v>605</v>
      </c>
      <c r="C148" s="43" t="s">
        <v>221</v>
      </c>
      <c r="D148" s="43" t="s">
        <v>841</v>
      </c>
      <c r="E148" s="43" t="s">
        <v>826</v>
      </c>
      <c r="F148" s="43" t="s">
        <v>751</v>
      </c>
      <c r="G148" s="44">
        <v>2024.0</v>
      </c>
      <c r="H148" s="44">
        <v>0.3031</v>
      </c>
      <c r="I148" s="44">
        <v>0.3767</v>
      </c>
      <c r="J148" s="44">
        <v>3.0</v>
      </c>
      <c r="K148" s="44">
        <v>2.0</v>
      </c>
      <c r="L148" s="44">
        <v>1.0</v>
      </c>
      <c r="M148" s="66">
        <v>28.81</v>
      </c>
      <c r="N148" s="67" t="s">
        <v>764</v>
      </c>
      <c r="O148" s="43" t="s">
        <v>1145</v>
      </c>
      <c r="P148" s="43" t="s">
        <v>1146</v>
      </c>
      <c r="Q148" s="43" t="s">
        <v>1147</v>
      </c>
    </row>
    <row r="149" ht="15.75" customHeight="1">
      <c r="A149" s="43" t="s">
        <v>1165</v>
      </c>
      <c r="B149" s="43" t="s">
        <v>603</v>
      </c>
      <c r="C149" s="43" t="s">
        <v>495</v>
      </c>
      <c r="D149" s="43" t="s">
        <v>900</v>
      </c>
      <c r="E149" s="43" t="s">
        <v>749</v>
      </c>
      <c r="F149" s="43" t="s">
        <v>751</v>
      </c>
      <c r="G149" s="44">
        <v>2024.0</v>
      </c>
      <c r="H149" s="44">
        <v>0.0178</v>
      </c>
      <c r="I149" s="44">
        <v>0.0215</v>
      </c>
      <c r="J149" s="44">
        <v>2.0</v>
      </c>
      <c r="K149" s="44">
        <v>1.0</v>
      </c>
      <c r="L149" s="44">
        <v>1.0</v>
      </c>
      <c r="M149" s="66">
        <v>1.36</v>
      </c>
      <c r="N149" s="67" t="s">
        <v>764</v>
      </c>
      <c r="O149" s="43" t="s">
        <v>1145</v>
      </c>
      <c r="P149" s="43" t="s">
        <v>1146</v>
      </c>
      <c r="Q149" s="43" t="s">
        <v>1147</v>
      </c>
    </row>
    <row r="150" ht="15.75" customHeight="1">
      <c r="A150" s="43" t="s">
        <v>1167</v>
      </c>
      <c r="B150" s="43" t="s">
        <v>581</v>
      </c>
      <c r="C150" s="43" t="s">
        <v>479</v>
      </c>
      <c r="D150" s="43" t="s">
        <v>811</v>
      </c>
      <c r="E150" s="43" t="s">
        <v>826</v>
      </c>
      <c r="F150" s="43" t="s">
        <v>751</v>
      </c>
      <c r="G150" s="44">
        <v>2024.0</v>
      </c>
      <c r="H150" s="44">
        <v>2.6037</v>
      </c>
      <c r="I150" s="44">
        <v>3.1431</v>
      </c>
      <c r="J150" s="44">
        <v>28.0</v>
      </c>
      <c r="K150" s="44">
        <v>17.0</v>
      </c>
      <c r="L150" s="44">
        <v>2.0</v>
      </c>
      <c r="M150" s="66">
        <v>239.37</v>
      </c>
      <c r="N150" s="67" t="s">
        <v>764</v>
      </c>
      <c r="O150" s="43" t="s">
        <v>1145</v>
      </c>
      <c r="P150" s="43" t="s">
        <v>1146</v>
      </c>
      <c r="Q150" s="43" t="s">
        <v>1147</v>
      </c>
    </row>
    <row r="151" ht="15.75" customHeight="1">
      <c r="A151" s="43" t="s">
        <v>1169</v>
      </c>
      <c r="B151" s="43" t="s">
        <v>577</v>
      </c>
      <c r="C151" s="43" t="s">
        <v>487</v>
      </c>
      <c r="D151" s="43" t="s">
        <v>677</v>
      </c>
      <c r="E151" s="43" t="s">
        <v>836</v>
      </c>
      <c r="F151" s="43" t="s">
        <v>798</v>
      </c>
      <c r="G151" s="44">
        <v>2023.0</v>
      </c>
      <c r="H151" s="44">
        <v>0.2745</v>
      </c>
      <c r="I151" s="44">
        <v>0.315</v>
      </c>
      <c r="J151" s="44">
        <v>2.0</v>
      </c>
      <c r="K151" s="44">
        <v>1.0</v>
      </c>
      <c r="L151" s="44">
        <v>1.0</v>
      </c>
      <c r="M151" s="66">
        <v>2.4814</v>
      </c>
      <c r="N151" s="67" t="s">
        <v>764</v>
      </c>
      <c r="O151" s="43" t="s">
        <v>1145</v>
      </c>
      <c r="P151" s="43" t="s">
        <v>1146</v>
      </c>
      <c r="Q151" s="43" t="s">
        <v>1147</v>
      </c>
    </row>
    <row r="152" ht="15.75" customHeight="1">
      <c r="A152" s="43" t="s">
        <v>1171</v>
      </c>
      <c r="B152" s="43" t="s">
        <v>581</v>
      </c>
      <c r="C152" s="43" t="s">
        <v>196</v>
      </c>
      <c r="D152" s="43" t="s">
        <v>750</v>
      </c>
      <c r="E152" s="43" t="s">
        <v>817</v>
      </c>
      <c r="F152" s="43" t="s">
        <v>798</v>
      </c>
      <c r="G152" s="44">
        <v>2023.0</v>
      </c>
      <c r="H152" s="44">
        <v>0.1685</v>
      </c>
      <c r="I152" s="44">
        <v>0.2164</v>
      </c>
      <c r="J152" s="44">
        <v>2.0</v>
      </c>
      <c r="K152" s="44">
        <v>1.0</v>
      </c>
      <c r="L152" s="44">
        <v>1.0</v>
      </c>
      <c r="M152" s="66">
        <v>1.1756</v>
      </c>
      <c r="N152" s="67" t="s">
        <v>764</v>
      </c>
      <c r="O152" s="43" t="s">
        <v>1145</v>
      </c>
      <c r="P152" s="43" t="s">
        <v>1146</v>
      </c>
      <c r="Q152" s="43" t="s">
        <v>1147</v>
      </c>
    </row>
    <row r="153" ht="15.75" customHeight="1">
      <c r="A153" s="43" t="s">
        <v>1173</v>
      </c>
      <c r="B153" s="43" t="s">
        <v>577</v>
      </c>
      <c r="C153" s="43" t="s">
        <v>499</v>
      </c>
      <c r="D153" s="43" t="s">
        <v>651</v>
      </c>
      <c r="E153" s="43" t="s">
        <v>797</v>
      </c>
      <c r="F153" s="43" t="s">
        <v>798</v>
      </c>
      <c r="G153" s="44">
        <v>2023.0</v>
      </c>
      <c r="H153" s="44">
        <v>0.0278</v>
      </c>
      <c r="I153" s="44">
        <v>0.031</v>
      </c>
      <c r="J153" s="44">
        <v>2.0</v>
      </c>
      <c r="K153" s="44">
        <v>1.0</v>
      </c>
      <c r="L153" s="44">
        <v>1.0</v>
      </c>
      <c r="M153" s="66">
        <v>0.2363</v>
      </c>
      <c r="N153" s="67" t="s">
        <v>764</v>
      </c>
      <c r="O153" s="43" t="s">
        <v>1145</v>
      </c>
      <c r="P153" s="43" t="s">
        <v>1146</v>
      </c>
      <c r="Q153" s="43" t="s">
        <v>1147</v>
      </c>
    </row>
    <row r="154" ht="15.75" customHeight="1">
      <c r="A154" s="43" t="s">
        <v>1174</v>
      </c>
      <c r="B154" s="43" t="s">
        <v>596</v>
      </c>
      <c r="C154" s="43" t="s">
        <v>443</v>
      </c>
      <c r="D154" s="43" t="s">
        <v>808</v>
      </c>
      <c r="E154" s="43" t="s">
        <v>784</v>
      </c>
      <c r="F154" s="43" t="s">
        <v>751</v>
      </c>
      <c r="G154" s="44">
        <v>2024.0</v>
      </c>
      <c r="H154" s="44">
        <v>0.5562</v>
      </c>
      <c r="I154" s="44">
        <v>0.737</v>
      </c>
      <c r="J154" s="44">
        <v>5.0</v>
      </c>
      <c r="K154" s="44">
        <v>3.0</v>
      </c>
      <c r="L154" s="44">
        <v>1.0</v>
      </c>
      <c r="M154" s="66">
        <v>59.27</v>
      </c>
      <c r="N154" s="67" t="s">
        <v>764</v>
      </c>
      <c r="O154" s="43" t="s">
        <v>1145</v>
      </c>
      <c r="P154" s="43" t="s">
        <v>1146</v>
      </c>
      <c r="Q154" s="43" t="s">
        <v>1147</v>
      </c>
    </row>
    <row r="155" ht="15.75" customHeight="1">
      <c r="A155" s="43" t="s">
        <v>1175</v>
      </c>
      <c r="B155" s="43" t="s">
        <v>577</v>
      </c>
      <c r="C155" s="43" t="s">
        <v>169</v>
      </c>
      <c r="D155" s="43" t="s">
        <v>655</v>
      </c>
      <c r="E155" s="43" t="s">
        <v>842</v>
      </c>
      <c r="F155" s="43" t="s">
        <v>751</v>
      </c>
      <c r="G155" s="44">
        <v>2024.0</v>
      </c>
      <c r="H155" s="44">
        <v>1.1549</v>
      </c>
      <c r="I155" s="44">
        <v>1.2515</v>
      </c>
      <c r="J155" s="44">
        <v>12.0</v>
      </c>
      <c r="K155" s="44">
        <v>7.0</v>
      </c>
      <c r="L155" s="44">
        <v>1.0</v>
      </c>
      <c r="M155" s="66">
        <v>65.36</v>
      </c>
      <c r="N155" s="67" t="s">
        <v>764</v>
      </c>
      <c r="O155" s="43" t="s">
        <v>1145</v>
      </c>
      <c r="P155" s="43" t="s">
        <v>1146</v>
      </c>
      <c r="Q155" s="43" t="s">
        <v>1147</v>
      </c>
    </row>
    <row r="156" ht="15.75" customHeight="1">
      <c r="A156" s="43" t="s">
        <v>1176</v>
      </c>
      <c r="B156" s="43" t="s">
        <v>605</v>
      </c>
      <c r="C156" s="43" t="s">
        <v>221</v>
      </c>
      <c r="D156" s="43" t="s">
        <v>841</v>
      </c>
      <c r="E156" s="43" t="s">
        <v>797</v>
      </c>
      <c r="F156" s="43" t="s">
        <v>798</v>
      </c>
      <c r="G156" s="44">
        <v>2023.0</v>
      </c>
      <c r="H156" s="44">
        <v>0.068</v>
      </c>
      <c r="I156" s="44">
        <v>0.0902</v>
      </c>
      <c r="J156" s="44">
        <v>2.0</v>
      </c>
      <c r="K156" s="44">
        <v>1.0</v>
      </c>
      <c r="L156" s="44">
        <v>1.0</v>
      </c>
      <c r="M156" s="66">
        <v>0.4469</v>
      </c>
      <c r="N156" s="67" t="s">
        <v>764</v>
      </c>
      <c r="O156" s="43" t="s">
        <v>1145</v>
      </c>
      <c r="P156" s="43" t="s">
        <v>1146</v>
      </c>
      <c r="Q156" s="43" t="s">
        <v>1147</v>
      </c>
    </row>
    <row r="157" ht="15.75" customHeight="1">
      <c r="A157" s="43" t="s">
        <v>1177</v>
      </c>
      <c r="B157" s="43" t="s">
        <v>577</v>
      </c>
      <c r="C157" s="43" t="s">
        <v>372</v>
      </c>
      <c r="D157" s="43" t="s">
        <v>673</v>
      </c>
      <c r="E157" s="43" t="s">
        <v>817</v>
      </c>
      <c r="F157" s="43" t="s">
        <v>798</v>
      </c>
      <c r="G157" s="44">
        <v>2023.0</v>
      </c>
      <c r="H157" s="44">
        <v>0.0578</v>
      </c>
      <c r="I157" s="44">
        <v>0.0753</v>
      </c>
      <c r="J157" s="44">
        <v>2.0</v>
      </c>
      <c r="K157" s="44">
        <v>1.0</v>
      </c>
      <c r="L157" s="44">
        <v>1.0</v>
      </c>
      <c r="M157" s="66">
        <v>0.3287</v>
      </c>
      <c r="N157" s="67" t="s">
        <v>764</v>
      </c>
      <c r="O157" s="43" t="s">
        <v>1145</v>
      </c>
      <c r="P157" s="43" t="s">
        <v>1146</v>
      </c>
      <c r="Q157" s="43" t="s">
        <v>1147</v>
      </c>
    </row>
    <row r="158" ht="15.75" customHeight="1">
      <c r="A158" s="43" t="s">
        <v>1179</v>
      </c>
      <c r="B158" s="43" t="s">
        <v>596</v>
      </c>
      <c r="C158" s="43" t="s">
        <v>443</v>
      </c>
      <c r="D158" s="43" t="s">
        <v>808</v>
      </c>
      <c r="E158" s="43" t="s">
        <v>836</v>
      </c>
      <c r="F158" s="43" t="s">
        <v>798</v>
      </c>
      <c r="G158" s="44">
        <v>2023.0</v>
      </c>
      <c r="H158" s="44">
        <v>0.0624</v>
      </c>
      <c r="I158" s="44">
        <v>0.0784</v>
      </c>
      <c r="J158" s="44">
        <v>5.0</v>
      </c>
      <c r="K158" s="44">
        <v>3.0</v>
      </c>
      <c r="L158" s="44">
        <v>1.0</v>
      </c>
      <c r="M158" s="66">
        <v>0.8432</v>
      </c>
      <c r="N158" s="67" t="s">
        <v>764</v>
      </c>
      <c r="O158" s="43" t="s">
        <v>1145</v>
      </c>
      <c r="P158" s="43" t="s">
        <v>1146</v>
      </c>
      <c r="Q158" s="43" t="s">
        <v>1147</v>
      </c>
    </row>
    <row r="159" ht="15.75" customHeight="1">
      <c r="A159" s="43" t="s">
        <v>1181</v>
      </c>
      <c r="B159" s="43" t="s">
        <v>603</v>
      </c>
      <c r="C159" s="43" t="s">
        <v>401</v>
      </c>
      <c r="D159" s="43" t="s">
        <v>895</v>
      </c>
      <c r="E159" s="43" t="s">
        <v>797</v>
      </c>
      <c r="F159" s="43" t="s">
        <v>798</v>
      </c>
      <c r="G159" s="44">
        <v>2023.0</v>
      </c>
      <c r="H159" s="44">
        <v>0.0562</v>
      </c>
      <c r="I159" s="44">
        <v>0.0727</v>
      </c>
      <c r="J159" s="44">
        <v>3.0</v>
      </c>
      <c r="K159" s="44">
        <v>1.0</v>
      </c>
      <c r="L159" s="44">
        <v>1.0</v>
      </c>
      <c r="M159" s="66">
        <v>0.2616</v>
      </c>
      <c r="N159" s="67" t="s">
        <v>764</v>
      </c>
      <c r="O159" s="43" t="s">
        <v>1145</v>
      </c>
      <c r="P159" s="43" t="s">
        <v>1146</v>
      </c>
      <c r="Q159" s="43" t="s">
        <v>1147</v>
      </c>
    </row>
    <row r="160" ht="15.75" customHeight="1">
      <c r="A160" s="43" t="s">
        <v>1183</v>
      </c>
      <c r="B160" s="43" t="s">
        <v>596</v>
      </c>
      <c r="C160" s="43" t="s">
        <v>392</v>
      </c>
      <c r="D160" s="43" t="s">
        <v>838</v>
      </c>
      <c r="E160" s="43" t="s">
        <v>842</v>
      </c>
      <c r="F160" s="43" t="s">
        <v>751</v>
      </c>
      <c r="G160" s="44">
        <v>2024.0</v>
      </c>
      <c r="H160" s="44">
        <v>0.2308</v>
      </c>
      <c r="I160" s="44">
        <v>0.2709</v>
      </c>
      <c r="J160" s="44">
        <v>3.0</v>
      </c>
      <c r="K160" s="44">
        <v>2.0</v>
      </c>
      <c r="L160" s="44">
        <v>1.0</v>
      </c>
      <c r="M160" s="66">
        <v>13.71</v>
      </c>
      <c r="N160" s="67" t="s">
        <v>764</v>
      </c>
      <c r="O160" s="43" t="s">
        <v>1145</v>
      </c>
      <c r="P160" s="43" t="s">
        <v>1146</v>
      </c>
      <c r="Q160" s="43" t="s">
        <v>1147</v>
      </c>
    </row>
    <row r="161" ht="15.75" customHeight="1">
      <c r="A161" s="43" t="s">
        <v>1184</v>
      </c>
      <c r="B161" s="43" t="s">
        <v>577</v>
      </c>
      <c r="C161" s="43" t="s">
        <v>511</v>
      </c>
      <c r="D161" s="43" t="s">
        <v>626</v>
      </c>
      <c r="E161" s="43" t="s">
        <v>826</v>
      </c>
      <c r="F161" s="43" t="s">
        <v>751</v>
      </c>
      <c r="G161" s="44">
        <v>2024.0</v>
      </c>
      <c r="H161" s="44">
        <v>0.2657</v>
      </c>
      <c r="I161" s="44">
        <v>0.3547</v>
      </c>
      <c r="J161" s="44">
        <v>3.0</v>
      </c>
      <c r="K161" s="44">
        <v>1.0</v>
      </c>
      <c r="L161" s="44">
        <v>1.0</v>
      </c>
      <c r="M161" s="66">
        <v>20.04</v>
      </c>
      <c r="N161" s="67" t="s">
        <v>764</v>
      </c>
      <c r="O161" s="43" t="s">
        <v>1145</v>
      </c>
      <c r="P161" s="43" t="s">
        <v>1146</v>
      </c>
      <c r="Q161" s="43" t="s">
        <v>1147</v>
      </c>
    </row>
    <row r="162" ht="15.75" customHeight="1">
      <c r="A162" s="43" t="s">
        <v>1186</v>
      </c>
      <c r="B162" s="43" t="s">
        <v>577</v>
      </c>
      <c r="C162" s="43" t="s">
        <v>457</v>
      </c>
      <c r="D162" s="43" t="s">
        <v>621</v>
      </c>
      <c r="E162" s="43" t="s">
        <v>749</v>
      </c>
      <c r="F162" s="43" t="s">
        <v>751</v>
      </c>
      <c r="G162" s="44">
        <v>2024.0</v>
      </c>
      <c r="H162" s="44">
        <v>0.0141</v>
      </c>
      <c r="I162" s="44">
        <v>0.0166</v>
      </c>
      <c r="J162" s="44">
        <v>2.0</v>
      </c>
      <c r="K162" s="44">
        <v>1.0</v>
      </c>
      <c r="L162" s="44">
        <v>1.0</v>
      </c>
      <c r="M162" s="66">
        <v>1.3</v>
      </c>
      <c r="N162" s="67" t="s">
        <v>764</v>
      </c>
      <c r="O162" s="43" t="s">
        <v>1145</v>
      </c>
      <c r="P162" s="43" t="s">
        <v>1146</v>
      </c>
      <c r="Q162" s="43" t="s">
        <v>1147</v>
      </c>
    </row>
    <row r="163" ht="15.75" customHeight="1">
      <c r="A163" s="43" t="s">
        <v>1188</v>
      </c>
      <c r="B163" s="43" t="s">
        <v>581</v>
      </c>
      <c r="C163" s="43" t="s">
        <v>468</v>
      </c>
      <c r="D163" s="43" t="s">
        <v>703</v>
      </c>
      <c r="E163" s="43" t="s">
        <v>836</v>
      </c>
      <c r="F163" s="43" t="s">
        <v>798</v>
      </c>
      <c r="G163" s="44">
        <v>2023.0</v>
      </c>
      <c r="H163" s="44">
        <v>0.1059</v>
      </c>
      <c r="I163" s="44">
        <v>0.1182</v>
      </c>
      <c r="J163" s="44">
        <v>2.0</v>
      </c>
      <c r="K163" s="44">
        <v>1.0</v>
      </c>
      <c r="L163" s="44">
        <v>1.0</v>
      </c>
      <c r="M163" s="66">
        <v>1.0891</v>
      </c>
      <c r="N163" s="67" t="s">
        <v>764</v>
      </c>
      <c r="O163" s="43" t="s">
        <v>1145</v>
      </c>
      <c r="P163" s="43" t="s">
        <v>1146</v>
      </c>
      <c r="Q163" s="43" t="s">
        <v>1147</v>
      </c>
    </row>
    <row r="164" ht="15.75" customHeight="1">
      <c r="A164" s="43" t="s">
        <v>1190</v>
      </c>
      <c r="B164" s="43" t="s">
        <v>596</v>
      </c>
      <c r="C164" s="43" t="s">
        <v>481</v>
      </c>
      <c r="D164" s="43" t="s">
        <v>774</v>
      </c>
      <c r="E164" s="43" t="s">
        <v>826</v>
      </c>
      <c r="F164" s="43" t="s">
        <v>751</v>
      </c>
      <c r="G164" s="44">
        <v>2024.0</v>
      </c>
      <c r="H164" s="44">
        <v>0.9589</v>
      </c>
      <c r="I164" s="44">
        <v>1.0402</v>
      </c>
      <c r="J164" s="44">
        <v>7.0</v>
      </c>
      <c r="K164" s="44">
        <v>6.0</v>
      </c>
      <c r="L164" s="44">
        <v>1.0</v>
      </c>
      <c r="M164" s="66">
        <v>95.08</v>
      </c>
      <c r="N164" s="67" t="s">
        <v>764</v>
      </c>
      <c r="O164" s="43" t="s">
        <v>1145</v>
      </c>
      <c r="P164" s="43" t="s">
        <v>1146</v>
      </c>
      <c r="Q164" s="43" t="s">
        <v>1147</v>
      </c>
    </row>
    <row r="165" ht="15.75" customHeight="1">
      <c r="A165" s="43" t="s">
        <v>1192</v>
      </c>
      <c r="B165" s="43" t="s">
        <v>605</v>
      </c>
      <c r="C165" s="43" t="s">
        <v>408</v>
      </c>
      <c r="D165" s="43" t="s">
        <v>847</v>
      </c>
      <c r="E165" s="43" t="s">
        <v>817</v>
      </c>
      <c r="F165" s="43" t="s">
        <v>798</v>
      </c>
      <c r="G165" s="44">
        <v>2023.0</v>
      </c>
      <c r="H165" s="44">
        <v>0.0273</v>
      </c>
      <c r="I165" s="44">
        <v>0.0348</v>
      </c>
      <c r="J165" s="44">
        <v>2.0</v>
      </c>
      <c r="K165" s="44">
        <v>2.0</v>
      </c>
      <c r="L165" s="44">
        <v>1.0</v>
      </c>
      <c r="M165" s="66">
        <v>0.2171</v>
      </c>
      <c r="N165" s="67" t="s">
        <v>764</v>
      </c>
      <c r="O165" s="43" t="s">
        <v>1145</v>
      </c>
      <c r="P165" s="43" t="s">
        <v>1146</v>
      </c>
      <c r="Q165" s="43" t="s">
        <v>1147</v>
      </c>
    </row>
    <row r="166" ht="15.75" customHeight="1">
      <c r="A166" s="43" t="s">
        <v>1194</v>
      </c>
      <c r="B166" s="43" t="s">
        <v>577</v>
      </c>
      <c r="C166" s="43" t="s">
        <v>457</v>
      </c>
      <c r="D166" s="43" t="s">
        <v>621</v>
      </c>
      <c r="E166" s="43" t="s">
        <v>842</v>
      </c>
      <c r="F166" s="43" t="s">
        <v>751</v>
      </c>
      <c r="G166" s="44">
        <v>2024.0</v>
      </c>
      <c r="H166" s="44">
        <v>0.5203</v>
      </c>
      <c r="I166" s="44">
        <v>0.5952</v>
      </c>
      <c r="J166" s="44">
        <v>2.0</v>
      </c>
      <c r="K166" s="44">
        <v>1.0</v>
      </c>
      <c r="L166" s="44">
        <v>1.0</v>
      </c>
      <c r="M166" s="66">
        <v>45.31</v>
      </c>
      <c r="N166" s="67" t="s">
        <v>764</v>
      </c>
      <c r="O166" s="43" t="s">
        <v>1145</v>
      </c>
      <c r="P166" s="43" t="s">
        <v>1146</v>
      </c>
      <c r="Q166" s="43" t="s">
        <v>1147</v>
      </c>
    </row>
    <row r="167" ht="15.75" customHeight="1">
      <c r="A167" s="43" t="s">
        <v>1196</v>
      </c>
      <c r="B167" s="43" t="s">
        <v>603</v>
      </c>
      <c r="C167" s="43" t="s">
        <v>449</v>
      </c>
      <c r="D167" s="43" t="s">
        <v>830</v>
      </c>
      <c r="E167" s="43" t="s">
        <v>749</v>
      </c>
      <c r="F167" s="43" t="s">
        <v>751</v>
      </c>
      <c r="G167" s="44">
        <v>2024.0</v>
      </c>
      <c r="H167" s="44">
        <v>0.002</v>
      </c>
      <c r="I167" s="44">
        <v>0.0026</v>
      </c>
      <c r="J167" s="44">
        <v>3.0</v>
      </c>
      <c r="K167" s="44">
        <v>2.0</v>
      </c>
      <c r="L167" s="44">
        <v>1.0</v>
      </c>
      <c r="M167" s="66">
        <v>0.17</v>
      </c>
      <c r="N167" s="67" t="s">
        <v>764</v>
      </c>
      <c r="O167" s="43" t="s">
        <v>1145</v>
      </c>
      <c r="P167" s="43" t="s">
        <v>1146</v>
      </c>
      <c r="Q167" s="43" t="s">
        <v>1147</v>
      </c>
    </row>
    <row r="168" ht="15.75" customHeight="1">
      <c r="A168" s="43" t="s">
        <v>1197</v>
      </c>
      <c r="B168" s="43" t="s">
        <v>603</v>
      </c>
      <c r="C168" s="43" t="s">
        <v>509</v>
      </c>
      <c r="D168" s="43" t="s">
        <v>885</v>
      </c>
      <c r="E168" s="43" t="s">
        <v>817</v>
      </c>
      <c r="F168" s="43" t="s">
        <v>798</v>
      </c>
      <c r="G168" s="44">
        <v>2023.0</v>
      </c>
      <c r="H168" s="44">
        <v>0.0536</v>
      </c>
      <c r="I168" s="44">
        <v>0.0672</v>
      </c>
      <c r="J168" s="44">
        <v>2.0</v>
      </c>
      <c r="K168" s="44">
        <v>1.0</v>
      </c>
      <c r="L168" s="44">
        <v>1.0</v>
      </c>
      <c r="M168" s="66">
        <v>0.2663</v>
      </c>
      <c r="N168" s="67" t="s">
        <v>764</v>
      </c>
      <c r="O168" s="43" t="s">
        <v>1145</v>
      </c>
      <c r="P168" s="43" t="s">
        <v>1146</v>
      </c>
      <c r="Q168" s="43" t="s">
        <v>1147</v>
      </c>
    </row>
    <row r="169" ht="15.75" customHeight="1">
      <c r="A169" s="43" t="s">
        <v>1199</v>
      </c>
      <c r="B169" s="43" t="s">
        <v>577</v>
      </c>
      <c r="C169" s="43" t="s">
        <v>363</v>
      </c>
      <c r="D169" s="43" t="s">
        <v>634</v>
      </c>
      <c r="E169" s="43" t="s">
        <v>842</v>
      </c>
      <c r="F169" s="43" t="s">
        <v>751</v>
      </c>
      <c r="G169" s="44">
        <v>2024.0</v>
      </c>
      <c r="H169" s="44">
        <v>1.0802</v>
      </c>
      <c r="I169" s="44">
        <v>1.1787</v>
      </c>
      <c r="J169" s="44">
        <v>10.0</v>
      </c>
      <c r="K169" s="44">
        <v>7.0</v>
      </c>
      <c r="L169" s="44">
        <v>1.0</v>
      </c>
      <c r="M169" s="66">
        <v>75.34</v>
      </c>
      <c r="N169" s="67" t="s">
        <v>764</v>
      </c>
      <c r="O169" s="43" t="s">
        <v>1145</v>
      </c>
      <c r="P169" s="43" t="s">
        <v>1146</v>
      </c>
      <c r="Q169" s="43" t="s">
        <v>1147</v>
      </c>
    </row>
    <row r="170" ht="15.75" customHeight="1">
      <c r="A170" s="43" t="s">
        <v>1201</v>
      </c>
      <c r="B170" s="43" t="s">
        <v>581</v>
      </c>
      <c r="C170" s="43" t="s">
        <v>479</v>
      </c>
      <c r="D170" s="43" t="s">
        <v>811</v>
      </c>
      <c r="E170" s="43" t="s">
        <v>817</v>
      </c>
      <c r="F170" s="43" t="s">
        <v>798</v>
      </c>
      <c r="G170" s="44">
        <v>2023.0</v>
      </c>
      <c r="H170" s="44">
        <v>0.0542</v>
      </c>
      <c r="I170" s="44">
        <v>0.0713</v>
      </c>
      <c r="J170" s="44">
        <v>3.0</v>
      </c>
      <c r="K170" s="44">
        <v>2.0</v>
      </c>
      <c r="L170" s="44">
        <v>1.0</v>
      </c>
      <c r="M170" s="66">
        <v>0.3518</v>
      </c>
      <c r="N170" s="67" t="s">
        <v>764</v>
      </c>
      <c r="O170" s="43" t="s">
        <v>1145</v>
      </c>
      <c r="P170" s="43" t="s">
        <v>1146</v>
      </c>
      <c r="Q170" s="43" t="s">
        <v>1147</v>
      </c>
    </row>
    <row r="171" ht="15.75" customHeight="1">
      <c r="A171" s="43" t="s">
        <v>1203</v>
      </c>
      <c r="B171" s="43" t="s">
        <v>581</v>
      </c>
      <c r="C171" s="43" t="s">
        <v>491</v>
      </c>
      <c r="D171" s="43" t="s">
        <v>777</v>
      </c>
      <c r="E171" s="43" t="s">
        <v>797</v>
      </c>
      <c r="F171" s="43" t="s">
        <v>798</v>
      </c>
      <c r="G171" s="44">
        <v>2023.0</v>
      </c>
      <c r="H171" s="44">
        <v>0.0229</v>
      </c>
      <c r="I171" s="44">
        <v>0.0261</v>
      </c>
      <c r="J171" s="44">
        <v>2.0</v>
      </c>
      <c r="K171" s="44">
        <v>1.0</v>
      </c>
      <c r="L171" s="44">
        <v>1.0</v>
      </c>
      <c r="M171" s="66">
        <v>0.1305</v>
      </c>
      <c r="N171" s="67" t="s">
        <v>764</v>
      </c>
      <c r="O171" s="43" t="s">
        <v>1145</v>
      </c>
      <c r="P171" s="43" t="s">
        <v>1146</v>
      </c>
      <c r="Q171" s="43" t="s">
        <v>1147</v>
      </c>
    </row>
    <row r="172" ht="15.75" customHeight="1">
      <c r="A172" s="43" t="s">
        <v>1205</v>
      </c>
      <c r="B172" s="43" t="s">
        <v>581</v>
      </c>
      <c r="C172" s="43" t="s">
        <v>260</v>
      </c>
      <c r="D172" s="43" t="s">
        <v>769</v>
      </c>
      <c r="E172" s="43" t="s">
        <v>842</v>
      </c>
      <c r="F172" s="43" t="s">
        <v>751</v>
      </c>
      <c r="G172" s="44">
        <v>2024.0</v>
      </c>
      <c r="H172" s="44">
        <v>0.4697</v>
      </c>
      <c r="I172" s="44">
        <v>0.5949</v>
      </c>
      <c r="J172" s="44">
        <v>4.0</v>
      </c>
      <c r="K172" s="44">
        <v>3.0</v>
      </c>
      <c r="L172" s="44">
        <v>1.0</v>
      </c>
      <c r="M172" s="66">
        <v>25.6</v>
      </c>
      <c r="N172" s="67" t="s">
        <v>764</v>
      </c>
      <c r="O172" s="43" t="s">
        <v>1145</v>
      </c>
      <c r="P172" s="43" t="s">
        <v>1146</v>
      </c>
      <c r="Q172" s="43" t="s">
        <v>1147</v>
      </c>
    </row>
    <row r="173" ht="15.75" customHeight="1">
      <c r="A173" s="43" t="s">
        <v>1206</v>
      </c>
      <c r="B173" s="43" t="s">
        <v>581</v>
      </c>
      <c r="C173" s="43" t="s">
        <v>519</v>
      </c>
      <c r="D173" s="43" t="s">
        <v>748</v>
      </c>
      <c r="E173" s="43" t="s">
        <v>842</v>
      </c>
      <c r="F173" s="43" t="s">
        <v>751</v>
      </c>
      <c r="G173" s="44">
        <v>2024.0</v>
      </c>
      <c r="H173" s="44">
        <v>0.8555</v>
      </c>
      <c r="I173" s="44">
        <v>0.9745</v>
      </c>
      <c r="J173" s="44">
        <v>9.0</v>
      </c>
      <c r="K173" s="44">
        <v>6.0</v>
      </c>
      <c r="L173" s="44">
        <v>1.0</v>
      </c>
      <c r="M173" s="66">
        <v>42.03</v>
      </c>
      <c r="N173" s="67" t="s">
        <v>764</v>
      </c>
      <c r="O173" s="43" t="s">
        <v>1145</v>
      </c>
      <c r="P173" s="43" t="s">
        <v>1146</v>
      </c>
      <c r="Q173" s="43" t="s">
        <v>1147</v>
      </c>
    </row>
    <row r="174" ht="15.75" customHeight="1">
      <c r="A174" s="43" t="s">
        <v>1208</v>
      </c>
      <c r="B174" s="43" t="s">
        <v>577</v>
      </c>
      <c r="C174" s="43" t="s">
        <v>326</v>
      </c>
      <c r="D174" s="43" t="s">
        <v>658</v>
      </c>
      <c r="E174" s="43" t="s">
        <v>749</v>
      </c>
      <c r="F174" s="43" t="s">
        <v>751</v>
      </c>
      <c r="G174" s="44">
        <v>2024.0</v>
      </c>
      <c r="H174" s="44">
        <v>0.0163</v>
      </c>
      <c r="I174" s="44">
        <v>0.0213</v>
      </c>
      <c r="J174" s="44">
        <v>2.0</v>
      </c>
      <c r="K174" s="44">
        <v>1.0</v>
      </c>
      <c r="L174" s="44">
        <v>1.0</v>
      </c>
      <c r="M174" s="66">
        <v>1.15</v>
      </c>
      <c r="N174" s="67" t="s">
        <v>764</v>
      </c>
      <c r="O174" s="43" t="s">
        <v>1145</v>
      </c>
      <c r="P174" s="43" t="s">
        <v>1146</v>
      </c>
      <c r="Q174" s="43" t="s">
        <v>1147</v>
      </c>
    </row>
    <row r="175" ht="15.75" customHeight="1">
      <c r="A175" s="43" t="s">
        <v>1210</v>
      </c>
      <c r="B175" s="43" t="s">
        <v>596</v>
      </c>
      <c r="C175" s="43" t="s">
        <v>346</v>
      </c>
      <c r="D175" s="43" t="s">
        <v>873</v>
      </c>
      <c r="E175" s="43" t="s">
        <v>749</v>
      </c>
      <c r="F175" s="43" t="s">
        <v>751</v>
      </c>
      <c r="G175" s="44">
        <v>2024.0</v>
      </c>
      <c r="H175" s="44">
        <v>0.0039</v>
      </c>
      <c r="I175" s="44">
        <v>0.0045</v>
      </c>
      <c r="J175" s="44">
        <v>3.0</v>
      </c>
      <c r="K175" s="44">
        <v>3.0</v>
      </c>
      <c r="L175" s="44">
        <v>1.0</v>
      </c>
      <c r="M175" s="66">
        <v>0.32</v>
      </c>
      <c r="N175" s="67" t="s">
        <v>764</v>
      </c>
      <c r="O175" s="43" t="s">
        <v>1145</v>
      </c>
      <c r="P175" s="43" t="s">
        <v>1146</v>
      </c>
      <c r="Q175" s="43" t="s">
        <v>1147</v>
      </c>
    </row>
    <row r="176" ht="15.75" customHeight="1">
      <c r="A176" s="43" t="s">
        <v>1212</v>
      </c>
      <c r="B176" s="43" t="s">
        <v>581</v>
      </c>
      <c r="C176" s="43" t="s">
        <v>385</v>
      </c>
      <c r="D176" s="43" t="s">
        <v>773</v>
      </c>
      <c r="E176" s="43" t="s">
        <v>842</v>
      </c>
      <c r="F176" s="43" t="s">
        <v>751</v>
      </c>
      <c r="G176" s="44">
        <v>2024.0</v>
      </c>
      <c r="H176" s="44">
        <v>0.4002</v>
      </c>
      <c r="I176" s="44">
        <v>0.5266</v>
      </c>
      <c r="J176" s="44">
        <v>6.0</v>
      </c>
      <c r="K176" s="44">
        <v>3.0</v>
      </c>
      <c r="L176" s="44">
        <v>1.0</v>
      </c>
      <c r="M176" s="66">
        <v>28.84</v>
      </c>
      <c r="N176" s="67" t="s">
        <v>764</v>
      </c>
      <c r="O176" s="43" t="s">
        <v>1145</v>
      </c>
      <c r="P176" s="43" t="s">
        <v>1146</v>
      </c>
      <c r="Q176" s="43" t="s">
        <v>1147</v>
      </c>
    </row>
    <row r="177" ht="15.75" customHeight="1">
      <c r="A177" s="43" t="s">
        <v>1213</v>
      </c>
      <c r="B177" s="43" t="s">
        <v>596</v>
      </c>
      <c r="C177" s="43" t="s">
        <v>392</v>
      </c>
      <c r="D177" s="43" t="s">
        <v>838</v>
      </c>
      <c r="E177" s="43" t="s">
        <v>749</v>
      </c>
      <c r="F177" s="43" t="s">
        <v>751</v>
      </c>
      <c r="G177" s="44">
        <v>2024.0</v>
      </c>
      <c r="H177" s="44">
        <v>0.0062</v>
      </c>
      <c r="I177" s="44">
        <v>0.0076</v>
      </c>
      <c r="J177" s="44">
        <v>2.0</v>
      </c>
      <c r="K177" s="44">
        <v>1.0</v>
      </c>
      <c r="L177" s="44">
        <v>1.0</v>
      </c>
      <c r="M177" s="66">
        <v>0.36</v>
      </c>
      <c r="N177" s="67" t="s">
        <v>764</v>
      </c>
      <c r="O177" s="43" t="s">
        <v>1145</v>
      </c>
      <c r="P177" s="43" t="s">
        <v>1146</v>
      </c>
      <c r="Q177" s="43" t="s">
        <v>1147</v>
      </c>
    </row>
    <row r="178" ht="15.75" customHeight="1">
      <c r="A178" s="43" t="s">
        <v>1216</v>
      </c>
      <c r="B178" s="43" t="s">
        <v>581</v>
      </c>
      <c r="C178" s="43" t="s">
        <v>299</v>
      </c>
      <c r="D178" s="43" t="s">
        <v>736</v>
      </c>
      <c r="E178" s="43" t="s">
        <v>749</v>
      </c>
      <c r="F178" s="43" t="s">
        <v>751</v>
      </c>
      <c r="G178" s="44">
        <v>2024.0</v>
      </c>
      <c r="H178" s="44">
        <v>0.0144</v>
      </c>
      <c r="I178" s="44">
        <v>0.0179</v>
      </c>
      <c r="J178" s="44">
        <v>2.0</v>
      </c>
      <c r="K178" s="44">
        <v>2.0</v>
      </c>
      <c r="L178" s="44">
        <v>1.0</v>
      </c>
      <c r="M178" s="66">
        <v>1.21</v>
      </c>
      <c r="N178" s="67" t="s">
        <v>764</v>
      </c>
      <c r="O178" s="43" t="s">
        <v>1145</v>
      </c>
      <c r="P178" s="43" t="s">
        <v>1146</v>
      </c>
      <c r="Q178" s="43" t="s">
        <v>1147</v>
      </c>
    </row>
    <row r="179" ht="15.75" customHeight="1">
      <c r="A179" s="43" t="s">
        <v>1218</v>
      </c>
      <c r="B179" s="43" t="s">
        <v>581</v>
      </c>
      <c r="C179" s="43" t="s">
        <v>515</v>
      </c>
      <c r="D179" s="43" t="s">
        <v>709</v>
      </c>
      <c r="E179" s="43" t="s">
        <v>749</v>
      </c>
      <c r="F179" s="43" t="s">
        <v>751</v>
      </c>
      <c r="G179" s="44">
        <v>2024.0</v>
      </c>
      <c r="H179" s="44">
        <v>0.0041</v>
      </c>
      <c r="I179" s="44">
        <v>0.0055</v>
      </c>
      <c r="J179" s="44">
        <v>2.0</v>
      </c>
      <c r="K179" s="44">
        <v>1.0</v>
      </c>
      <c r="L179" s="44">
        <v>1.0</v>
      </c>
      <c r="M179" s="66">
        <v>0.38</v>
      </c>
      <c r="N179" s="67" t="s">
        <v>764</v>
      </c>
      <c r="O179" s="43" t="s">
        <v>1145</v>
      </c>
      <c r="P179" s="43" t="s">
        <v>1146</v>
      </c>
      <c r="Q179" s="43" t="s">
        <v>1147</v>
      </c>
    </row>
    <row r="180" ht="15.75" customHeight="1">
      <c r="A180" s="43" t="s">
        <v>1219</v>
      </c>
      <c r="B180" s="43" t="s">
        <v>577</v>
      </c>
      <c r="C180" s="43" t="s">
        <v>463</v>
      </c>
      <c r="D180" s="43" t="s">
        <v>662</v>
      </c>
      <c r="E180" s="43" t="s">
        <v>817</v>
      </c>
      <c r="F180" s="43" t="s">
        <v>798</v>
      </c>
      <c r="G180" s="44">
        <v>2023.0</v>
      </c>
      <c r="H180" s="44">
        <v>0.074</v>
      </c>
      <c r="I180" s="44">
        <v>0.0982</v>
      </c>
      <c r="J180" s="44">
        <v>2.0</v>
      </c>
      <c r="K180" s="44">
        <v>1.0</v>
      </c>
      <c r="L180" s="44">
        <v>1.0</v>
      </c>
      <c r="M180" s="66">
        <v>0.3893</v>
      </c>
      <c r="N180" s="67" t="s">
        <v>764</v>
      </c>
      <c r="O180" s="43" t="s">
        <v>1145</v>
      </c>
      <c r="P180" s="43" t="s">
        <v>1146</v>
      </c>
      <c r="Q180" s="43" t="s">
        <v>1147</v>
      </c>
    </row>
    <row r="181" ht="15.75" customHeight="1">
      <c r="A181" s="43" t="s">
        <v>1221</v>
      </c>
      <c r="B181" s="43" t="s">
        <v>596</v>
      </c>
      <c r="C181" s="43" t="s">
        <v>136</v>
      </c>
      <c r="D181" s="43" t="s">
        <v>852</v>
      </c>
      <c r="E181" s="43" t="s">
        <v>797</v>
      </c>
      <c r="F181" s="43" t="s">
        <v>798</v>
      </c>
      <c r="G181" s="44">
        <v>2023.0</v>
      </c>
      <c r="H181" s="44">
        <v>0.0914</v>
      </c>
      <c r="I181" s="44">
        <v>0.1012</v>
      </c>
      <c r="J181" s="44">
        <v>2.0</v>
      </c>
      <c r="K181" s="44">
        <v>2.0</v>
      </c>
      <c r="L181" s="44">
        <v>1.0</v>
      </c>
      <c r="M181" s="66">
        <v>0.4896</v>
      </c>
      <c r="N181" s="67" t="s">
        <v>764</v>
      </c>
      <c r="O181" s="43" t="s">
        <v>1145</v>
      </c>
      <c r="P181" s="43" t="s">
        <v>1146</v>
      </c>
      <c r="Q181" s="43" t="s">
        <v>1147</v>
      </c>
    </row>
    <row r="182" ht="15.75" customHeight="1">
      <c r="A182" s="43" t="s">
        <v>1223</v>
      </c>
      <c r="B182" s="43" t="s">
        <v>581</v>
      </c>
      <c r="C182" s="43" t="s">
        <v>468</v>
      </c>
      <c r="D182" s="43" t="s">
        <v>703</v>
      </c>
      <c r="E182" s="43" t="s">
        <v>826</v>
      </c>
      <c r="F182" s="43" t="s">
        <v>751</v>
      </c>
      <c r="G182" s="44">
        <v>2024.0</v>
      </c>
      <c r="H182" s="44">
        <v>2.7718</v>
      </c>
      <c r="I182" s="44">
        <v>3.6025</v>
      </c>
      <c r="J182" s="44">
        <v>27.0</v>
      </c>
      <c r="K182" s="44">
        <v>22.0</v>
      </c>
      <c r="L182" s="44">
        <v>3.0</v>
      </c>
      <c r="M182" s="66">
        <v>287.52</v>
      </c>
      <c r="N182" s="67" t="s">
        <v>764</v>
      </c>
      <c r="O182" s="43" t="s">
        <v>1145</v>
      </c>
      <c r="P182" s="43" t="s">
        <v>1146</v>
      </c>
      <c r="Q182" s="43" t="s">
        <v>1147</v>
      </c>
    </row>
    <row r="183" ht="15.75" customHeight="1">
      <c r="A183" s="43" t="s">
        <v>1225</v>
      </c>
      <c r="B183" s="43" t="s">
        <v>577</v>
      </c>
      <c r="C183" s="43" t="s">
        <v>499</v>
      </c>
      <c r="D183" s="43" t="s">
        <v>651</v>
      </c>
      <c r="E183" s="43" t="s">
        <v>836</v>
      </c>
      <c r="F183" s="43" t="s">
        <v>798</v>
      </c>
      <c r="G183" s="44">
        <v>2023.0</v>
      </c>
      <c r="H183" s="44">
        <v>0.1007</v>
      </c>
      <c r="I183" s="44">
        <v>0.1189</v>
      </c>
      <c r="J183" s="44">
        <v>2.0</v>
      </c>
      <c r="K183" s="44">
        <v>1.0</v>
      </c>
      <c r="L183" s="44">
        <v>1.0</v>
      </c>
      <c r="M183" s="66">
        <v>0.776</v>
      </c>
      <c r="N183" s="67" t="s">
        <v>764</v>
      </c>
      <c r="O183" s="43" t="s">
        <v>1145</v>
      </c>
      <c r="P183" s="43" t="s">
        <v>1146</v>
      </c>
      <c r="Q183" s="43" t="s">
        <v>1147</v>
      </c>
    </row>
    <row r="184" ht="15.75" customHeight="1">
      <c r="A184" s="43" t="s">
        <v>1226</v>
      </c>
      <c r="B184" s="43" t="s">
        <v>581</v>
      </c>
      <c r="C184" s="43" t="s">
        <v>196</v>
      </c>
      <c r="D184" s="43" t="s">
        <v>750</v>
      </c>
      <c r="E184" s="43" t="s">
        <v>842</v>
      </c>
      <c r="F184" s="43" t="s">
        <v>751</v>
      </c>
      <c r="G184" s="44">
        <v>2024.0</v>
      </c>
      <c r="H184" s="44">
        <v>0.608</v>
      </c>
      <c r="I184" s="44">
        <v>0.7045</v>
      </c>
      <c r="J184" s="44">
        <v>8.0</v>
      </c>
      <c r="K184" s="44">
        <v>5.0</v>
      </c>
      <c r="L184" s="44">
        <v>1.0</v>
      </c>
      <c r="M184" s="66">
        <v>66.73</v>
      </c>
      <c r="N184" s="67" t="s">
        <v>764</v>
      </c>
      <c r="O184" s="43" t="s">
        <v>1145</v>
      </c>
      <c r="P184" s="43" t="s">
        <v>1146</v>
      </c>
      <c r="Q184" s="43" t="s">
        <v>1147</v>
      </c>
    </row>
    <row r="185" ht="15.75" customHeight="1">
      <c r="A185" s="43" t="s">
        <v>1228</v>
      </c>
      <c r="B185" s="43" t="s">
        <v>581</v>
      </c>
      <c r="C185" s="43" t="s">
        <v>378</v>
      </c>
      <c r="D185" s="43" t="s">
        <v>718</v>
      </c>
      <c r="E185" s="43" t="s">
        <v>749</v>
      </c>
      <c r="F185" s="43" t="s">
        <v>751</v>
      </c>
      <c r="G185" s="44">
        <v>2024.0</v>
      </c>
      <c r="H185" s="44">
        <v>0.0059</v>
      </c>
      <c r="I185" s="44">
        <v>0.0065</v>
      </c>
      <c r="J185" s="44">
        <v>3.0</v>
      </c>
      <c r="K185" s="44">
        <v>1.0</v>
      </c>
      <c r="L185" s="44">
        <v>1.0</v>
      </c>
      <c r="M185" s="66">
        <v>0.48</v>
      </c>
      <c r="N185" s="67" t="s">
        <v>764</v>
      </c>
      <c r="O185" s="43" t="s">
        <v>1145</v>
      </c>
      <c r="P185" s="43" t="s">
        <v>1146</v>
      </c>
      <c r="Q185" s="43" t="s">
        <v>1147</v>
      </c>
    </row>
    <row r="186" ht="15.75" customHeight="1">
      <c r="A186" s="43" t="s">
        <v>1230</v>
      </c>
      <c r="B186" s="43" t="s">
        <v>581</v>
      </c>
      <c r="C186" s="43" t="s">
        <v>517</v>
      </c>
      <c r="D186" s="43" t="s">
        <v>763</v>
      </c>
      <c r="E186" s="43" t="s">
        <v>784</v>
      </c>
      <c r="F186" s="43" t="s">
        <v>751</v>
      </c>
      <c r="G186" s="44">
        <v>2024.0</v>
      </c>
      <c r="H186" s="44">
        <v>0.4583</v>
      </c>
      <c r="I186" s="44">
        <v>0.5734</v>
      </c>
      <c r="J186" s="44">
        <v>6.0</v>
      </c>
      <c r="K186" s="44">
        <v>5.0</v>
      </c>
      <c r="L186" s="44">
        <v>1.0</v>
      </c>
      <c r="M186" s="66">
        <v>35.35</v>
      </c>
      <c r="N186" s="67" t="s">
        <v>764</v>
      </c>
      <c r="O186" s="43" t="s">
        <v>1145</v>
      </c>
      <c r="P186" s="43" t="s">
        <v>1146</v>
      </c>
      <c r="Q186" s="43" t="s">
        <v>1147</v>
      </c>
    </row>
    <row r="187" ht="15.75" customHeight="1">
      <c r="A187" s="43" t="s">
        <v>1231</v>
      </c>
      <c r="B187" s="43" t="s">
        <v>603</v>
      </c>
      <c r="C187" s="43" t="s">
        <v>509</v>
      </c>
      <c r="D187" s="43" t="s">
        <v>885</v>
      </c>
      <c r="E187" s="43" t="s">
        <v>836</v>
      </c>
      <c r="F187" s="43" t="s">
        <v>798</v>
      </c>
      <c r="G187" s="44">
        <v>2023.0</v>
      </c>
      <c r="H187" s="44">
        <v>0.2645</v>
      </c>
      <c r="I187" s="44">
        <v>0.3522</v>
      </c>
      <c r="J187" s="44">
        <v>3.0</v>
      </c>
      <c r="K187" s="44">
        <v>2.0</v>
      </c>
      <c r="L187" s="44">
        <v>1.0</v>
      </c>
      <c r="M187" s="66">
        <v>3.0904</v>
      </c>
      <c r="N187" s="67" t="s">
        <v>764</v>
      </c>
      <c r="O187" s="43" t="s">
        <v>1145</v>
      </c>
      <c r="P187" s="43" t="s">
        <v>1146</v>
      </c>
      <c r="Q187" s="43" t="s">
        <v>1147</v>
      </c>
    </row>
    <row r="188" ht="15.75" customHeight="1">
      <c r="A188" s="43" t="s">
        <v>1233</v>
      </c>
      <c r="B188" s="43" t="s">
        <v>605</v>
      </c>
      <c r="C188" s="43" t="s">
        <v>523</v>
      </c>
      <c r="D188" s="43" t="s">
        <v>872</v>
      </c>
      <c r="E188" s="43" t="s">
        <v>817</v>
      </c>
      <c r="F188" s="43" t="s">
        <v>798</v>
      </c>
      <c r="G188" s="44">
        <v>2023.0</v>
      </c>
      <c r="H188" s="44">
        <v>0.141</v>
      </c>
      <c r="I188" s="44">
        <v>0.1762</v>
      </c>
      <c r="J188" s="44">
        <v>2.0</v>
      </c>
      <c r="K188" s="44">
        <v>1.0</v>
      </c>
      <c r="L188" s="44">
        <v>1.0</v>
      </c>
      <c r="M188" s="66">
        <v>0.5127</v>
      </c>
      <c r="N188" s="67" t="s">
        <v>764</v>
      </c>
      <c r="O188" s="43" t="s">
        <v>1145</v>
      </c>
      <c r="P188" s="43" t="s">
        <v>1146</v>
      </c>
      <c r="Q188" s="43" t="s">
        <v>1147</v>
      </c>
    </row>
    <row r="189" ht="15.75" customHeight="1">
      <c r="A189" s="43" t="s">
        <v>1235</v>
      </c>
      <c r="B189" s="43" t="s">
        <v>581</v>
      </c>
      <c r="C189" s="43" t="s">
        <v>260</v>
      </c>
      <c r="D189" s="43" t="s">
        <v>769</v>
      </c>
      <c r="E189" s="43" t="s">
        <v>784</v>
      </c>
      <c r="F189" s="43" t="s">
        <v>751</v>
      </c>
      <c r="G189" s="44">
        <v>2024.0</v>
      </c>
      <c r="H189" s="44">
        <v>0.492</v>
      </c>
      <c r="I189" s="44">
        <v>0.5382</v>
      </c>
      <c r="J189" s="44">
        <v>3.0</v>
      </c>
      <c r="K189" s="44">
        <v>2.0</v>
      </c>
      <c r="L189" s="44">
        <v>1.0</v>
      </c>
      <c r="M189" s="66">
        <v>37.59</v>
      </c>
      <c r="N189" s="67" t="s">
        <v>764</v>
      </c>
      <c r="O189" s="43" t="s">
        <v>1145</v>
      </c>
      <c r="P189" s="43" t="s">
        <v>1146</v>
      </c>
      <c r="Q189" s="43" t="s">
        <v>1147</v>
      </c>
    </row>
    <row r="190" ht="15.75" customHeight="1">
      <c r="A190" s="43" t="s">
        <v>1237</v>
      </c>
      <c r="B190" s="43" t="s">
        <v>605</v>
      </c>
      <c r="C190" s="43" t="s">
        <v>324</v>
      </c>
      <c r="D190" s="43" t="s">
        <v>970</v>
      </c>
      <c r="E190" s="43" t="s">
        <v>842</v>
      </c>
      <c r="F190" s="43" t="s">
        <v>751</v>
      </c>
      <c r="G190" s="44">
        <v>2024.0</v>
      </c>
      <c r="H190" s="44">
        <v>0.6537</v>
      </c>
      <c r="I190" s="44">
        <v>0.7071</v>
      </c>
      <c r="J190" s="44">
        <v>9.0</v>
      </c>
      <c r="K190" s="44">
        <v>6.0</v>
      </c>
      <c r="L190" s="44">
        <v>1.0</v>
      </c>
      <c r="M190" s="66">
        <v>55.02</v>
      </c>
      <c r="N190" s="67" t="s">
        <v>764</v>
      </c>
      <c r="O190" s="43" t="s">
        <v>1145</v>
      </c>
      <c r="P190" s="43" t="s">
        <v>1146</v>
      </c>
      <c r="Q190" s="43" t="s">
        <v>1147</v>
      </c>
    </row>
    <row r="191" ht="15.75" customHeight="1">
      <c r="A191" s="43" t="s">
        <v>1239</v>
      </c>
      <c r="B191" s="43" t="s">
        <v>581</v>
      </c>
      <c r="C191" s="43" t="s">
        <v>505</v>
      </c>
      <c r="D191" s="43" t="s">
        <v>799</v>
      </c>
      <c r="E191" s="43" t="s">
        <v>826</v>
      </c>
      <c r="F191" s="43" t="s">
        <v>751</v>
      </c>
      <c r="G191" s="44">
        <v>2024.0</v>
      </c>
      <c r="H191" s="44">
        <v>0.4301</v>
      </c>
      <c r="I191" s="44">
        <v>0.5404</v>
      </c>
      <c r="J191" s="44">
        <v>2.0</v>
      </c>
      <c r="K191" s="44">
        <v>1.0</v>
      </c>
      <c r="L191" s="44">
        <v>1.0</v>
      </c>
      <c r="M191" s="66">
        <v>37.52</v>
      </c>
      <c r="N191" s="67" t="s">
        <v>764</v>
      </c>
      <c r="O191" s="43" t="s">
        <v>1145</v>
      </c>
      <c r="P191" s="43" t="s">
        <v>1146</v>
      </c>
      <c r="Q191" s="43" t="s">
        <v>1147</v>
      </c>
    </row>
    <row r="192" ht="15.75" customHeight="1">
      <c r="A192" s="43" t="s">
        <v>1241</v>
      </c>
      <c r="B192" s="43" t="s">
        <v>581</v>
      </c>
      <c r="C192" s="43" t="s">
        <v>385</v>
      </c>
      <c r="D192" s="43" t="s">
        <v>773</v>
      </c>
      <c r="E192" s="43" t="s">
        <v>749</v>
      </c>
      <c r="F192" s="43" t="s">
        <v>751</v>
      </c>
      <c r="G192" s="44">
        <v>2024.0</v>
      </c>
      <c r="H192" s="44">
        <v>0.0108</v>
      </c>
      <c r="I192" s="44">
        <v>0.0129</v>
      </c>
      <c r="J192" s="44">
        <v>2.0</v>
      </c>
      <c r="K192" s="44">
        <v>1.0</v>
      </c>
      <c r="L192" s="44">
        <v>1.0</v>
      </c>
      <c r="M192" s="66">
        <v>0.92</v>
      </c>
      <c r="N192" s="67" t="s">
        <v>764</v>
      </c>
      <c r="O192" s="43" t="s">
        <v>1145</v>
      </c>
      <c r="P192" s="43" t="s">
        <v>1146</v>
      </c>
      <c r="Q192" s="43" t="s">
        <v>1147</v>
      </c>
    </row>
    <row r="193" ht="15.75" customHeight="1">
      <c r="A193" s="43" t="s">
        <v>1243</v>
      </c>
      <c r="B193" s="43" t="s">
        <v>605</v>
      </c>
      <c r="C193" s="43" t="s">
        <v>483</v>
      </c>
      <c r="D193" s="43" t="s">
        <v>803</v>
      </c>
      <c r="E193" s="43" t="s">
        <v>797</v>
      </c>
      <c r="F193" s="43" t="s">
        <v>798</v>
      </c>
      <c r="G193" s="44">
        <v>2023.0</v>
      </c>
      <c r="H193" s="44">
        <v>0.0936</v>
      </c>
      <c r="I193" s="44">
        <v>0.1145</v>
      </c>
      <c r="J193" s="44">
        <v>2.0</v>
      </c>
      <c r="K193" s="44">
        <v>2.0</v>
      </c>
      <c r="L193" s="44">
        <v>1.0</v>
      </c>
      <c r="M193" s="66">
        <v>0.5124</v>
      </c>
      <c r="N193" s="67" t="s">
        <v>764</v>
      </c>
      <c r="O193" s="43" t="s">
        <v>1145</v>
      </c>
      <c r="P193" s="43" t="s">
        <v>1146</v>
      </c>
      <c r="Q193" s="43" t="s">
        <v>1147</v>
      </c>
    </row>
    <row r="194" ht="15.75" customHeight="1">
      <c r="A194" s="43" t="s">
        <v>1245</v>
      </c>
      <c r="B194" s="43" t="s">
        <v>605</v>
      </c>
      <c r="C194" s="43" t="s">
        <v>279</v>
      </c>
      <c r="D194" s="43" t="s">
        <v>956</v>
      </c>
      <c r="E194" s="43" t="s">
        <v>826</v>
      </c>
      <c r="F194" s="43" t="s">
        <v>751</v>
      </c>
      <c r="G194" s="44">
        <v>2024.0</v>
      </c>
      <c r="H194" s="44">
        <v>0.0865</v>
      </c>
      <c r="I194" s="44">
        <v>0.1139</v>
      </c>
      <c r="J194" s="44">
        <v>2.0</v>
      </c>
      <c r="K194" s="44">
        <v>2.0</v>
      </c>
      <c r="L194" s="44">
        <v>1.0</v>
      </c>
      <c r="M194" s="66">
        <v>11.2</v>
      </c>
      <c r="N194" s="67" t="s">
        <v>764</v>
      </c>
      <c r="O194" s="43" t="s">
        <v>1145</v>
      </c>
      <c r="P194" s="43" t="s">
        <v>1146</v>
      </c>
      <c r="Q194" s="43" t="s">
        <v>1147</v>
      </c>
    </row>
    <row r="195" ht="15.75" customHeight="1">
      <c r="A195" s="43" t="s">
        <v>1247</v>
      </c>
      <c r="B195" s="43" t="s">
        <v>605</v>
      </c>
      <c r="C195" s="43" t="s">
        <v>354</v>
      </c>
      <c r="D195" s="43" t="s">
        <v>905</v>
      </c>
      <c r="E195" s="43" t="s">
        <v>836</v>
      </c>
      <c r="F195" s="43" t="s">
        <v>798</v>
      </c>
      <c r="G195" s="44">
        <v>2023.0</v>
      </c>
      <c r="H195" s="44">
        <v>0.2705</v>
      </c>
      <c r="I195" s="44">
        <v>0.327</v>
      </c>
      <c r="J195" s="44">
        <v>2.0</v>
      </c>
      <c r="K195" s="44">
        <v>1.0</v>
      </c>
      <c r="L195" s="44">
        <v>1.0</v>
      </c>
      <c r="M195" s="66">
        <v>2.817</v>
      </c>
      <c r="N195" s="67" t="s">
        <v>764</v>
      </c>
      <c r="O195" s="43" t="s">
        <v>1145</v>
      </c>
      <c r="P195" s="43" t="s">
        <v>1146</v>
      </c>
      <c r="Q195" s="43" t="s">
        <v>1147</v>
      </c>
    </row>
    <row r="196" ht="15.75" customHeight="1">
      <c r="A196" s="43" t="s">
        <v>1248</v>
      </c>
      <c r="B196" s="43" t="s">
        <v>581</v>
      </c>
      <c r="C196" s="43" t="s">
        <v>468</v>
      </c>
      <c r="D196" s="43" t="s">
        <v>703</v>
      </c>
      <c r="E196" s="43" t="s">
        <v>842</v>
      </c>
      <c r="F196" s="43" t="s">
        <v>751</v>
      </c>
      <c r="G196" s="44">
        <v>2024.0</v>
      </c>
      <c r="H196" s="44">
        <v>1.6842</v>
      </c>
      <c r="I196" s="44">
        <v>2.2274</v>
      </c>
      <c r="J196" s="44">
        <v>19.0</v>
      </c>
      <c r="K196" s="44">
        <v>15.0</v>
      </c>
      <c r="L196" s="44">
        <v>2.0</v>
      </c>
      <c r="M196" s="66">
        <v>112.44</v>
      </c>
      <c r="N196" s="67" t="s">
        <v>764</v>
      </c>
      <c r="O196" s="43" t="s">
        <v>1145</v>
      </c>
      <c r="P196" s="43" t="s">
        <v>1146</v>
      </c>
      <c r="Q196" s="43" t="s">
        <v>1147</v>
      </c>
    </row>
    <row r="197" ht="15.75" customHeight="1">
      <c r="A197" s="43" t="s">
        <v>1250</v>
      </c>
      <c r="B197" s="43" t="s">
        <v>581</v>
      </c>
      <c r="C197" s="43" t="s">
        <v>477</v>
      </c>
      <c r="D197" s="43" t="s">
        <v>759</v>
      </c>
      <c r="E197" s="43" t="s">
        <v>784</v>
      </c>
      <c r="F197" s="43" t="s">
        <v>751</v>
      </c>
      <c r="G197" s="44">
        <v>2024.0</v>
      </c>
      <c r="H197" s="44">
        <v>0.5974</v>
      </c>
      <c r="I197" s="44">
        <v>0.7045</v>
      </c>
      <c r="J197" s="44">
        <v>6.0</v>
      </c>
      <c r="K197" s="44">
        <v>4.0</v>
      </c>
      <c r="L197" s="44">
        <v>1.0</v>
      </c>
      <c r="M197" s="66">
        <v>50.3</v>
      </c>
      <c r="N197" s="67" t="s">
        <v>764</v>
      </c>
      <c r="O197" s="43" t="s">
        <v>1145</v>
      </c>
      <c r="P197" s="43" t="s">
        <v>1146</v>
      </c>
      <c r="Q197" s="43" t="s">
        <v>1147</v>
      </c>
    </row>
    <row r="198" ht="15.75" customHeight="1">
      <c r="A198" s="43" t="s">
        <v>1252</v>
      </c>
      <c r="B198" s="43" t="s">
        <v>603</v>
      </c>
      <c r="C198" s="43" t="s">
        <v>509</v>
      </c>
      <c r="D198" s="43" t="s">
        <v>885</v>
      </c>
      <c r="E198" s="43" t="s">
        <v>784</v>
      </c>
      <c r="F198" s="43" t="s">
        <v>751</v>
      </c>
      <c r="G198" s="44">
        <v>2024.0</v>
      </c>
      <c r="H198" s="44">
        <v>0.8939</v>
      </c>
      <c r="I198" s="44">
        <v>1.1041</v>
      </c>
      <c r="J198" s="44">
        <v>10.0</v>
      </c>
      <c r="K198" s="44">
        <v>7.0</v>
      </c>
      <c r="L198" s="44">
        <v>1.0</v>
      </c>
      <c r="M198" s="66">
        <v>76.03</v>
      </c>
      <c r="N198" s="67" t="s">
        <v>764</v>
      </c>
      <c r="O198" s="43" t="s">
        <v>1145</v>
      </c>
      <c r="P198" s="43" t="s">
        <v>1146</v>
      </c>
      <c r="Q198" s="43" t="s">
        <v>1147</v>
      </c>
    </row>
    <row r="199" ht="15.75" customHeight="1">
      <c r="A199" s="43" t="s">
        <v>1254</v>
      </c>
      <c r="B199" s="43" t="s">
        <v>581</v>
      </c>
      <c r="C199" s="43" t="s">
        <v>260</v>
      </c>
      <c r="D199" s="43" t="s">
        <v>769</v>
      </c>
      <c r="E199" s="43" t="s">
        <v>797</v>
      </c>
      <c r="F199" s="43" t="s">
        <v>798</v>
      </c>
      <c r="G199" s="44">
        <v>2023.0</v>
      </c>
      <c r="H199" s="44">
        <v>0.0457</v>
      </c>
      <c r="I199" s="44">
        <v>0.0507</v>
      </c>
      <c r="J199" s="44">
        <v>2.0</v>
      </c>
      <c r="K199" s="44">
        <v>1.0</v>
      </c>
      <c r="L199" s="44">
        <v>1.0</v>
      </c>
      <c r="M199" s="66">
        <v>0.2796</v>
      </c>
      <c r="N199" s="67" t="s">
        <v>764</v>
      </c>
      <c r="O199" s="43" t="s">
        <v>1145</v>
      </c>
      <c r="P199" s="43" t="s">
        <v>1146</v>
      </c>
      <c r="Q199" s="43" t="s">
        <v>1147</v>
      </c>
    </row>
    <row r="200" ht="15.75" customHeight="1">
      <c r="A200" s="43" t="s">
        <v>1256</v>
      </c>
      <c r="B200" s="43" t="s">
        <v>577</v>
      </c>
      <c r="C200" s="43" t="s">
        <v>78</v>
      </c>
      <c r="D200" s="43" t="s">
        <v>680</v>
      </c>
      <c r="E200" s="43" t="s">
        <v>826</v>
      </c>
      <c r="F200" s="43" t="s">
        <v>751</v>
      </c>
      <c r="G200" s="44">
        <v>2024.0</v>
      </c>
      <c r="H200" s="44">
        <v>0.7346</v>
      </c>
      <c r="I200" s="44">
        <v>0.9126</v>
      </c>
      <c r="J200" s="44">
        <v>7.0</v>
      </c>
      <c r="K200" s="44">
        <v>4.0</v>
      </c>
      <c r="L200" s="44">
        <v>1.0</v>
      </c>
      <c r="M200" s="66">
        <v>71.55</v>
      </c>
      <c r="N200" s="67" t="s">
        <v>764</v>
      </c>
      <c r="O200" s="43" t="s">
        <v>1145</v>
      </c>
      <c r="P200" s="43" t="s">
        <v>1146</v>
      </c>
      <c r="Q200" s="43" t="s">
        <v>1147</v>
      </c>
    </row>
    <row r="201" ht="15.75" customHeight="1">
      <c r="A201" s="43" t="s">
        <v>1258</v>
      </c>
      <c r="B201" s="43" t="s">
        <v>605</v>
      </c>
      <c r="C201" s="43" t="s">
        <v>324</v>
      </c>
      <c r="D201" s="43" t="s">
        <v>970</v>
      </c>
      <c r="E201" s="43" t="s">
        <v>826</v>
      </c>
      <c r="F201" s="43" t="s">
        <v>751</v>
      </c>
      <c r="G201" s="44">
        <v>2024.0</v>
      </c>
      <c r="H201" s="44">
        <v>0.5608</v>
      </c>
      <c r="I201" s="44">
        <v>0.6163</v>
      </c>
      <c r="J201" s="44">
        <v>8.0</v>
      </c>
      <c r="K201" s="44">
        <v>5.0</v>
      </c>
      <c r="L201" s="44">
        <v>1.0</v>
      </c>
      <c r="M201" s="66">
        <v>40.32</v>
      </c>
      <c r="N201" s="67" t="s">
        <v>764</v>
      </c>
      <c r="O201" s="43" t="s">
        <v>1145</v>
      </c>
      <c r="P201" s="43" t="s">
        <v>1146</v>
      </c>
      <c r="Q201" s="43" t="s">
        <v>1147</v>
      </c>
    </row>
    <row r="202" ht="15.75" customHeight="1">
      <c r="A202" s="43" t="s">
        <v>1259</v>
      </c>
      <c r="B202" s="43" t="s">
        <v>596</v>
      </c>
      <c r="C202" s="43" t="s">
        <v>346</v>
      </c>
      <c r="D202" s="43" t="s">
        <v>873</v>
      </c>
      <c r="E202" s="43" t="s">
        <v>836</v>
      </c>
      <c r="F202" s="43" t="s">
        <v>798</v>
      </c>
      <c r="G202" s="44">
        <v>2023.0</v>
      </c>
      <c r="H202" s="44">
        <v>0.1772</v>
      </c>
      <c r="I202" s="44">
        <v>0.2123</v>
      </c>
      <c r="J202" s="44">
        <v>2.0</v>
      </c>
      <c r="K202" s="44">
        <v>2.0</v>
      </c>
      <c r="L202" s="44">
        <v>1.0</v>
      </c>
      <c r="M202" s="66">
        <v>1.608</v>
      </c>
      <c r="N202" s="67" t="s">
        <v>764</v>
      </c>
      <c r="O202" s="43" t="s">
        <v>1145</v>
      </c>
      <c r="P202" s="43" t="s">
        <v>1146</v>
      </c>
      <c r="Q202" s="43" t="s">
        <v>1147</v>
      </c>
    </row>
    <row r="203" ht="15.75" customHeight="1">
      <c r="A203" s="43" t="s">
        <v>1261</v>
      </c>
      <c r="B203" s="43" t="s">
        <v>577</v>
      </c>
      <c r="C203" s="43" t="s">
        <v>487</v>
      </c>
      <c r="D203" s="43" t="s">
        <v>677</v>
      </c>
      <c r="E203" s="43" t="s">
        <v>749</v>
      </c>
      <c r="F203" s="43" t="s">
        <v>751</v>
      </c>
      <c r="G203" s="44">
        <v>2024.0</v>
      </c>
      <c r="H203" s="44">
        <v>0.0051</v>
      </c>
      <c r="I203" s="44">
        <v>0.0068</v>
      </c>
      <c r="J203" s="44">
        <v>2.0</v>
      </c>
      <c r="K203" s="44">
        <v>2.0</v>
      </c>
      <c r="L203" s="44">
        <v>1.0</v>
      </c>
      <c r="M203" s="66">
        <v>0.45</v>
      </c>
      <c r="N203" s="67" t="s">
        <v>764</v>
      </c>
      <c r="O203" s="43" t="s">
        <v>1145</v>
      </c>
      <c r="P203" s="43" t="s">
        <v>1146</v>
      </c>
      <c r="Q203" s="43" t="s">
        <v>1147</v>
      </c>
    </row>
    <row r="204" ht="15.75" customHeight="1">
      <c r="A204" s="43" t="s">
        <v>1263</v>
      </c>
      <c r="B204" s="43" t="s">
        <v>605</v>
      </c>
      <c r="C204" s="43" t="s">
        <v>408</v>
      </c>
      <c r="D204" s="43" t="s">
        <v>847</v>
      </c>
      <c r="E204" s="43" t="s">
        <v>749</v>
      </c>
      <c r="F204" s="43" t="s">
        <v>751</v>
      </c>
      <c r="G204" s="44">
        <v>2024.0</v>
      </c>
      <c r="H204" s="44">
        <v>0.0157</v>
      </c>
      <c r="I204" s="44">
        <v>0.0176</v>
      </c>
      <c r="J204" s="44">
        <v>2.0</v>
      </c>
      <c r="K204" s="44">
        <v>1.0</v>
      </c>
      <c r="L204" s="44">
        <v>1.0</v>
      </c>
      <c r="M204" s="66">
        <v>1.3</v>
      </c>
      <c r="N204" s="67" t="s">
        <v>764</v>
      </c>
      <c r="O204" s="43" t="s">
        <v>1145</v>
      </c>
      <c r="P204" s="43" t="s">
        <v>1146</v>
      </c>
      <c r="Q204" s="43" t="s">
        <v>1147</v>
      </c>
    </row>
    <row r="205" ht="15.75" customHeight="1">
      <c r="A205" s="43" t="s">
        <v>1264</v>
      </c>
      <c r="B205" s="43" t="s">
        <v>596</v>
      </c>
      <c r="C205" s="43" t="s">
        <v>136</v>
      </c>
      <c r="D205" s="43" t="s">
        <v>852</v>
      </c>
      <c r="E205" s="43" t="s">
        <v>836</v>
      </c>
      <c r="F205" s="43" t="s">
        <v>798</v>
      </c>
      <c r="G205" s="44">
        <v>2023.0</v>
      </c>
      <c r="H205" s="44">
        <v>0.2409</v>
      </c>
      <c r="I205" s="44">
        <v>0.2876</v>
      </c>
      <c r="J205" s="44">
        <v>2.0</v>
      </c>
      <c r="K205" s="44">
        <v>1.0</v>
      </c>
      <c r="L205" s="44">
        <v>1.0</v>
      </c>
      <c r="M205" s="66">
        <v>2.2955</v>
      </c>
      <c r="N205" s="67" t="s">
        <v>764</v>
      </c>
      <c r="O205" s="43" t="s">
        <v>1145</v>
      </c>
      <c r="P205" s="43" t="s">
        <v>1146</v>
      </c>
      <c r="Q205" s="43" t="s">
        <v>1147</v>
      </c>
    </row>
    <row r="206" ht="15.75" customHeight="1">
      <c r="A206" s="43" t="s">
        <v>1266</v>
      </c>
      <c r="B206" s="43" t="s">
        <v>581</v>
      </c>
      <c r="C206" s="43" t="s">
        <v>385</v>
      </c>
      <c r="D206" s="43" t="s">
        <v>773</v>
      </c>
      <c r="E206" s="43" t="s">
        <v>797</v>
      </c>
      <c r="F206" s="43" t="s">
        <v>798</v>
      </c>
      <c r="G206" s="44">
        <v>2023.0</v>
      </c>
      <c r="H206" s="44">
        <v>0.0326</v>
      </c>
      <c r="I206" s="44">
        <v>0.0376</v>
      </c>
      <c r="J206" s="44">
        <v>2.0</v>
      </c>
      <c r="K206" s="44">
        <v>2.0</v>
      </c>
      <c r="L206" s="44">
        <v>1.0</v>
      </c>
      <c r="M206" s="66">
        <v>0.2052</v>
      </c>
      <c r="N206" s="67" t="s">
        <v>764</v>
      </c>
      <c r="O206" s="43" t="s">
        <v>1145</v>
      </c>
      <c r="P206" s="43" t="s">
        <v>1146</v>
      </c>
      <c r="Q206" s="43" t="s">
        <v>1147</v>
      </c>
    </row>
    <row r="207" ht="15.75" customHeight="1">
      <c r="A207" s="43" t="s">
        <v>1268</v>
      </c>
      <c r="B207" s="43" t="s">
        <v>596</v>
      </c>
      <c r="C207" s="43" t="s">
        <v>493</v>
      </c>
      <c r="D207" s="43" t="s">
        <v>823</v>
      </c>
      <c r="E207" s="43" t="s">
        <v>797</v>
      </c>
      <c r="F207" s="43" t="s">
        <v>798</v>
      </c>
      <c r="G207" s="44">
        <v>2023.0</v>
      </c>
      <c r="H207" s="44">
        <v>0.068</v>
      </c>
      <c r="I207" s="44">
        <v>0.0804</v>
      </c>
      <c r="J207" s="44">
        <v>2.0</v>
      </c>
      <c r="K207" s="44">
        <v>2.0</v>
      </c>
      <c r="L207" s="44">
        <v>1.0</v>
      </c>
      <c r="M207" s="66">
        <v>0.4835</v>
      </c>
      <c r="N207" s="67" t="s">
        <v>764</v>
      </c>
      <c r="O207" s="43" t="s">
        <v>1145</v>
      </c>
      <c r="P207" s="43" t="s">
        <v>1146</v>
      </c>
      <c r="Q207" s="43" t="s">
        <v>1147</v>
      </c>
    </row>
    <row r="208" ht="15.75" customHeight="1">
      <c r="A208" s="43" t="s">
        <v>1270</v>
      </c>
      <c r="B208" s="43" t="s">
        <v>605</v>
      </c>
      <c r="C208" s="43" t="s">
        <v>523</v>
      </c>
      <c r="D208" s="43" t="s">
        <v>872</v>
      </c>
      <c r="E208" s="43" t="s">
        <v>836</v>
      </c>
      <c r="F208" s="43" t="s">
        <v>798</v>
      </c>
      <c r="G208" s="44">
        <v>2023.0</v>
      </c>
      <c r="H208" s="44">
        <v>0.5752</v>
      </c>
      <c r="I208" s="44">
        <v>0.7738</v>
      </c>
      <c r="J208" s="44">
        <v>6.0</v>
      </c>
      <c r="K208" s="44">
        <v>4.0</v>
      </c>
      <c r="L208" s="44">
        <v>1.0</v>
      </c>
      <c r="M208" s="66">
        <v>8.4086</v>
      </c>
      <c r="N208" s="67" t="s">
        <v>764</v>
      </c>
      <c r="O208" s="43" t="s">
        <v>1145</v>
      </c>
      <c r="P208" s="43" t="s">
        <v>1146</v>
      </c>
      <c r="Q208" s="43" t="s">
        <v>1147</v>
      </c>
    </row>
    <row r="209" ht="15.75" customHeight="1">
      <c r="A209" s="43" t="s">
        <v>1271</v>
      </c>
      <c r="B209" s="43" t="s">
        <v>581</v>
      </c>
      <c r="C209" s="43" t="s">
        <v>468</v>
      </c>
      <c r="D209" s="43" t="s">
        <v>703</v>
      </c>
      <c r="E209" s="43" t="s">
        <v>784</v>
      </c>
      <c r="F209" s="43" t="s">
        <v>751</v>
      </c>
      <c r="G209" s="44">
        <v>2024.0</v>
      </c>
      <c r="H209" s="44">
        <v>0.3398</v>
      </c>
      <c r="I209" s="44">
        <v>0.3979</v>
      </c>
      <c r="J209" s="44">
        <v>6.0</v>
      </c>
      <c r="K209" s="44">
        <v>4.0</v>
      </c>
      <c r="L209" s="44">
        <v>1.0</v>
      </c>
      <c r="M209" s="66">
        <v>29.27</v>
      </c>
      <c r="N209" s="67" t="s">
        <v>764</v>
      </c>
      <c r="O209" s="43" t="s">
        <v>1145</v>
      </c>
      <c r="P209" s="43" t="s">
        <v>1146</v>
      </c>
      <c r="Q209" s="43" t="s">
        <v>1147</v>
      </c>
    </row>
    <row r="210" ht="15.75" customHeight="1">
      <c r="A210" s="43" t="s">
        <v>1273</v>
      </c>
      <c r="B210" s="43" t="s">
        <v>577</v>
      </c>
      <c r="C210" s="43" t="s">
        <v>372</v>
      </c>
      <c r="D210" s="43" t="s">
        <v>673</v>
      </c>
      <c r="E210" s="43" t="s">
        <v>836</v>
      </c>
      <c r="F210" s="43" t="s">
        <v>798</v>
      </c>
      <c r="G210" s="44">
        <v>2023.0</v>
      </c>
      <c r="H210" s="44">
        <v>0.1816</v>
      </c>
      <c r="I210" s="44">
        <v>0.2083</v>
      </c>
      <c r="J210" s="44">
        <v>2.0</v>
      </c>
      <c r="K210" s="44">
        <v>1.0</v>
      </c>
      <c r="L210" s="44">
        <v>1.0</v>
      </c>
      <c r="M210" s="66">
        <v>2.8648</v>
      </c>
      <c r="N210" s="67" t="s">
        <v>764</v>
      </c>
      <c r="O210" s="43" t="s">
        <v>1145</v>
      </c>
      <c r="P210" s="43" t="s">
        <v>1146</v>
      </c>
      <c r="Q210" s="43" t="s">
        <v>1147</v>
      </c>
    </row>
    <row r="211" ht="15.75" customHeight="1">
      <c r="A211" s="43" t="s">
        <v>1275</v>
      </c>
      <c r="B211" s="43" t="s">
        <v>581</v>
      </c>
      <c r="C211" s="43" t="s">
        <v>519</v>
      </c>
      <c r="D211" s="43" t="s">
        <v>748</v>
      </c>
      <c r="E211" s="43" t="s">
        <v>797</v>
      </c>
      <c r="F211" s="43" t="s">
        <v>798</v>
      </c>
      <c r="G211" s="44">
        <v>2023.0</v>
      </c>
      <c r="H211" s="44">
        <v>0.0328</v>
      </c>
      <c r="I211" s="44">
        <v>0.0361</v>
      </c>
      <c r="J211" s="44">
        <v>4.0</v>
      </c>
      <c r="K211" s="44">
        <v>3.0</v>
      </c>
      <c r="L211" s="44">
        <v>1.0</v>
      </c>
      <c r="M211" s="66">
        <v>0.209</v>
      </c>
      <c r="N211" s="67" t="s">
        <v>764</v>
      </c>
      <c r="O211" s="43" t="s">
        <v>1145</v>
      </c>
      <c r="P211" s="43" t="s">
        <v>1146</v>
      </c>
      <c r="Q211" s="43" t="s">
        <v>1147</v>
      </c>
    </row>
    <row r="212" ht="15.75" customHeight="1">
      <c r="A212" s="43" t="s">
        <v>1277</v>
      </c>
      <c r="B212" s="43" t="s">
        <v>581</v>
      </c>
      <c r="C212" s="43" t="s">
        <v>305</v>
      </c>
      <c r="D212" s="43" t="s">
        <v>788</v>
      </c>
      <c r="E212" s="43" t="s">
        <v>749</v>
      </c>
      <c r="F212" s="43" t="s">
        <v>751</v>
      </c>
      <c r="G212" s="44">
        <v>2024.0</v>
      </c>
      <c r="H212" s="44">
        <v>0.0045</v>
      </c>
      <c r="I212" s="44">
        <v>0.0051</v>
      </c>
      <c r="J212" s="44">
        <v>2.0</v>
      </c>
      <c r="K212" s="44">
        <v>2.0</v>
      </c>
      <c r="L212" s="44">
        <v>1.0</v>
      </c>
      <c r="M212" s="66">
        <v>0.31</v>
      </c>
      <c r="N212" s="67" t="s">
        <v>764</v>
      </c>
      <c r="O212" s="43" t="s">
        <v>1145</v>
      </c>
      <c r="P212" s="43" t="s">
        <v>1146</v>
      </c>
      <c r="Q212" s="43" t="s">
        <v>1147</v>
      </c>
    </row>
    <row r="213" ht="15.75" customHeight="1">
      <c r="A213" s="43" t="s">
        <v>1279</v>
      </c>
      <c r="B213" s="43" t="s">
        <v>603</v>
      </c>
      <c r="C213" s="43" t="s">
        <v>317</v>
      </c>
      <c r="D213" s="43" t="s">
        <v>917</v>
      </c>
      <c r="E213" s="43" t="s">
        <v>842</v>
      </c>
      <c r="F213" s="43" t="s">
        <v>751</v>
      </c>
      <c r="G213" s="44">
        <v>2024.0</v>
      </c>
      <c r="H213" s="44">
        <v>0.2281</v>
      </c>
      <c r="I213" s="44">
        <v>0.2726</v>
      </c>
      <c r="J213" s="44">
        <v>2.0</v>
      </c>
      <c r="K213" s="44">
        <v>2.0</v>
      </c>
      <c r="L213" s="44">
        <v>1.0</v>
      </c>
      <c r="M213" s="66">
        <v>16.11</v>
      </c>
      <c r="N213" s="67" t="s">
        <v>764</v>
      </c>
      <c r="O213" s="43" t="s">
        <v>1145</v>
      </c>
      <c r="P213" s="43" t="s">
        <v>1146</v>
      </c>
      <c r="Q213" s="43" t="s">
        <v>1147</v>
      </c>
    </row>
    <row r="214" ht="15.75" customHeight="1">
      <c r="A214" s="43" t="s">
        <v>1281</v>
      </c>
      <c r="B214" s="43" t="s">
        <v>577</v>
      </c>
      <c r="C214" s="43" t="s">
        <v>294</v>
      </c>
      <c r="D214" s="43" t="s">
        <v>684</v>
      </c>
      <c r="E214" s="43" t="s">
        <v>826</v>
      </c>
      <c r="F214" s="43" t="s">
        <v>751</v>
      </c>
      <c r="G214" s="44">
        <v>2024.0</v>
      </c>
      <c r="H214" s="44">
        <v>0.3293</v>
      </c>
      <c r="I214" s="44">
        <v>0.3854</v>
      </c>
      <c r="J214" s="44">
        <v>2.0</v>
      </c>
      <c r="K214" s="44">
        <v>2.0</v>
      </c>
      <c r="L214" s="44">
        <v>1.0</v>
      </c>
      <c r="M214" s="66">
        <v>29.56</v>
      </c>
      <c r="N214" s="67" t="s">
        <v>764</v>
      </c>
      <c r="O214" s="43" t="s">
        <v>1145</v>
      </c>
      <c r="P214" s="43" t="s">
        <v>1146</v>
      </c>
      <c r="Q214" s="43" t="s">
        <v>1147</v>
      </c>
    </row>
    <row r="215" ht="15.75" customHeight="1">
      <c r="A215" s="43" t="s">
        <v>1282</v>
      </c>
      <c r="B215" s="43" t="s">
        <v>581</v>
      </c>
      <c r="C215" s="43" t="s">
        <v>517</v>
      </c>
      <c r="D215" s="43" t="s">
        <v>763</v>
      </c>
      <c r="E215" s="43" t="s">
        <v>836</v>
      </c>
      <c r="F215" s="43" t="s">
        <v>798</v>
      </c>
      <c r="G215" s="44">
        <v>2023.0</v>
      </c>
      <c r="H215" s="44">
        <v>0.1828</v>
      </c>
      <c r="I215" s="44">
        <v>0.2066</v>
      </c>
      <c r="J215" s="44">
        <v>8.0</v>
      </c>
      <c r="K215" s="44">
        <v>4.0</v>
      </c>
      <c r="L215" s="44">
        <v>1.0</v>
      </c>
      <c r="M215" s="66">
        <v>3.1522</v>
      </c>
      <c r="N215" s="67" t="s">
        <v>764</v>
      </c>
      <c r="O215" s="43" t="s">
        <v>1145</v>
      </c>
      <c r="P215" s="43" t="s">
        <v>1146</v>
      </c>
      <c r="Q215" s="43" t="s">
        <v>1147</v>
      </c>
    </row>
    <row r="216" ht="15.75" customHeight="1">
      <c r="A216" s="43" t="s">
        <v>1284</v>
      </c>
      <c r="B216" s="43" t="s">
        <v>581</v>
      </c>
      <c r="C216" s="43" t="s">
        <v>515</v>
      </c>
      <c r="D216" s="43" t="s">
        <v>709</v>
      </c>
      <c r="E216" s="43" t="s">
        <v>836</v>
      </c>
      <c r="F216" s="43" t="s">
        <v>798</v>
      </c>
      <c r="G216" s="44">
        <v>2023.0</v>
      </c>
      <c r="H216" s="44">
        <v>0.0992</v>
      </c>
      <c r="I216" s="44">
        <v>0.1192</v>
      </c>
      <c r="J216" s="44">
        <v>2.0</v>
      </c>
      <c r="K216" s="44">
        <v>1.0</v>
      </c>
      <c r="L216" s="44">
        <v>1.0</v>
      </c>
      <c r="M216" s="66">
        <v>1.2345</v>
      </c>
      <c r="N216" s="67" t="s">
        <v>764</v>
      </c>
      <c r="O216" s="43" t="s">
        <v>1145</v>
      </c>
      <c r="P216" s="43" t="s">
        <v>1146</v>
      </c>
      <c r="Q216" s="43" t="s">
        <v>1147</v>
      </c>
    </row>
    <row r="217" ht="15.75" customHeight="1">
      <c r="A217" s="43" t="s">
        <v>1286</v>
      </c>
      <c r="B217" s="43" t="s">
        <v>577</v>
      </c>
      <c r="C217" s="43" t="s">
        <v>328</v>
      </c>
      <c r="D217" s="43" t="s">
        <v>699</v>
      </c>
      <c r="E217" s="43" t="s">
        <v>817</v>
      </c>
      <c r="F217" s="43" t="s">
        <v>798</v>
      </c>
      <c r="G217" s="44">
        <v>2023.0</v>
      </c>
      <c r="H217" s="44">
        <v>0.1113</v>
      </c>
      <c r="I217" s="44">
        <v>0.1323</v>
      </c>
      <c r="J217" s="44">
        <v>2.0</v>
      </c>
      <c r="K217" s="44">
        <v>1.0</v>
      </c>
      <c r="L217" s="44">
        <v>1.0</v>
      </c>
      <c r="M217" s="66">
        <v>0.4962</v>
      </c>
      <c r="N217" s="67" t="s">
        <v>764</v>
      </c>
      <c r="O217" s="43" t="s">
        <v>1145</v>
      </c>
      <c r="P217" s="43" t="s">
        <v>1146</v>
      </c>
      <c r="Q217" s="43" t="s">
        <v>1147</v>
      </c>
    </row>
    <row r="218" ht="15.75" customHeight="1">
      <c r="A218" s="43" t="s">
        <v>1288</v>
      </c>
      <c r="B218" s="43" t="s">
        <v>581</v>
      </c>
      <c r="C218" s="43" t="s">
        <v>519</v>
      </c>
      <c r="D218" s="43" t="s">
        <v>748</v>
      </c>
      <c r="E218" s="43" t="s">
        <v>826</v>
      </c>
      <c r="F218" s="43" t="s">
        <v>751</v>
      </c>
      <c r="G218" s="44">
        <v>2024.0</v>
      </c>
      <c r="H218" s="44">
        <v>0.5671</v>
      </c>
      <c r="I218" s="44">
        <v>0.6631</v>
      </c>
      <c r="J218" s="44">
        <v>7.0</v>
      </c>
      <c r="K218" s="44">
        <v>3.0</v>
      </c>
      <c r="L218" s="44">
        <v>1.0</v>
      </c>
      <c r="M218" s="66">
        <v>49.2</v>
      </c>
      <c r="N218" s="67" t="s">
        <v>764</v>
      </c>
      <c r="O218" s="43" t="s">
        <v>1145</v>
      </c>
      <c r="P218" s="43" t="s">
        <v>1146</v>
      </c>
      <c r="Q218" s="43" t="s">
        <v>1147</v>
      </c>
    </row>
    <row r="219" ht="15.75" customHeight="1">
      <c r="A219" s="43" t="s">
        <v>1290</v>
      </c>
      <c r="B219" s="43" t="s">
        <v>581</v>
      </c>
      <c r="C219" s="43" t="s">
        <v>336</v>
      </c>
      <c r="D219" s="43" t="s">
        <v>755</v>
      </c>
      <c r="E219" s="43" t="s">
        <v>797</v>
      </c>
      <c r="F219" s="43" t="s">
        <v>798</v>
      </c>
      <c r="G219" s="44">
        <v>2023.0</v>
      </c>
      <c r="H219" s="44">
        <v>0.0845</v>
      </c>
      <c r="I219" s="44">
        <v>0.1136</v>
      </c>
      <c r="J219" s="44">
        <v>2.0</v>
      </c>
      <c r="K219" s="44">
        <v>1.0</v>
      </c>
      <c r="L219" s="44">
        <v>1.0</v>
      </c>
      <c r="M219" s="66">
        <v>0.4552</v>
      </c>
      <c r="N219" s="67" t="s">
        <v>764</v>
      </c>
      <c r="O219" s="43" t="s">
        <v>1145</v>
      </c>
      <c r="P219" s="43" t="s">
        <v>1146</v>
      </c>
      <c r="Q219" s="43" t="s">
        <v>1147</v>
      </c>
    </row>
    <row r="220" ht="15.75" customHeight="1">
      <c r="A220" s="43" t="s">
        <v>1291</v>
      </c>
      <c r="B220" s="43" t="s">
        <v>577</v>
      </c>
      <c r="C220" s="43" t="s">
        <v>51</v>
      </c>
      <c r="D220" s="43" t="s">
        <v>641</v>
      </c>
      <c r="E220" s="43" t="s">
        <v>836</v>
      </c>
      <c r="F220" s="43" t="s">
        <v>798</v>
      </c>
      <c r="G220" s="44">
        <v>2023.0</v>
      </c>
      <c r="H220" s="44">
        <v>0.504</v>
      </c>
      <c r="I220" s="44">
        <v>0.5505</v>
      </c>
      <c r="J220" s="44">
        <v>7.0</v>
      </c>
      <c r="K220" s="44">
        <v>3.0</v>
      </c>
      <c r="L220" s="44">
        <v>1.0</v>
      </c>
      <c r="M220" s="66">
        <v>5.1562</v>
      </c>
      <c r="N220" s="67" t="s">
        <v>764</v>
      </c>
      <c r="O220" s="43" t="s">
        <v>1145</v>
      </c>
      <c r="P220" s="43" t="s">
        <v>1146</v>
      </c>
      <c r="Q220" s="43" t="s">
        <v>1147</v>
      </c>
    </row>
    <row r="221" ht="15.75" customHeight="1">
      <c r="A221" s="43" t="s">
        <v>1293</v>
      </c>
      <c r="B221" s="43" t="s">
        <v>581</v>
      </c>
      <c r="C221" s="43" t="s">
        <v>336</v>
      </c>
      <c r="D221" s="43" t="s">
        <v>755</v>
      </c>
      <c r="E221" s="43" t="s">
        <v>749</v>
      </c>
      <c r="F221" s="43" t="s">
        <v>751</v>
      </c>
      <c r="G221" s="44">
        <v>2024.0</v>
      </c>
      <c r="H221" s="44">
        <v>0.0061</v>
      </c>
      <c r="I221" s="44">
        <v>0.0072</v>
      </c>
      <c r="J221" s="44">
        <v>2.0</v>
      </c>
      <c r="K221" s="44">
        <v>1.0</v>
      </c>
      <c r="L221" s="44">
        <v>1.0</v>
      </c>
      <c r="M221" s="66">
        <v>0.42</v>
      </c>
      <c r="N221" s="67" t="s">
        <v>764</v>
      </c>
      <c r="O221" s="43" t="s">
        <v>1145</v>
      </c>
      <c r="P221" s="43" t="s">
        <v>1146</v>
      </c>
      <c r="Q221" s="43" t="s">
        <v>1147</v>
      </c>
    </row>
    <row r="222" ht="15.75" customHeight="1">
      <c r="A222" s="43" t="s">
        <v>1295</v>
      </c>
      <c r="B222" s="43" t="s">
        <v>596</v>
      </c>
      <c r="C222" s="43" t="s">
        <v>443</v>
      </c>
      <c r="D222" s="43" t="s">
        <v>808</v>
      </c>
      <c r="E222" s="43" t="s">
        <v>817</v>
      </c>
      <c r="F222" s="43" t="s">
        <v>798</v>
      </c>
      <c r="G222" s="44">
        <v>2023.0</v>
      </c>
      <c r="H222" s="44">
        <v>0.0873</v>
      </c>
      <c r="I222" s="44">
        <v>0.0961</v>
      </c>
      <c r="J222" s="44">
        <v>2.0</v>
      </c>
      <c r="K222" s="44">
        <v>1.0</v>
      </c>
      <c r="L222" s="44">
        <v>1.0</v>
      </c>
      <c r="M222" s="66">
        <v>0.4654</v>
      </c>
      <c r="N222" s="67" t="s">
        <v>764</v>
      </c>
      <c r="O222" s="43" t="s">
        <v>1145</v>
      </c>
      <c r="P222" s="43" t="s">
        <v>1146</v>
      </c>
      <c r="Q222" s="43" t="s">
        <v>1147</v>
      </c>
    </row>
    <row r="223" ht="15.75" customHeight="1">
      <c r="A223" s="43" t="s">
        <v>1297</v>
      </c>
      <c r="B223" s="43" t="s">
        <v>603</v>
      </c>
      <c r="C223" s="43" t="s">
        <v>317</v>
      </c>
      <c r="D223" s="43" t="s">
        <v>917</v>
      </c>
      <c r="E223" s="43" t="s">
        <v>797</v>
      </c>
      <c r="F223" s="43" t="s">
        <v>798</v>
      </c>
      <c r="G223" s="44">
        <v>2023.0</v>
      </c>
      <c r="H223" s="44">
        <v>0.0881</v>
      </c>
      <c r="I223" s="44">
        <v>0.102</v>
      </c>
      <c r="J223" s="44">
        <v>2.0</v>
      </c>
      <c r="K223" s="44">
        <v>1.0</v>
      </c>
      <c r="L223" s="44">
        <v>1.0</v>
      </c>
      <c r="M223" s="66">
        <v>0.4557</v>
      </c>
      <c r="N223" s="67" t="s">
        <v>764</v>
      </c>
      <c r="O223" s="43" t="s">
        <v>1145</v>
      </c>
      <c r="P223" s="43" t="s">
        <v>1146</v>
      </c>
      <c r="Q223" s="43" t="s">
        <v>1147</v>
      </c>
    </row>
    <row r="224" ht="15.75" customHeight="1">
      <c r="A224" s="43" t="s">
        <v>1299</v>
      </c>
      <c r="B224" s="43" t="s">
        <v>581</v>
      </c>
      <c r="C224" s="43" t="s">
        <v>479</v>
      </c>
      <c r="D224" s="43" t="s">
        <v>811</v>
      </c>
      <c r="E224" s="43" t="s">
        <v>836</v>
      </c>
      <c r="F224" s="43" t="s">
        <v>798</v>
      </c>
      <c r="G224" s="44">
        <v>2023.0</v>
      </c>
      <c r="H224" s="44">
        <v>0.0982</v>
      </c>
      <c r="I224" s="44">
        <v>0.1122</v>
      </c>
      <c r="J224" s="44">
        <v>2.0</v>
      </c>
      <c r="K224" s="44">
        <v>1.0</v>
      </c>
      <c r="L224" s="44">
        <v>1.0</v>
      </c>
      <c r="M224" s="66">
        <v>0.9087</v>
      </c>
      <c r="N224" s="67" t="s">
        <v>764</v>
      </c>
      <c r="O224" s="43" t="s">
        <v>1145</v>
      </c>
      <c r="P224" s="43" t="s">
        <v>1146</v>
      </c>
      <c r="Q224" s="43" t="s">
        <v>1147</v>
      </c>
    </row>
    <row r="225" ht="15.75" customHeight="1">
      <c r="A225" s="43" t="s">
        <v>1301</v>
      </c>
      <c r="B225" s="43" t="s">
        <v>596</v>
      </c>
      <c r="C225" s="43" t="s">
        <v>265</v>
      </c>
      <c r="D225" s="43" t="s">
        <v>829</v>
      </c>
      <c r="E225" s="43" t="s">
        <v>817</v>
      </c>
      <c r="F225" s="43" t="s">
        <v>798</v>
      </c>
      <c r="G225" s="44">
        <v>2023.0</v>
      </c>
      <c r="H225" s="44">
        <v>0.1115</v>
      </c>
      <c r="I225" s="44">
        <v>0.1479</v>
      </c>
      <c r="J225" s="44">
        <v>4.0</v>
      </c>
      <c r="K225" s="44">
        <v>3.0</v>
      </c>
      <c r="L225" s="44">
        <v>1.0</v>
      </c>
      <c r="M225" s="66">
        <v>0.6381</v>
      </c>
      <c r="N225" s="67" t="s">
        <v>764</v>
      </c>
      <c r="O225" s="43" t="s">
        <v>1145</v>
      </c>
      <c r="P225" s="43" t="s">
        <v>1146</v>
      </c>
      <c r="Q225" s="43" t="s">
        <v>1147</v>
      </c>
    </row>
    <row r="226" ht="15.75" customHeight="1">
      <c r="A226" s="43" t="s">
        <v>1302</v>
      </c>
      <c r="B226" s="43" t="s">
        <v>581</v>
      </c>
      <c r="C226" s="43" t="s">
        <v>505</v>
      </c>
      <c r="D226" s="43" t="s">
        <v>799</v>
      </c>
      <c r="E226" s="43" t="s">
        <v>797</v>
      </c>
      <c r="F226" s="43" t="s">
        <v>798</v>
      </c>
      <c r="G226" s="44">
        <v>2023.0</v>
      </c>
      <c r="H226" s="44">
        <v>0.0659</v>
      </c>
      <c r="I226" s="44">
        <v>0.0755</v>
      </c>
      <c r="J226" s="44">
        <v>2.0</v>
      </c>
      <c r="K226" s="44">
        <v>1.0</v>
      </c>
      <c r="L226" s="44">
        <v>1.0</v>
      </c>
      <c r="M226" s="66">
        <v>0.2818</v>
      </c>
      <c r="N226" s="67" t="s">
        <v>764</v>
      </c>
      <c r="O226" s="43" t="s">
        <v>1145</v>
      </c>
      <c r="P226" s="43" t="s">
        <v>1146</v>
      </c>
      <c r="Q226" s="43" t="s">
        <v>1147</v>
      </c>
    </row>
    <row r="227" ht="15.75" customHeight="1">
      <c r="A227" s="43" t="s">
        <v>1304</v>
      </c>
      <c r="B227" s="43" t="s">
        <v>581</v>
      </c>
      <c r="C227" s="43" t="s">
        <v>519</v>
      </c>
      <c r="D227" s="43" t="s">
        <v>748</v>
      </c>
      <c r="E227" s="43" t="s">
        <v>817</v>
      </c>
      <c r="F227" s="43" t="s">
        <v>798</v>
      </c>
      <c r="G227" s="44">
        <v>2023.0</v>
      </c>
      <c r="H227" s="44">
        <v>0.0373</v>
      </c>
      <c r="I227" s="44">
        <v>0.0459</v>
      </c>
      <c r="J227" s="44">
        <v>2.0</v>
      </c>
      <c r="K227" s="44">
        <v>1.0</v>
      </c>
      <c r="L227" s="44">
        <v>1.0</v>
      </c>
      <c r="M227" s="66">
        <v>0.2629</v>
      </c>
      <c r="N227" s="67" t="s">
        <v>764</v>
      </c>
      <c r="O227" s="43" t="s">
        <v>1145</v>
      </c>
      <c r="P227" s="43" t="s">
        <v>1146</v>
      </c>
      <c r="Q227" s="43" t="s">
        <v>1147</v>
      </c>
    </row>
    <row r="228" ht="15.75" customHeight="1">
      <c r="A228" s="43" t="s">
        <v>1306</v>
      </c>
      <c r="B228" s="43" t="s">
        <v>577</v>
      </c>
      <c r="C228" s="43" t="s">
        <v>463</v>
      </c>
      <c r="D228" s="43" t="s">
        <v>662</v>
      </c>
      <c r="E228" s="43" t="s">
        <v>797</v>
      </c>
      <c r="F228" s="43" t="s">
        <v>798</v>
      </c>
      <c r="G228" s="44">
        <v>2023.0</v>
      </c>
      <c r="H228" s="44">
        <v>0.0457</v>
      </c>
      <c r="I228" s="44">
        <v>0.0602</v>
      </c>
      <c r="J228" s="44">
        <v>2.0</v>
      </c>
      <c r="K228" s="44">
        <v>1.0</v>
      </c>
      <c r="L228" s="44">
        <v>1.0</v>
      </c>
      <c r="M228" s="66">
        <v>0.2408</v>
      </c>
      <c r="N228" s="67" t="s">
        <v>764</v>
      </c>
      <c r="O228" s="43" t="s">
        <v>1145</v>
      </c>
      <c r="P228" s="43" t="s">
        <v>1146</v>
      </c>
      <c r="Q228" s="43" t="s">
        <v>1147</v>
      </c>
    </row>
    <row r="229" ht="15.75" customHeight="1">
      <c r="A229" s="43" t="s">
        <v>1308</v>
      </c>
      <c r="B229" s="43" t="s">
        <v>577</v>
      </c>
      <c r="C229" s="43" t="s">
        <v>487</v>
      </c>
      <c r="D229" s="43" t="s">
        <v>677</v>
      </c>
      <c r="E229" s="43" t="s">
        <v>826</v>
      </c>
      <c r="F229" s="43" t="s">
        <v>751</v>
      </c>
      <c r="G229" s="44">
        <v>2024.0</v>
      </c>
      <c r="H229" s="44">
        <v>0.8393</v>
      </c>
      <c r="I229" s="44">
        <v>0.9081</v>
      </c>
      <c r="J229" s="44">
        <v>9.0</v>
      </c>
      <c r="K229" s="44">
        <v>4.0</v>
      </c>
      <c r="L229" s="44">
        <v>1.0</v>
      </c>
      <c r="M229" s="66">
        <v>63.83</v>
      </c>
      <c r="N229" s="67" t="s">
        <v>764</v>
      </c>
      <c r="O229" s="43" t="s">
        <v>1145</v>
      </c>
      <c r="P229" s="43" t="s">
        <v>1146</v>
      </c>
      <c r="Q229" s="43" t="s">
        <v>1147</v>
      </c>
    </row>
    <row r="230" ht="15.75" customHeight="1">
      <c r="A230" s="43" t="s">
        <v>1310</v>
      </c>
      <c r="B230" s="43" t="s">
        <v>581</v>
      </c>
      <c r="C230" s="43" t="s">
        <v>430</v>
      </c>
      <c r="D230" s="43" t="s">
        <v>741</v>
      </c>
      <c r="E230" s="43" t="s">
        <v>836</v>
      </c>
      <c r="F230" s="43" t="s">
        <v>798</v>
      </c>
      <c r="G230" s="44">
        <v>2023.0</v>
      </c>
      <c r="H230" s="44">
        <v>0.5921</v>
      </c>
      <c r="I230" s="44">
        <v>0.7408</v>
      </c>
      <c r="J230" s="44">
        <v>5.0</v>
      </c>
      <c r="K230" s="44">
        <v>2.0</v>
      </c>
      <c r="L230" s="44">
        <v>1.0</v>
      </c>
      <c r="M230" s="66">
        <v>7.2218</v>
      </c>
      <c r="N230" s="67" t="s">
        <v>764</v>
      </c>
      <c r="O230" s="43" t="s">
        <v>1145</v>
      </c>
      <c r="P230" s="43" t="s">
        <v>1146</v>
      </c>
      <c r="Q230" s="43" t="s">
        <v>1147</v>
      </c>
    </row>
    <row r="231" ht="15.75" customHeight="1">
      <c r="A231" s="43" t="s">
        <v>1311</v>
      </c>
      <c r="B231" s="43" t="s">
        <v>581</v>
      </c>
      <c r="C231" s="43" t="s">
        <v>104</v>
      </c>
      <c r="D231" s="43" t="s">
        <v>729</v>
      </c>
      <c r="E231" s="43" t="s">
        <v>817</v>
      </c>
      <c r="F231" s="43" t="s">
        <v>798</v>
      </c>
      <c r="G231" s="44">
        <v>2023.0</v>
      </c>
      <c r="H231" s="44">
        <v>0.1725</v>
      </c>
      <c r="I231" s="44">
        <v>0.2243</v>
      </c>
      <c r="J231" s="44">
        <v>5.0</v>
      </c>
      <c r="K231" s="44">
        <v>4.0</v>
      </c>
      <c r="L231" s="44">
        <v>1.0</v>
      </c>
      <c r="M231" s="66">
        <v>0.9603</v>
      </c>
      <c r="N231" s="67" t="s">
        <v>764</v>
      </c>
      <c r="O231" s="43" t="s">
        <v>1145</v>
      </c>
      <c r="P231" s="43" t="s">
        <v>1146</v>
      </c>
      <c r="Q231" s="43" t="s">
        <v>1147</v>
      </c>
    </row>
    <row r="232" ht="15.75" customHeight="1">
      <c r="A232" s="43" t="s">
        <v>1313</v>
      </c>
      <c r="B232" s="43" t="s">
        <v>577</v>
      </c>
      <c r="C232" s="43" t="s">
        <v>485</v>
      </c>
      <c r="D232" s="43" t="s">
        <v>637</v>
      </c>
      <c r="E232" s="43" t="s">
        <v>749</v>
      </c>
      <c r="F232" s="43" t="s">
        <v>751</v>
      </c>
      <c r="G232" s="44">
        <v>2024.0</v>
      </c>
      <c r="H232" s="44">
        <v>0.008</v>
      </c>
      <c r="I232" s="44">
        <v>0.0087</v>
      </c>
      <c r="J232" s="44">
        <v>3.0</v>
      </c>
      <c r="K232" s="44">
        <v>2.0</v>
      </c>
      <c r="L232" s="44">
        <v>1.0</v>
      </c>
      <c r="M232" s="66">
        <v>0.76</v>
      </c>
      <c r="N232" s="67" t="s">
        <v>764</v>
      </c>
      <c r="O232" s="43" t="s">
        <v>1145</v>
      </c>
      <c r="P232" s="43" t="s">
        <v>1146</v>
      </c>
      <c r="Q232" s="43" t="s">
        <v>1147</v>
      </c>
    </row>
    <row r="233" ht="15.75" customHeight="1">
      <c r="A233" s="43" t="s">
        <v>1315</v>
      </c>
      <c r="B233" s="43" t="s">
        <v>577</v>
      </c>
      <c r="C233" s="43" t="s">
        <v>513</v>
      </c>
      <c r="D233" s="43" t="s">
        <v>666</v>
      </c>
      <c r="E233" s="43" t="s">
        <v>836</v>
      </c>
      <c r="F233" s="43" t="s">
        <v>798</v>
      </c>
      <c r="G233" s="44">
        <v>2023.0</v>
      </c>
      <c r="H233" s="44">
        <v>0.0601</v>
      </c>
      <c r="I233" s="44">
        <v>0.0654</v>
      </c>
      <c r="J233" s="44">
        <v>2.0</v>
      </c>
      <c r="K233" s="44">
        <v>1.0</v>
      </c>
      <c r="L233" s="44">
        <v>1.0</v>
      </c>
      <c r="M233" s="66">
        <v>0.7017</v>
      </c>
      <c r="N233" s="67" t="s">
        <v>764</v>
      </c>
      <c r="O233" s="43" t="s">
        <v>1145</v>
      </c>
      <c r="P233" s="43" t="s">
        <v>1146</v>
      </c>
      <c r="Q233" s="43" t="s">
        <v>1147</v>
      </c>
    </row>
    <row r="234" ht="15.75" customHeight="1">
      <c r="A234" s="43" t="s">
        <v>1317</v>
      </c>
      <c r="B234" s="43" t="s">
        <v>577</v>
      </c>
      <c r="C234" s="43" t="s">
        <v>414</v>
      </c>
      <c r="D234" s="43" t="s">
        <v>647</v>
      </c>
      <c r="E234" s="43" t="s">
        <v>836</v>
      </c>
      <c r="F234" s="43" t="s">
        <v>798</v>
      </c>
      <c r="G234" s="44">
        <v>2023.0</v>
      </c>
      <c r="H234" s="44">
        <v>0.157</v>
      </c>
      <c r="I234" s="44">
        <v>0.1979</v>
      </c>
      <c r="J234" s="44">
        <v>3.0</v>
      </c>
      <c r="K234" s="44">
        <v>2.0</v>
      </c>
      <c r="L234" s="44">
        <v>1.0</v>
      </c>
      <c r="M234" s="66">
        <v>1.5288</v>
      </c>
      <c r="N234" s="67" t="s">
        <v>764</v>
      </c>
      <c r="O234" s="43" t="s">
        <v>1145</v>
      </c>
      <c r="P234" s="43" t="s">
        <v>1146</v>
      </c>
      <c r="Q234" s="43" t="s">
        <v>1147</v>
      </c>
    </row>
    <row r="235" ht="15.75" customHeight="1">
      <c r="A235" s="43" t="s">
        <v>1319</v>
      </c>
      <c r="B235" s="43" t="s">
        <v>603</v>
      </c>
      <c r="C235" s="43" t="s">
        <v>146</v>
      </c>
      <c r="D235" s="43" t="s">
        <v>906</v>
      </c>
      <c r="E235" s="43" t="s">
        <v>836</v>
      </c>
      <c r="F235" s="43" t="s">
        <v>798</v>
      </c>
      <c r="G235" s="44">
        <v>2023.0</v>
      </c>
      <c r="H235" s="44">
        <v>0.4414</v>
      </c>
      <c r="I235" s="44">
        <v>0.5042</v>
      </c>
      <c r="J235" s="44">
        <v>0.0</v>
      </c>
      <c r="K235" s="44">
        <v>2.0</v>
      </c>
      <c r="L235" s="44">
        <v>1.0</v>
      </c>
      <c r="M235" s="66">
        <v>7.5552</v>
      </c>
      <c r="N235" s="67" t="s">
        <v>764</v>
      </c>
      <c r="O235" s="43" t="s">
        <v>1145</v>
      </c>
      <c r="P235" s="43" t="s">
        <v>1146</v>
      </c>
      <c r="Q235" s="43" t="s">
        <v>1147</v>
      </c>
    </row>
    <row r="236" ht="15.75" customHeight="1">
      <c r="A236" s="43" t="s">
        <v>1322</v>
      </c>
      <c r="B236" s="43" t="s">
        <v>581</v>
      </c>
      <c r="C236" s="43" t="s">
        <v>202</v>
      </c>
      <c r="D236" s="43" t="s">
        <v>803</v>
      </c>
      <c r="E236" s="43" t="s">
        <v>842</v>
      </c>
      <c r="F236" s="43" t="s">
        <v>751</v>
      </c>
      <c r="G236" s="44">
        <v>2024.0</v>
      </c>
      <c r="H236" s="44">
        <v>1.1287</v>
      </c>
      <c r="I236" s="44">
        <v>1.3842</v>
      </c>
      <c r="J236" s="44">
        <v>13.0</v>
      </c>
      <c r="K236" s="44">
        <v>7.0</v>
      </c>
      <c r="L236" s="44">
        <v>1.0</v>
      </c>
      <c r="M236" s="66">
        <v>107.39</v>
      </c>
      <c r="N236" s="67" t="s">
        <v>764</v>
      </c>
      <c r="O236" s="43" t="s">
        <v>1145</v>
      </c>
      <c r="P236" s="43" t="s">
        <v>1146</v>
      </c>
      <c r="Q236" s="43" t="s">
        <v>1147</v>
      </c>
    </row>
    <row r="237" ht="15.75" customHeight="1">
      <c r="A237" s="43" t="s">
        <v>1324</v>
      </c>
      <c r="B237" s="43" t="s">
        <v>581</v>
      </c>
      <c r="C237" s="43" t="s">
        <v>517</v>
      </c>
      <c r="D237" s="43" t="s">
        <v>763</v>
      </c>
      <c r="E237" s="43" t="s">
        <v>826</v>
      </c>
      <c r="F237" s="43" t="s">
        <v>751</v>
      </c>
      <c r="G237" s="44">
        <v>2024.0</v>
      </c>
      <c r="H237" s="44">
        <v>0.5347</v>
      </c>
      <c r="I237" s="44">
        <v>0.67</v>
      </c>
      <c r="J237" s="44">
        <v>10.0</v>
      </c>
      <c r="K237" s="44">
        <v>9.0</v>
      </c>
      <c r="L237" s="44">
        <v>1.0</v>
      </c>
      <c r="M237" s="66">
        <v>52.27</v>
      </c>
      <c r="N237" s="67" t="s">
        <v>764</v>
      </c>
      <c r="O237" s="43" t="s">
        <v>1145</v>
      </c>
      <c r="P237" s="43" t="s">
        <v>1146</v>
      </c>
      <c r="Q237" s="43" t="s">
        <v>1147</v>
      </c>
    </row>
    <row r="238" ht="15.75" customHeight="1">
      <c r="A238" s="43" t="s">
        <v>1326</v>
      </c>
      <c r="B238" s="43" t="s">
        <v>603</v>
      </c>
      <c r="C238" s="43" t="s">
        <v>401</v>
      </c>
      <c r="D238" s="43" t="s">
        <v>895</v>
      </c>
      <c r="E238" s="43" t="s">
        <v>784</v>
      </c>
      <c r="F238" s="43" t="s">
        <v>751</v>
      </c>
      <c r="G238" s="44">
        <v>2024.0</v>
      </c>
      <c r="H238" s="44">
        <v>0.3511</v>
      </c>
      <c r="I238" s="44">
        <v>0.4209</v>
      </c>
      <c r="J238" s="44">
        <v>3.0</v>
      </c>
      <c r="K238" s="44">
        <v>3.0</v>
      </c>
      <c r="L238" s="44">
        <v>1.0</v>
      </c>
      <c r="M238" s="66">
        <v>28.68</v>
      </c>
      <c r="N238" s="67" t="s">
        <v>764</v>
      </c>
      <c r="O238" s="43" t="s">
        <v>1145</v>
      </c>
      <c r="P238" s="43" t="s">
        <v>1146</v>
      </c>
      <c r="Q238" s="43" t="s">
        <v>1147</v>
      </c>
    </row>
    <row r="239" ht="15.75" customHeight="1">
      <c r="A239" s="43" t="s">
        <v>1327</v>
      </c>
      <c r="B239" s="43" t="s">
        <v>596</v>
      </c>
      <c r="C239" s="43" t="s">
        <v>507</v>
      </c>
      <c r="D239" s="43" t="s">
        <v>864</v>
      </c>
      <c r="E239" s="43" t="s">
        <v>826</v>
      </c>
      <c r="F239" s="43" t="s">
        <v>751</v>
      </c>
      <c r="G239" s="44">
        <v>2024.0</v>
      </c>
      <c r="H239" s="44">
        <v>0.108</v>
      </c>
      <c r="I239" s="44">
        <v>0.1209</v>
      </c>
      <c r="J239" s="44">
        <v>2.0</v>
      </c>
      <c r="K239" s="44">
        <v>1.0</v>
      </c>
      <c r="L239" s="44">
        <v>1.0</v>
      </c>
      <c r="M239" s="66">
        <v>8.29</v>
      </c>
      <c r="N239" s="67" t="s">
        <v>764</v>
      </c>
      <c r="O239" s="43" t="s">
        <v>1145</v>
      </c>
      <c r="P239" s="43" t="s">
        <v>1146</v>
      </c>
      <c r="Q239" s="43" t="s">
        <v>1147</v>
      </c>
    </row>
    <row r="240" ht="15.75" customHeight="1">
      <c r="A240" s="43" t="s">
        <v>1329</v>
      </c>
      <c r="B240" s="43" t="s">
        <v>581</v>
      </c>
      <c r="C240" s="43" t="s">
        <v>202</v>
      </c>
      <c r="D240" s="43" t="s">
        <v>803</v>
      </c>
      <c r="E240" s="43" t="s">
        <v>797</v>
      </c>
      <c r="F240" s="43" t="s">
        <v>798</v>
      </c>
      <c r="G240" s="44">
        <v>2023.0</v>
      </c>
      <c r="H240" s="44">
        <v>0.0235</v>
      </c>
      <c r="I240" s="44">
        <v>0.0312</v>
      </c>
      <c r="J240" s="44">
        <v>2.0</v>
      </c>
      <c r="K240" s="44">
        <v>1.0</v>
      </c>
      <c r="L240" s="44">
        <v>1.0</v>
      </c>
      <c r="M240" s="66">
        <v>0.0936</v>
      </c>
      <c r="N240" s="67" t="s">
        <v>764</v>
      </c>
      <c r="O240" s="43" t="s">
        <v>1145</v>
      </c>
      <c r="P240" s="43" t="s">
        <v>1146</v>
      </c>
      <c r="Q240" s="43" t="s">
        <v>1147</v>
      </c>
    </row>
    <row r="241" ht="15.75" customHeight="1">
      <c r="A241" s="43" t="s">
        <v>1331</v>
      </c>
      <c r="B241" s="43" t="s">
        <v>596</v>
      </c>
      <c r="C241" s="43" t="s">
        <v>443</v>
      </c>
      <c r="D241" s="43" t="s">
        <v>808</v>
      </c>
      <c r="E241" s="43" t="s">
        <v>842</v>
      </c>
      <c r="F241" s="43" t="s">
        <v>751</v>
      </c>
      <c r="G241" s="44">
        <v>2024.0</v>
      </c>
      <c r="H241" s="44">
        <v>2.0648</v>
      </c>
      <c r="I241" s="44">
        <v>2.5755</v>
      </c>
      <c r="J241" s="44">
        <v>22.0</v>
      </c>
      <c r="K241" s="44">
        <v>18.0</v>
      </c>
      <c r="L241" s="44">
        <v>2.0</v>
      </c>
      <c r="M241" s="66">
        <v>175.29</v>
      </c>
      <c r="N241" s="67" t="s">
        <v>764</v>
      </c>
      <c r="O241" s="43" t="s">
        <v>1145</v>
      </c>
      <c r="P241" s="43" t="s">
        <v>1146</v>
      </c>
      <c r="Q241" s="43" t="s">
        <v>1147</v>
      </c>
    </row>
    <row r="242" ht="15.75" customHeight="1">
      <c r="A242" s="43" t="s">
        <v>1333</v>
      </c>
      <c r="B242" s="43" t="s">
        <v>581</v>
      </c>
      <c r="C242" s="43" t="s">
        <v>104</v>
      </c>
      <c r="D242" s="43" t="s">
        <v>729</v>
      </c>
      <c r="E242" s="43" t="s">
        <v>826</v>
      </c>
      <c r="F242" s="43" t="s">
        <v>751</v>
      </c>
      <c r="G242" s="44">
        <v>2024.0</v>
      </c>
      <c r="H242" s="44">
        <v>0.5181</v>
      </c>
      <c r="I242" s="44">
        <v>0.6128</v>
      </c>
      <c r="J242" s="44">
        <v>2.0</v>
      </c>
      <c r="K242" s="44">
        <v>1.0</v>
      </c>
      <c r="L242" s="44">
        <v>1.0</v>
      </c>
      <c r="M242" s="66">
        <v>44.57</v>
      </c>
      <c r="N242" s="67" t="s">
        <v>764</v>
      </c>
      <c r="O242" s="43" t="s">
        <v>1145</v>
      </c>
      <c r="P242" s="43" t="s">
        <v>1146</v>
      </c>
      <c r="Q242" s="43" t="s">
        <v>1147</v>
      </c>
    </row>
    <row r="243" ht="15.75" customHeight="1">
      <c r="A243" s="43" t="s">
        <v>1335</v>
      </c>
      <c r="B243" s="43" t="s">
        <v>577</v>
      </c>
      <c r="C243" s="43" t="s">
        <v>485</v>
      </c>
      <c r="D243" s="43" t="s">
        <v>637</v>
      </c>
      <c r="E243" s="43" t="s">
        <v>826</v>
      </c>
      <c r="F243" s="43" t="s">
        <v>751</v>
      </c>
      <c r="G243" s="44">
        <v>2024.0</v>
      </c>
      <c r="H243" s="44">
        <v>1.239</v>
      </c>
      <c r="I243" s="44">
        <v>1.4084</v>
      </c>
      <c r="J243" s="44">
        <v>12.0</v>
      </c>
      <c r="K243" s="44">
        <v>6.0</v>
      </c>
      <c r="L243" s="44">
        <v>2.0</v>
      </c>
      <c r="M243" s="66">
        <v>126.78</v>
      </c>
      <c r="N243" s="67" t="s">
        <v>764</v>
      </c>
      <c r="O243" s="43" t="s">
        <v>1145</v>
      </c>
      <c r="P243" s="43" t="s">
        <v>1146</v>
      </c>
      <c r="Q243" s="43" t="s">
        <v>1147</v>
      </c>
    </row>
    <row r="244" ht="15.75" customHeight="1">
      <c r="A244" s="43" t="s">
        <v>1337</v>
      </c>
      <c r="B244" s="43" t="s">
        <v>577</v>
      </c>
      <c r="C244" s="43" t="s">
        <v>501</v>
      </c>
      <c r="D244" s="43" t="s">
        <v>691</v>
      </c>
      <c r="E244" s="43" t="s">
        <v>836</v>
      </c>
      <c r="F244" s="43" t="s">
        <v>798</v>
      </c>
      <c r="G244" s="44">
        <v>2023.0</v>
      </c>
      <c r="H244" s="44">
        <v>0.1405</v>
      </c>
      <c r="I244" s="44">
        <v>0.1883</v>
      </c>
      <c r="J244" s="44">
        <v>2.0</v>
      </c>
      <c r="K244" s="44">
        <v>2.0</v>
      </c>
      <c r="L244" s="44">
        <v>1.0</v>
      </c>
      <c r="M244" s="66">
        <v>1.8961</v>
      </c>
      <c r="N244" s="67" t="s">
        <v>764</v>
      </c>
      <c r="O244" s="43" t="s">
        <v>1145</v>
      </c>
      <c r="P244" s="43" t="s">
        <v>1146</v>
      </c>
      <c r="Q244" s="43" t="s">
        <v>1147</v>
      </c>
    </row>
    <row r="245" ht="15.75" customHeight="1">
      <c r="A245" s="43" t="s">
        <v>1339</v>
      </c>
      <c r="B245" s="43" t="s">
        <v>605</v>
      </c>
      <c r="C245" s="43" t="s">
        <v>523</v>
      </c>
      <c r="D245" s="43" t="s">
        <v>872</v>
      </c>
      <c r="E245" s="43" t="s">
        <v>784</v>
      </c>
      <c r="F245" s="43" t="s">
        <v>751</v>
      </c>
      <c r="G245" s="44">
        <v>2024.0</v>
      </c>
      <c r="H245" s="44">
        <v>0.7195</v>
      </c>
      <c r="I245" s="44">
        <v>0.9178</v>
      </c>
      <c r="J245" s="44">
        <v>9.0</v>
      </c>
      <c r="K245" s="44">
        <v>8.0</v>
      </c>
      <c r="L245" s="44">
        <v>1.0</v>
      </c>
      <c r="M245" s="66">
        <v>84.08</v>
      </c>
      <c r="N245" s="67" t="s">
        <v>764</v>
      </c>
      <c r="O245" s="43" t="s">
        <v>1145</v>
      </c>
      <c r="P245" s="43" t="s">
        <v>1146</v>
      </c>
      <c r="Q245" s="43" t="s">
        <v>1147</v>
      </c>
    </row>
    <row r="246" ht="15.75" customHeight="1">
      <c r="A246" s="43" t="s">
        <v>1340</v>
      </c>
      <c r="B246" s="43" t="s">
        <v>603</v>
      </c>
      <c r="C246" s="43" t="s">
        <v>401</v>
      </c>
      <c r="D246" s="43" t="s">
        <v>895</v>
      </c>
      <c r="E246" s="43" t="s">
        <v>749</v>
      </c>
      <c r="F246" s="43" t="s">
        <v>751</v>
      </c>
      <c r="G246" s="44">
        <v>2024.0</v>
      </c>
      <c r="H246" s="44">
        <v>0.0175</v>
      </c>
      <c r="I246" s="44">
        <v>0.019</v>
      </c>
      <c r="J246" s="44">
        <v>2.0</v>
      </c>
      <c r="K246" s="44">
        <v>1.0</v>
      </c>
      <c r="L246" s="44">
        <v>1.0</v>
      </c>
      <c r="M246" s="66">
        <v>1.11</v>
      </c>
      <c r="N246" s="67" t="s">
        <v>764</v>
      </c>
      <c r="O246" s="43" t="s">
        <v>1145</v>
      </c>
      <c r="P246" s="43" t="s">
        <v>1146</v>
      </c>
      <c r="Q246" s="43" t="s">
        <v>1147</v>
      </c>
    </row>
    <row r="247" ht="15.75" customHeight="1">
      <c r="A247" s="43" t="s">
        <v>1342</v>
      </c>
      <c r="B247" s="43" t="s">
        <v>605</v>
      </c>
      <c r="C247" s="43" t="s">
        <v>160</v>
      </c>
      <c r="D247" s="43" t="s">
        <v>937</v>
      </c>
      <c r="E247" s="43" t="s">
        <v>749</v>
      </c>
      <c r="F247" s="43" t="s">
        <v>751</v>
      </c>
      <c r="G247" s="44">
        <v>2024.0</v>
      </c>
      <c r="H247" s="44">
        <v>0.0224</v>
      </c>
      <c r="I247" s="44">
        <v>0.0276</v>
      </c>
      <c r="J247" s="44">
        <v>2.0</v>
      </c>
      <c r="K247" s="44">
        <v>2.0</v>
      </c>
      <c r="L247" s="44">
        <v>1.0</v>
      </c>
      <c r="M247" s="66">
        <v>1.89</v>
      </c>
      <c r="N247" s="67" t="s">
        <v>764</v>
      </c>
      <c r="O247" s="43" t="s">
        <v>1145</v>
      </c>
      <c r="P247" s="43" t="s">
        <v>1146</v>
      </c>
      <c r="Q247" s="43" t="s">
        <v>1147</v>
      </c>
    </row>
    <row r="248" ht="15.75" customHeight="1">
      <c r="A248" s="43" t="s">
        <v>1344</v>
      </c>
      <c r="B248" s="43" t="s">
        <v>581</v>
      </c>
      <c r="C248" s="43" t="s">
        <v>260</v>
      </c>
      <c r="D248" s="43" t="s">
        <v>769</v>
      </c>
      <c r="E248" s="43" t="s">
        <v>749</v>
      </c>
      <c r="F248" s="43" t="s">
        <v>751</v>
      </c>
      <c r="G248" s="44">
        <v>2024.0</v>
      </c>
      <c r="H248" s="44">
        <v>0.0097</v>
      </c>
      <c r="I248" s="44">
        <v>0.013</v>
      </c>
      <c r="J248" s="44">
        <v>2.0</v>
      </c>
      <c r="K248" s="44">
        <v>2.0</v>
      </c>
      <c r="L248" s="44">
        <v>1.0</v>
      </c>
      <c r="M248" s="66">
        <v>0.85</v>
      </c>
      <c r="N248" s="67" t="s">
        <v>764</v>
      </c>
      <c r="O248" s="43" t="s">
        <v>1145</v>
      </c>
      <c r="P248" s="43" t="s">
        <v>1146</v>
      </c>
      <c r="Q248" s="43" t="s">
        <v>1147</v>
      </c>
    </row>
    <row r="249" ht="15.75" customHeight="1">
      <c r="A249" s="43" t="s">
        <v>1346</v>
      </c>
      <c r="B249" s="43" t="s">
        <v>577</v>
      </c>
      <c r="C249" s="43" t="s">
        <v>414</v>
      </c>
      <c r="D249" s="43" t="s">
        <v>647</v>
      </c>
      <c r="E249" s="43" t="s">
        <v>826</v>
      </c>
      <c r="F249" s="43" t="s">
        <v>751</v>
      </c>
      <c r="G249" s="44">
        <v>2024.0</v>
      </c>
      <c r="H249" s="44">
        <v>1.4992</v>
      </c>
      <c r="I249" s="44">
        <v>1.9071</v>
      </c>
      <c r="J249" s="44">
        <v>15.0</v>
      </c>
      <c r="K249" s="44">
        <v>11.0</v>
      </c>
      <c r="L249" s="44">
        <v>2.0</v>
      </c>
      <c r="M249" s="66">
        <v>180.02</v>
      </c>
      <c r="N249" s="67" t="s">
        <v>764</v>
      </c>
      <c r="O249" s="43" t="s">
        <v>1145</v>
      </c>
      <c r="P249" s="43" t="s">
        <v>1146</v>
      </c>
      <c r="Q249" s="43" t="s">
        <v>1147</v>
      </c>
    </row>
    <row r="250" ht="15.75" customHeight="1">
      <c r="A250" s="43" t="s">
        <v>1348</v>
      </c>
      <c r="B250" s="43" t="s">
        <v>577</v>
      </c>
      <c r="C250" s="43" t="s">
        <v>237</v>
      </c>
      <c r="D250" s="43" t="s">
        <v>669</v>
      </c>
      <c r="E250" s="43" t="s">
        <v>797</v>
      </c>
      <c r="F250" s="43" t="s">
        <v>798</v>
      </c>
      <c r="G250" s="44">
        <v>2023.0</v>
      </c>
      <c r="H250" s="44">
        <v>0.0516</v>
      </c>
      <c r="I250" s="44">
        <v>0.0589</v>
      </c>
      <c r="J250" s="44">
        <v>2.0</v>
      </c>
      <c r="K250" s="44">
        <v>1.0</v>
      </c>
      <c r="L250" s="44">
        <v>1.0</v>
      </c>
      <c r="M250" s="66">
        <v>0.202</v>
      </c>
      <c r="N250" s="67" t="s">
        <v>764</v>
      </c>
      <c r="O250" s="43" t="s">
        <v>1145</v>
      </c>
      <c r="P250" s="43" t="s">
        <v>1146</v>
      </c>
      <c r="Q250" s="43" t="s">
        <v>1147</v>
      </c>
    </row>
    <row r="251" ht="15.75" customHeight="1">
      <c r="A251" s="43" t="s">
        <v>1349</v>
      </c>
      <c r="B251" s="43" t="s">
        <v>581</v>
      </c>
      <c r="C251" s="43" t="s">
        <v>123</v>
      </c>
      <c r="D251" s="43" t="s">
        <v>782</v>
      </c>
      <c r="E251" s="43" t="s">
        <v>817</v>
      </c>
      <c r="F251" s="43" t="s">
        <v>798</v>
      </c>
      <c r="G251" s="44">
        <v>2023.0</v>
      </c>
      <c r="H251" s="44">
        <v>0.0749</v>
      </c>
      <c r="I251" s="44">
        <v>0.0951</v>
      </c>
      <c r="J251" s="44">
        <v>2.0</v>
      </c>
      <c r="K251" s="44">
        <v>2.0</v>
      </c>
      <c r="L251" s="44">
        <v>1.0</v>
      </c>
      <c r="M251" s="66">
        <v>0.4179</v>
      </c>
      <c r="N251" s="67" t="s">
        <v>764</v>
      </c>
      <c r="O251" s="43" t="s">
        <v>1145</v>
      </c>
      <c r="P251" s="43" t="s">
        <v>1146</v>
      </c>
      <c r="Q251" s="43" t="s">
        <v>1147</v>
      </c>
    </row>
    <row r="252" ht="15.75" customHeight="1">
      <c r="A252" s="43" t="s">
        <v>1351</v>
      </c>
      <c r="B252" s="43" t="s">
        <v>577</v>
      </c>
      <c r="C252" s="43" t="s">
        <v>422</v>
      </c>
      <c r="D252" s="43" t="s">
        <v>688</v>
      </c>
      <c r="E252" s="43" t="s">
        <v>784</v>
      </c>
      <c r="F252" s="43" t="s">
        <v>751</v>
      </c>
      <c r="G252" s="44">
        <v>2024.0</v>
      </c>
      <c r="H252" s="44">
        <v>1.5424</v>
      </c>
      <c r="I252" s="44">
        <v>2.0733</v>
      </c>
      <c r="J252" s="44">
        <v>14.0</v>
      </c>
      <c r="K252" s="44">
        <v>7.0</v>
      </c>
      <c r="L252" s="44">
        <v>2.0</v>
      </c>
      <c r="M252" s="66">
        <v>114.13</v>
      </c>
      <c r="N252" s="67" t="s">
        <v>764</v>
      </c>
      <c r="O252" s="43" t="s">
        <v>1145</v>
      </c>
      <c r="P252" s="43" t="s">
        <v>1146</v>
      </c>
      <c r="Q252" s="43" t="s">
        <v>1147</v>
      </c>
    </row>
    <row r="253" ht="15.75" customHeight="1">
      <c r="A253" s="43" t="s">
        <v>1353</v>
      </c>
      <c r="B253" s="43" t="s">
        <v>581</v>
      </c>
      <c r="C253" s="43" t="s">
        <v>202</v>
      </c>
      <c r="D253" s="43" t="s">
        <v>803</v>
      </c>
      <c r="E253" s="43" t="s">
        <v>749</v>
      </c>
      <c r="F253" s="43" t="s">
        <v>751</v>
      </c>
      <c r="G253" s="44">
        <v>2024.0</v>
      </c>
      <c r="H253" s="44">
        <v>0.0099</v>
      </c>
      <c r="I253" s="44">
        <v>0.0132</v>
      </c>
      <c r="J253" s="44">
        <v>2.0</v>
      </c>
      <c r="K253" s="44">
        <v>1.0</v>
      </c>
      <c r="L253" s="44">
        <v>1.0</v>
      </c>
      <c r="M253" s="66">
        <v>1.13</v>
      </c>
      <c r="N253" s="67" t="s">
        <v>764</v>
      </c>
      <c r="O253" s="43" t="s">
        <v>1145</v>
      </c>
      <c r="P253" s="43" t="s">
        <v>1146</v>
      </c>
      <c r="Q253" s="43" t="s">
        <v>1147</v>
      </c>
    </row>
    <row r="254" ht="15.75" customHeight="1">
      <c r="A254" s="43" t="s">
        <v>1355</v>
      </c>
      <c r="B254" s="43" t="s">
        <v>581</v>
      </c>
      <c r="C254" s="43" t="s">
        <v>260</v>
      </c>
      <c r="D254" s="43" t="s">
        <v>769</v>
      </c>
      <c r="E254" s="43" t="s">
        <v>817</v>
      </c>
      <c r="F254" s="43" t="s">
        <v>798</v>
      </c>
      <c r="G254" s="44">
        <v>2023.0</v>
      </c>
      <c r="H254" s="44">
        <v>0.0571</v>
      </c>
      <c r="I254" s="44">
        <v>0.0674</v>
      </c>
      <c r="J254" s="44">
        <v>3.0</v>
      </c>
      <c r="K254" s="44">
        <v>2.0</v>
      </c>
      <c r="L254" s="44">
        <v>1.0</v>
      </c>
      <c r="M254" s="66">
        <v>0.3315</v>
      </c>
      <c r="N254" s="67" t="s">
        <v>764</v>
      </c>
      <c r="O254" s="43" t="s">
        <v>1145</v>
      </c>
      <c r="P254" s="43" t="s">
        <v>1146</v>
      </c>
      <c r="Q254" s="43" t="s">
        <v>1147</v>
      </c>
    </row>
    <row r="255" ht="15.75" customHeight="1">
      <c r="A255" s="43" t="s">
        <v>1357</v>
      </c>
      <c r="B255" s="43" t="s">
        <v>577</v>
      </c>
      <c r="C255" s="43" t="s">
        <v>363</v>
      </c>
      <c r="D255" s="43" t="s">
        <v>634</v>
      </c>
      <c r="E255" s="43" t="s">
        <v>784</v>
      </c>
      <c r="F255" s="43" t="s">
        <v>751</v>
      </c>
      <c r="G255" s="44">
        <v>2024.0</v>
      </c>
      <c r="H255" s="44">
        <v>1.6957</v>
      </c>
      <c r="I255" s="44">
        <v>2.0661</v>
      </c>
      <c r="J255" s="44">
        <v>13.0</v>
      </c>
      <c r="K255" s="44">
        <v>8.0</v>
      </c>
      <c r="L255" s="44">
        <v>1.0</v>
      </c>
      <c r="M255" s="66">
        <v>189.74</v>
      </c>
      <c r="N255" s="67" t="s">
        <v>764</v>
      </c>
      <c r="O255" s="43" t="s">
        <v>1145</v>
      </c>
      <c r="P255" s="43" t="s">
        <v>1146</v>
      </c>
      <c r="Q255" s="43" t="s">
        <v>1147</v>
      </c>
    </row>
    <row r="256" ht="15.75" customHeight="1">
      <c r="A256" s="43" t="s">
        <v>1359</v>
      </c>
      <c r="B256" s="43" t="s">
        <v>577</v>
      </c>
      <c r="C256" s="43" t="s">
        <v>286</v>
      </c>
      <c r="D256" s="43" t="s">
        <v>644</v>
      </c>
      <c r="E256" s="43" t="s">
        <v>797</v>
      </c>
      <c r="F256" s="43" t="s">
        <v>798</v>
      </c>
      <c r="G256" s="44">
        <v>2023.0</v>
      </c>
      <c r="H256" s="44">
        <v>0.0264</v>
      </c>
      <c r="I256" s="44">
        <v>0.0289</v>
      </c>
      <c r="J256" s="44">
        <v>2.0</v>
      </c>
      <c r="K256" s="44">
        <v>1.0</v>
      </c>
      <c r="L256" s="44">
        <v>1.0</v>
      </c>
      <c r="M256" s="66">
        <v>0.1275</v>
      </c>
      <c r="N256" s="67" t="s">
        <v>764</v>
      </c>
      <c r="O256" s="43" t="s">
        <v>1145</v>
      </c>
      <c r="P256" s="43" t="s">
        <v>1146</v>
      </c>
      <c r="Q256" s="43" t="s">
        <v>1147</v>
      </c>
    </row>
    <row r="257" ht="15.75" customHeight="1">
      <c r="A257" s="43" t="s">
        <v>1360</v>
      </c>
      <c r="B257" s="43" t="s">
        <v>596</v>
      </c>
      <c r="C257" s="43" t="s">
        <v>136</v>
      </c>
      <c r="D257" s="43" t="s">
        <v>852</v>
      </c>
      <c r="E257" s="43" t="s">
        <v>842</v>
      </c>
      <c r="F257" s="43" t="s">
        <v>751</v>
      </c>
      <c r="G257" s="44">
        <v>2024.0</v>
      </c>
      <c r="H257" s="44">
        <v>0.413</v>
      </c>
      <c r="I257" s="44">
        <v>0.4667</v>
      </c>
      <c r="J257" s="44">
        <v>6.0</v>
      </c>
      <c r="K257" s="44">
        <v>3.0</v>
      </c>
      <c r="L257" s="44">
        <v>1.0</v>
      </c>
      <c r="M257" s="66">
        <v>48.5</v>
      </c>
      <c r="N257" s="67" t="s">
        <v>764</v>
      </c>
      <c r="O257" s="43" t="s">
        <v>1145</v>
      </c>
      <c r="P257" s="43" t="s">
        <v>1146</v>
      </c>
      <c r="Q257" s="43" t="s">
        <v>1147</v>
      </c>
    </row>
    <row r="258" ht="15.75" customHeight="1">
      <c r="A258" s="43" t="s">
        <v>1361</v>
      </c>
      <c r="B258" s="43" t="s">
        <v>581</v>
      </c>
      <c r="C258" s="43" t="s">
        <v>123</v>
      </c>
      <c r="D258" s="43" t="s">
        <v>782</v>
      </c>
      <c r="E258" s="43" t="s">
        <v>826</v>
      </c>
      <c r="F258" s="43" t="s">
        <v>751</v>
      </c>
      <c r="G258" s="44">
        <v>2024.0</v>
      </c>
      <c r="H258" s="44">
        <v>0.7918</v>
      </c>
      <c r="I258" s="44">
        <v>0.9059</v>
      </c>
      <c r="J258" s="44">
        <v>9.0</v>
      </c>
      <c r="K258" s="44">
        <v>6.0</v>
      </c>
      <c r="L258" s="44">
        <v>1.0</v>
      </c>
      <c r="M258" s="66">
        <v>53.81</v>
      </c>
      <c r="N258" s="67" t="s">
        <v>764</v>
      </c>
      <c r="O258" s="43" t="s">
        <v>1145</v>
      </c>
      <c r="P258" s="43" t="s">
        <v>1146</v>
      </c>
      <c r="Q258" s="43" t="s">
        <v>1147</v>
      </c>
    </row>
    <row r="259" ht="15.75" customHeight="1">
      <c r="A259" s="43" t="s">
        <v>1363</v>
      </c>
      <c r="B259" s="43" t="s">
        <v>596</v>
      </c>
      <c r="C259" s="43" t="s">
        <v>312</v>
      </c>
      <c r="D259" s="43" t="s">
        <v>857</v>
      </c>
      <c r="E259" s="43" t="s">
        <v>826</v>
      </c>
      <c r="F259" s="43" t="s">
        <v>751</v>
      </c>
      <c r="G259" s="44">
        <v>2024.0</v>
      </c>
      <c r="H259" s="44">
        <v>0.6478</v>
      </c>
      <c r="I259" s="44">
        <v>0.7538</v>
      </c>
      <c r="J259" s="44">
        <v>8.0</v>
      </c>
      <c r="K259" s="44">
        <v>4.0</v>
      </c>
      <c r="L259" s="44">
        <v>1.0</v>
      </c>
      <c r="M259" s="66">
        <v>45.01</v>
      </c>
      <c r="N259" s="67" t="s">
        <v>764</v>
      </c>
      <c r="O259" s="43" t="s">
        <v>1145</v>
      </c>
      <c r="P259" s="43" t="s">
        <v>1146</v>
      </c>
      <c r="Q259" s="43" t="s">
        <v>1147</v>
      </c>
    </row>
    <row r="260" ht="15.75" customHeight="1">
      <c r="A260" s="43" t="s">
        <v>1365</v>
      </c>
      <c r="B260" s="43" t="s">
        <v>596</v>
      </c>
      <c r="C260" s="43" t="s">
        <v>507</v>
      </c>
      <c r="D260" s="43" t="s">
        <v>864</v>
      </c>
      <c r="E260" s="43" t="s">
        <v>784</v>
      </c>
      <c r="F260" s="43" t="s">
        <v>751</v>
      </c>
      <c r="G260" s="44">
        <v>2024.0</v>
      </c>
      <c r="H260" s="44">
        <v>0.7211</v>
      </c>
      <c r="I260" s="44">
        <v>0.8076</v>
      </c>
      <c r="J260" s="44">
        <v>9.0</v>
      </c>
      <c r="K260" s="44">
        <v>7.0</v>
      </c>
      <c r="L260" s="44">
        <v>1.0</v>
      </c>
      <c r="M260" s="66">
        <v>87.59</v>
      </c>
      <c r="N260" s="67" t="s">
        <v>764</v>
      </c>
      <c r="O260" s="43" t="s">
        <v>1145</v>
      </c>
      <c r="P260" s="43" t="s">
        <v>1146</v>
      </c>
      <c r="Q260" s="43" t="s">
        <v>1147</v>
      </c>
    </row>
    <row r="261" ht="15.75" customHeight="1">
      <c r="A261" s="43" t="s">
        <v>1367</v>
      </c>
      <c r="B261" s="43" t="s">
        <v>605</v>
      </c>
      <c r="C261" s="43" t="s">
        <v>523</v>
      </c>
      <c r="D261" s="43" t="s">
        <v>872</v>
      </c>
      <c r="E261" s="43" t="s">
        <v>826</v>
      </c>
      <c r="F261" s="43" t="s">
        <v>751</v>
      </c>
      <c r="G261" s="44">
        <v>2024.0</v>
      </c>
      <c r="H261" s="44">
        <v>0.3941</v>
      </c>
      <c r="I261" s="44">
        <v>0.4554</v>
      </c>
      <c r="J261" s="44">
        <v>5.0</v>
      </c>
      <c r="K261" s="44">
        <v>3.0</v>
      </c>
      <c r="L261" s="44">
        <v>1.0</v>
      </c>
      <c r="M261" s="66">
        <v>33.2</v>
      </c>
      <c r="N261" s="67" t="s">
        <v>764</v>
      </c>
      <c r="O261" s="43" t="s">
        <v>1145</v>
      </c>
      <c r="P261" s="43" t="s">
        <v>1146</v>
      </c>
      <c r="Q261" s="43" t="s">
        <v>1147</v>
      </c>
    </row>
    <row r="262" ht="15.75" customHeight="1">
      <c r="A262" s="43" t="s">
        <v>1368</v>
      </c>
      <c r="B262" s="43" t="s">
        <v>577</v>
      </c>
      <c r="C262" s="43" t="s">
        <v>229</v>
      </c>
      <c r="D262" s="43" t="s">
        <v>630</v>
      </c>
      <c r="E262" s="43" t="s">
        <v>784</v>
      </c>
      <c r="F262" s="43" t="s">
        <v>751</v>
      </c>
      <c r="G262" s="44">
        <v>2024.0</v>
      </c>
      <c r="H262" s="44">
        <v>0.4587</v>
      </c>
      <c r="I262" s="44">
        <v>0.532</v>
      </c>
      <c r="J262" s="44">
        <v>6.0</v>
      </c>
      <c r="K262" s="44">
        <v>5.0</v>
      </c>
      <c r="L262" s="44">
        <v>1.0</v>
      </c>
      <c r="M262" s="66">
        <v>37.17</v>
      </c>
      <c r="N262" s="67" t="s">
        <v>764</v>
      </c>
      <c r="O262" s="43" t="s">
        <v>1145</v>
      </c>
      <c r="P262" s="43" t="s">
        <v>1146</v>
      </c>
      <c r="Q262" s="43" t="s">
        <v>1147</v>
      </c>
    </row>
    <row r="263" ht="15.75" customHeight="1">
      <c r="A263" s="43" t="s">
        <v>1370</v>
      </c>
      <c r="B263" s="43" t="s">
        <v>603</v>
      </c>
      <c r="C263" s="43" t="s">
        <v>272</v>
      </c>
      <c r="D263" s="43" t="s">
        <v>891</v>
      </c>
      <c r="E263" s="43" t="s">
        <v>842</v>
      </c>
      <c r="F263" s="43" t="s">
        <v>751</v>
      </c>
      <c r="G263" s="44">
        <v>2024.0</v>
      </c>
      <c r="H263" s="44">
        <v>0.7111</v>
      </c>
      <c r="I263" s="44">
        <v>0.8538</v>
      </c>
      <c r="J263" s="44">
        <v>7.0</v>
      </c>
      <c r="K263" s="44">
        <v>5.0</v>
      </c>
      <c r="L263" s="44">
        <v>1.0</v>
      </c>
      <c r="M263" s="66">
        <v>65.35</v>
      </c>
      <c r="N263" s="67" t="s">
        <v>764</v>
      </c>
      <c r="O263" s="43" t="s">
        <v>1145</v>
      </c>
      <c r="P263" s="43" t="s">
        <v>1146</v>
      </c>
      <c r="Q263" s="43" t="s">
        <v>1147</v>
      </c>
    </row>
    <row r="264" ht="15.75" customHeight="1">
      <c r="A264" s="43" t="s">
        <v>1372</v>
      </c>
      <c r="B264" s="43" t="s">
        <v>596</v>
      </c>
      <c r="C264" s="43" t="s">
        <v>211</v>
      </c>
      <c r="D264" s="43" t="s">
        <v>868</v>
      </c>
      <c r="E264" s="43" t="s">
        <v>842</v>
      </c>
      <c r="F264" s="43" t="s">
        <v>751</v>
      </c>
      <c r="G264" s="44">
        <v>2024.0</v>
      </c>
      <c r="H264" s="44">
        <v>0.8741</v>
      </c>
      <c r="I264" s="44">
        <v>1.131</v>
      </c>
      <c r="J264" s="44">
        <v>11.0</v>
      </c>
      <c r="K264" s="44">
        <v>7.0</v>
      </c>
      <c r="L264" s="44">
        <v>1.0</v>
      </c>
      <c r="M264" s="66">
        <v>74.16</v>
      </c>
      <c r="N264" s="67" t="s">
        <v>764</v>
      </c>
      <c r="O264" s="43" t="s">
        <v>1145</v>
      </c>
      <c r="P264" s="43" t="s">
        <v>1146</v>
      </c>
      <c r="Q264" s="43" t="s">
        <v>1147</v>
      </c>
    </row>
    <row r="265" ht="15.75" customHeight="1">
      <c r="A265" s="43" t="s">
        <v>1374</v>
      </c>
      <c r="B265" s="43" t="s">
        <v>577</v>
      </c>
      <c r="C265" s="43" t="s">
        <v>457</v>
      </c>
      <c r="D265" s="43" t="s">
        <v>621</v>
      </c>
      <c r="E265" s="43" t="s">
        <v>817</v>
      </c>
      <c r="F265" s="43" t="s">
        <v>798</v>
      </c>
      <c r="G265" s="44">
        <v>2023.0</v>
      </c>
      <c r="H265" s="44">
        <v>0.1697</v>
      </c>
      <c r="I265" s="44">
        <v>0.209</v>
      </c>
      <c r="J265" s="44">
        <v>2.0</v>
      </c>
      <c r="K265" s="44">
        <v>1.0</v>
      </c>
      <c r="L265" s="44">
        <v>1.0</v>
      </c>
      <c r="M265" s="66">
        <v>1.1603</v>
      </c>
      <c r="N265" s="67" t="s">
        <v>764</v>
      </c>
      <c r="O265" s="43" t="s">
        <v>1145</v>
      </c>
      <c r="P265" s="43" t="s">
        <v>1146</v>
      </c>
      <c r="Q265" s="43" t="s">
        <v>1147</v>
      </c>
    </row>
    <row r="266" ht="15.75" customHeight="1">
      <c r="A266" s="43" t="s">
        <v>1376</v>
      </c>
      <c r="B266" s="43" t="s">
        <v>605</v>
      </c>
      <c r="C266" s="43" t="s">
        <v>497</v>
      </c>
      <c r="D266" s="43" t="s">
        <v>912</v>
      </c>
      <c r="E266" s="43" t="s">
        <v>817</v>
      </c>
      <c r="F266" s="43" t="s">
        <v>798</v>
      </c>
      <c r="G266" s="44">
        <v>2023.0</v>
      </c>
      <c r="H266" s="44">
        <v>0.0968</v>
      </c>
      <c r="I266" s="44">
        <v>0.1218</v>
      </c>
      <c r="J266" s="44">
        <v>2.0</v>
      </c>
      <c r="K266" s="44">
        <v>1.0</v>
      </c>
      <c r="L266" s="44">
        <v>1.0</v>
      </c>
      <c r="M266" s="66">
        <v>0.421</v>
      </c>
      <c r="N266" s="67" t="s">
        <v>764</v>
      </c>
      <c r="O266" s="43" t="s">
        <v>1145</v>
      </c>
      <c r="P266" s="43" t="s">
        <v>1146</v>
      </c>
      <c r="Q266" s="43" t="s">
        <v>1147</v>
      </c>
    </row>
    <row r="267" ht="15.75" customHeight="1">
      <c r="A267" s="43" t="s">
        <v>1378</v>
      </c>
      <c r="B267" s="43" t="s">
        <v>577</v>
      </c>
      <c r="C267" s="43" t="s">
        <v>414</v>
      </c>
      <c r="D267" s="43" t="s">
        <v>647</v>
      </c>
      <c r="E267" s="43" t="s">
        <v>797</v>
      </c>
      <c r="F267" s="43" t="s">
        <v>798</v>
      </c>
      <c r="G267" s="44">
        <v>2023.0</v>
      </c>
      <c r="H267" s="44">
        <v>0.0703</v>
      </c>
      <c r="I267" s="44">
        <v>0.0814</v>
      </c>
      <c r="J267" s="44">
        <v>2.0</v>
      </c>
      <c r="K267" s="44">
        <v>2.0</v>
      </c>
      <c r="L267" s="44">
        <v>1.0</v>
      </c>
      <c r="M267" s="66">
        <v>0.4084</v>
      </c>
      <c r="N267" s="67" t="s">
        <v>764</v>
      </c>
      <c r="O267" s="43" t="s">
        <v>1145</v>
      </c>
      <c r="P267" s="43" t="s">
        <v>1146</v>
      </c>
      <c r="Q267" s="43" t="s">
        <v>1147</v>
      </c>
    </row>
    <row r="268" ht="15.75" customHeight="1">
      <c r="A268" s="43" t="s">
        <v>1379</v>
      </c>
      <c r="B268" s="43" t="s">
        <v>605</v>
      </c>
      <c r="C268" s="43" t="s">
        <v>483</v>
      </c>
      <c r="D268" s="43" t="s">
        <v>803</v>
      </c>
      <c r="E268" s="43" t="s">
        <v>826</v>
      </c>
      <c r="F268" s="43" t="s">
        <v>751</v>
      </c>
      <c r="G268" s="44">
        <v>2024.0</v>
      </c>
      <c r="H268" s="44">
        <v>0.4849</v>
      </c>
      <c r="I268" s="44">
        <v>0.6073</v>
      </c>
      <c r="J268" s="44">
        <v>5.0</v>
      </c>
      <c r="K268" s="44">
        <v>4.0</v>
      </c>
      <c r="L268" s="44">
        <v>1.0</v>
      </c>
      <c r="M268" s="66">
        <v>34.9</v>
      </c>
      <c r="N268" s="67" t="s">
        <v>764</v>
      </c>
      <c r="O268" s="43" t="s">
        <v>1145</v>
      </c>
      <c r="P268" s="43" t="s">
        <v>1146</v>
      </c>
      <c r="Q268" s="43" t="s">
        <v>1147</v>
      </c>
    </row>
    <row r="269" ht="15.75" customHeight="1">
      <c r="A269" s="43" t="s">
        <v>1381</v>
      </c>
      <c r="B269" s="43" t="s">
        <v>596</v>
      </c>
      <c r="C269" s="43" t="s">
        <v>392</v>
      </c>
      <c r="D269" s="43" t="s">
        <v>838</v>
      </c>
      <c r="E269" s="43" t="s">
        <v>797</v>
      </c>
      <c r="F269" s="43" t="s">
        <v>798</v>
      </c>
      <c r="G269" s="44">
        <v>2023.0</v>
      </c>
      <c r="H269" s="44">
        <v>0.0942</v>
      </c>
      <c r="I269" s="44">
        <v>0.1127</v>
      </c>
      <c r="J269" s="44">
        <v>2.0</v>
      </c>
      <c r="K269" s="44">
        <v>1.0</v>
      </c>
      <c r="L269" s="44">
        <v>1.0</v>
      </c>
      <c r="M269" s="66">
        <v>0.4942</v>
      </c>
      <c r="N269" s="67" t="s">
        <v>764</v>
      </c>
      <c r="O269" s="43" t="s">
        <v>1145</v>
      </c>
      <c r="P269" s="43" t="s">
        <v>1146</v>
      </c>
      <c r="Q269" s="43" t="s">
        <v>1147</v>
      </c>
    </row>
    <row r="270" ht="15.75" customHeight="1">
      <c r="A270" s="43" t="s">
        <v>1383</v>
      </c>
      <c r="B270" s="43" t="s">
        <v>603</v>
      </c>
      <c r="C270" s="43" t="s">
        <v>146</v>
      </c>
      <c r="D270" s="43" t="s">
        <v>906</v>
      </c>
      <c r="E270" s="43" t="s">
        <v>784</v>
      </c>
      <c r="F270" s="43" t="s">
        <v>751</v>
      </c>
      <c r="G270" s="44">
        <v>2024.0</v>
      </c>
      <c r="H270" s="44">
        <v>1.1164</v>
      </c>
      <c r="I270" s="44">
        <v>1.295</v>
      </c>
      <c r="J270" s="44">
        <v>14.0</v>
      </c>
      <c r="K270" s="44">
        <v>12.0</v>
      </c>
      <c r="L270" s="44">
        <v>2.0</v>
      </c>
      <c r="M270" s="66">
        <v>99.45</v>
      </c>
      <c r="N270" s="67" t="s">
        <v>764</v>
      </c>
      <c r="O270" s="43" t="s">
        <v>1145</v>
      </c>
      <c r="P270" s="43" t="s">
        <v>1146</v>
      </c>
      <c r="Q270" s="43" t="s">
        <v>1147</v>
      </c>
    </row>
    <row r="271" ht="15.75" customHeight="1">
      <c r="A271" s="43" t="s">
        <v>1384</v>
      </c>
      <c r="B271" s="43" t="s">
        <v>577</v>
      </c>
      <c r="C271" s="43" t="s">
        <v>78</v>
      </c>
      <c r="D271" s="43" t="s">
        <v>680</v>
      </c>
      <c r="E271" s="43" t="s">
        <v>797</v>
      </c>
      <c r="F271" s="43" t="s">
        <v>798</v>
      </c>
      <c r="G271" s="44">
        <v>2023.0</v>
      </c>
      <c r="H271" s="44">
        <v>0.0236</v>
      </c>
      <c r="I271" s="44">
        <v>0.0304</v>
      </c>
      <c r="J271" s="44">
        <v>2.0</v>
      </c>
      <c r="K271" s="44">
        <v>1.0</v>
      </c>
      <c r="L271" s="44">
        <v>1.0</v>
      </c>
      <c r="M271" s="66">
        <v>0.102</v>
      </c>
      <c r="N271" s="67" t="s">
        <v>764</v>
      </c>
      <c r="O271" s="43" t="s">
        <v>1145</v>
      </c>
      <c r="P271" s="43" t="s">
        <v>1146</v>
      </c>
      <c r="Q271" s="43" t="s">
        <v>1147</v>
      </c>
    </row>
    <row r="272" ht="15.75" customHeight="1">
      <c r="A272" s="43" t="s">
        <v>1386</v>
      </c>
      <c r="B272" s="43" t="s">
        <v>577</v>
      </c>
      <c r="C272" s="43" t="s">
        <v>237</v>
      </c>
      <c r="D272" s="43" t="s">
        <v>669</v>
      </c>
      <c r="E272" s="43" t="s">
        <v>784</v>
      </c>
      <c r="F272" s="43" t="s">
        <v>751</v>
      </c>
      <c r="G272" s="44">
        <v>2024.0</v>
      </c>
      <c r="H272" s="44">
        <v>0.6401</v>
      </c>
      <c r="I272" s="44">
        <v>0.7439</v>
      </c>
      <c r="J272" s="44">
        <v>7.0</v>
      </c>
      <c r="K272" s="44">
        <v>5.0</v>
      </c>
      <c r="L272" s="44">
        <v>1.0</v>
      </c>
      <c r="M272" s="66">
        <v>60.36</v>
      </c>
      <c r="N272" s="67" t="s">
        <v>764</v>
      </c>
      <c r="O272" s="43" t="s">
        <v>1145</v>
      </c>
      <c r="P272" s="43" t="s">
        <v>1146</v>
      </c>
      <c r="Q272" s="43" t="s">
        <v>1147</v>
      </c>
    </row>
    <row r="273" ht="15.75" customHeight="1">
      <c r="A273" s="43" t="s">
        <v>1388</v>
      </c>
      <c r="B273" s="43" t="s">
        <v>605</v>
      </c>
      <c r="C273" s="43" t="s">
        <v>523</v>
      </c>
      <c r="D273" s="43" t="s">
        <v>872</v>
      </c>
      <c r="E273" s="43" t="s">
        <v>842</v>
      </c>
      <c r="F273" s="43" t="s">
        <v>751</v>
      </c>
      <c r="G273" s="44">
        <v>2024.0</v>
      </c>
      <c r="H273" s="44">
        <v>0.7886</v>
      </c>
      <c r="I273" s="44">
        <v>0.9441</v>
      </c>
      <c r="J273" s="44">
        <v>8.0</v>
      </c>
      <c r="K273" s="44">
        <v>6.0</v>
      </c>
      <c r="L273" s="44">
        <v>1.0</v>
      </c>
      <c r="M273" s="66">
        <v>56.18</v>
      </c>
      <c r="N273" s="67" t="s">
        <v>764</v>
      </c>
      <c r="O273" s="43" t="s">
        <v>1145</v>
      </c>
      <c r="P273" s="43" t="s">
        <v>1146</v>
      </c>
      <c r="Q273" s="43" t="s">
        <v>1147</v>
      </c>
    </row>
    <row r="274" ht="15.75" customHeight="1">
      <c r="A274" s="43" t="s">
        <v>1390</v>
      </c>
      <c r="B274" s="43" t="s">
        <v>603</v>
      </c>
      <c r="C274" s="43" t="s">
        <v>521</v>
      </c>
      <c r="D274" s="43" t="s">
        <v>882</v>
      </c>
      <c r="E274" s="43" t="s">
        <v>797</v>
      </c>
      <c r="F274" s="43" t="s">
        <v>798</v>
      </c>
      <c r="G274" s="44">
        <v>2023.0</v>
      </c>
      <c r="H274" s="44">
        <v>0.0667</v>
      </c>
      <c r="I274" s="44">
        <v>0.0881</v>
      </c>
      <c r="J274" s="44">
        <v>2.0</v>
      </c>
      <c r="K274" s="44">
        <v>1.0</v>
      </c>
      <c r="L274" s="44">
        <v>1.0</v>
      </c>
      <c r="M274" s="66">
        <v>0.3101</v>
      </c>
      <c r="N274" s="67" t="s">
        <v>764</v>
      </c>
      <c r="O274" s="43" t="s">
        <v>1145</v>
      </c>
      <c r="P274" s="43" t="s">
        <v>1146</v>
      </c>
      <c r="Q274" s="43" t="s">
        <v>1147</v>
      </c>
    </row>
    <row r="275" ht="15.75" customHeight="1">
      <c r="A275" s="43" t="s">
        <v>1391</v>
      </c>
      <c r="B275" s="43" t="s">
        <v>596</v>
      </c>
      <c r="C275" s="43" t="s">
        <v>481</v>
      </c>
      <c r="D275" s="43" t="s">
        <v>774</v>
      </c>
      <c r="E275" s="43" t="s">
        <v>836</v>
      </c>
      <c r="F275" s="43" t="s">
        <v>798</v>
      </c>
      <c r="G275" s="44">
        <v>2023.0</v>
      </c>
      <c r="H275" s="44">
        <v>0.0571</v>
      </c>
      <c r="I275" s="44">
        <v>0.0719</v>
      </c>
      <c r="J275" s="44">
        <v>2.0</v>
      </c>
      <c r="K275" s="44">
        <v>2.0</v>
      </c>
      <c r="L275" s="44">
        <v>1.0</v>
      </c>
      <c r="M275" s="66">
        <v>0.4566</v>
      </c>
      <c r="N275" s="67" t="s">
        <v>764</v>
      </c>
      <c r="O275" s="43" t="s">
        <v>1145</v>
      </c>
      <c r="P275" s="43" t="s">
        <v>1146</v>
      </c>
      <c r="Q275" s="43" t="s">
        <v>1147</v>
      </c>
    </row>
    <row r="276" ht="15.75" customHeight="1">
      <c r="A276" s="43" t="s">
        <v>1393</v>
      </c>
      <c r="B276" s="43" t="s">
        <v>605</v>
      </c>
      <c r="C276" s="43" t="s">
        <v>324</v>
      </c>
      <c r="D276" s="43" t="s">
        <v>970</v>
      </c>
      <c r="E276" s="43" t="s">
        <v>817</v>
      </c>
      <c r="F276" s="43" t="s">
        <v>798</v>
      </c>
      <c r="G276" s="44">
        <v>2023.0</v>
      </c>
      <c r="H276" s="44">
        <v>0.0875</v>
      </c>
      <c r="I276" s="44">
        <v>0.1066</v>
      </c>
      <c r="J276" s="44">
        <v>2.0</v>
      </c>
      <c r="K276" s="44">
        <v>1.0</v>
      </c>
      <c r="L276" s="44">
        <v>1.0</v>
      </c>
      <c r="M276" s="66">
        <v>0.4247</v>
      </c>
      <c r="N276" s="67" t="s">
        <v>764</v>
      </c>
      <c r="O276" s="43" t="s">
        <v>1145</v>
      </c>
      <c r="P276" s="43" t="s">
        <v>1146</v>
      </c>
      <c r="Q276" s="43" t="s">
        <v>1147</v>
      </c>
    </row>
    <row r="277" ht="15.75" customHeight="1">
      <c r="A277" s="43" t="s">
        <v>1395</v>
      </c>
      <c r="B277" s="43" t="s">
        <v>577</v>
      </c>
      <c r="C277" s="43" t="s">
        <v>328</v>
      </c>
      <c r="D277" s="43" t="s">
        <v>699</v>
      </c>
      <c r="E277" s="43" t="s">
        <v>826</v>
      </c>
      <c r="F277" s="43" t="s">
        <v>751</v>
      </c>
      <c r="G277" s="44">
        <v>2024.0</v>
      </c>
      <c r="H277" s="44">
        <v>0.3596</v>
      </c>
      <c r="I277" s="44">
        <v>0.4415</v>
      </c>
      <c r="J277" s="44">
        <v>2.0</v>
      </c>
      <c r="K277" s="44">
        <v>1.0</v>
      </c>
      <c r="L277" s="44">
        <v>1.0</v>
      </c>
      <c r="M277" s="66">
        <v>29.44</v>
      </c>
      <c r="N277" s="67" t="s">
        <v>764</v>
      </c>
      <c r="O277" s="43" t="s">
        <v>1145</v>
      </c>
      <c r="P277" s="43" t="s">
        <v>1146</v>
      </c>
      <c r="Q277" s="43" t="s">
        <v>1147</v>
      </c>
    </row>
    <row r="278" ht="15.75" customHeight="1">
      <c r="A278" s="43" t="s">
        <v>1397</v>
      </c>
      <c r="B278" s="43" t="s">
        <v>577</v>
      </c>
      <c r="C278" s="43" t="s">
        <v>501</v>
      </c>
      <c r="D278" s="43" t="s">
        <v>691</v>
      </c>
      <c r="E278" s="43" t="s">
        <v>817</v>
      </c>
      <c r="F278" s="43" t="s">
        <v>798</v>
      </c>
      <c r="G278" s="44">
        <v>2023.0</v>
      </c>
      <c r="H278" s="44">
        <v>0.1622</v>
      </c>
      <c r="I278" s="44">
        <v>0.2086</v>
      </c>
      <c r="J278" s="44">
        <v>6.0</v>
      </c>
      <c r="K278" s="44">
        <v>3.0</v>
      </c>
      <c r="L278" s="44">
        <v>1.0</v>
      </c>
      <c r="M278" s="66">
        <v>0.8539</v>
      </c>
      <c r="N278" s="67" t="s">
        <v>764</v>
      </c>
      <c r="O278" s="43" t="s">
        <v>1145</v>
      </c>
      <c r="P278" s="43" t="s">
        <v>1146</v>
      </c>
      <c r="Q278" s="43" t="s">
        <v>1147</v>
      </c>
    </row>
    <row r="279" ht="15.75" customHeight="1">
      <c r="A279" s="43" t="s">
        <v>1399</v>
      </c>
      <c r="B279" s="43" t="s">
        <v>596</v>
      </c>
      <c r="C279" s="43" t="s">
        <v>481</v>
      </c>
      <c r="D279" s="43" t="s">
        <v>774</v>
      </c>
      <c r="E279" s="43" t="s">
        <v>784</v>
      </c>
      <c r="F279" s="43" t="s">
        <v>751</v>
      </c>
      <c r="G279" s="44">
        <v>2024.0</v>
      </c>
      <c r="H279" s="44">
        <v>2.7477</v>
      </c>
      <c r="I279" s="44">
        <v>3.1931</v>
      </c>
      <c r="J279" s="44">
        <v>27.0</v>
      </c>
      <c r="K279" s="44">
        <v>13.0</v>
      </c>
      <c r="L279" s="44">
        <v>3.0</v>
      </c>
      <c r="M279" s="66">
        <v>243.94</v>
      </c>
      <c r="N279" s="67" t="s">
        <v>764</v>
      </c>
      <c r="O279" s="43" t="s">
        <v>1145</v>
      </c>
      <c r="P279" s="43" t="s">
        <v>1146</v>
      </c>
      <c r="Q279" s="43" t="s">
        <v>1147</v>
      </c>
    </row>
    <row r="280" ht="15.75" customHeight="1">
      <c r="A280" s="43" t="s">
        <v>1400</v>
      </c>
      <c r="B280" s="43" t="s">
        <v>577</v>
      </c>
      <c r="C280" s="43" t="s">
        <v>51</v>
      </c>
      <c r="D280" s="43" t="s">
        <v>641</v>
      </c>
      <c r="E280" s="43" t="s">
        <v>784</v>
      </c>
      <c r="F280" s="43" t="s">
        <v>751</v>
      </c>
      <c r="G280" s="44">
        <v>2024.0</v>
      </c>
      <c r="H280" s="44">
        <v>1.1881</v>
      </c>
      <c r="I280" s="44">
        <v>1.4731</v>
      </c>
      <c r="J280" s="44">
        <v>12.0</v>
      </c>
      <c r="K280" s="44">
        <v>10.0</v>
      </c>
      <c r="L280" s="44">
        <v>1.0</v>
      </c>
      <c r="M280" s="66">
        <v>149.05</v>
      </c>
      <c r="N280" s="67" t="s">
        <v>764</v>
      </c>
      <c r="O280" s="43" t="s">
        <v>1145</v>
      </c>
      <c r="P280" s="43" t="s">
        <v>1146</v>
      </c>
      <c r="Q280" s="43" t="s">
        <v>1147</v>
      </c>
    </row>
    <row r="281" ht="15.75" customHeight="1">
      <c r="A281" s="43" t="s">
        <v>1402</v>
      </c>
      <c r="B281" s="43" t="s">
        <v>577</v>
      </c>
      <c r="C281" s="43" t="s">
        <v>169</v>
      </c>
      <c r="D281" s="43" t="s">
        <v>655</v>
      </c>
      <c r="E281" s="43" t="s">
        <v>749</v>
      </c>
      <c r="F281" s="43" t="s">
        <v>751</v>
      </c>
      <c r="G281" s="44">
        <v>2024.0</v>
      </c>
      <c r="H281" s="44">
        <v>0.0056</v>
      </c>
      <c r="I281" s="44">
        <v>0.0062</v>
      </c>
      <c r="J281" s="44">
        <v>2.0</v>
      </c>
      <c r="K281" s="44">
        <v>2.0</v>
      </c>
      <c r="L281" s="44">
        <v>1.0</v>
      </c>
      <c r="M281" s="66">
        <v>0.42</v>
      </c>
      <c r="N281" s="67" t="s">
        <v>764</v>
      </c>
      <c r="O281" s="43" t="s">
        <v>1145</v>
      </c>
      <c r="P281" s="43" t="s">
        <v>1146</v>
      </c>
      <c r="Q281" s="43" t="s">
        <v>1147</v>
      </c>
    </row>
    <row r="282" ht="15.75" customHeight="1">
      <c r="A282" s="43" t="s">
        <v>1404</v>
      </c>
      <c r="B282" s="43" t="s">
        <v>581</v>
      </c>
      <c r="C282" s="43" t="s">
        <v>299</v>
      </c>
      <c r="D282" s="43" t="s">
        <v>736</v>
      </c>
      <c r="E282" s="43" t="s">
        <v>836</v>
      </c>
      <c r="F282" s="43" t="s">
        <v>798</v>
      </c>
      <c r="G282" s="44">
        <v>2023.0</v>
      </c>
      <c r="H282" s="44">
        <v>0.1592</v>
      </c>
      <c r="I282" s="44">
        <v>0.1806</v>
      </c>
      <c r="J282" s="44">
        <v>4.0</v>
      </c>
      <c r="K282" s="44">
        <v>2.0</v>
      </c>
      <c r="L282" s="44">
        <v>1.0</v>
      </c>
      <c r="M282" s="66">
        <v>2.3061</v>
      </c>
      <c r="N282" s="67" t="s">
        <v>764</v>
      </c>
      <c r="O282" s="43" t="s">
        <v>1145</v>
      </c>
      <c r="P282" s="43" t="s">
        <v>1146</v>
      </c>
      <c r="Q282" s="43" t="s">
        <v>1147</v>
      </c>
    </row>
    <row r="283" ht="15.75" customHeight="1">
      <c r="A283" s="43" t="s">
        <v>1405</v>
      </c>
      <c r="B283" s="43" t="s">
        <v>603</v>
      </c>
      <c r="C283" s="43" t="s">
        <v>146</v>
      </c>
      <c r="D283" s="43" t="s">
        <v>906</v>
      </c>
      <c r="E283" s="43" t="s">
        <v>797</v>
      </c>
      <c r="F283" s="43" t="s">
        <v>798</v>
      </c>
      <c r="G283" s="44">
        <v>2023.0</v>
      </c>
      <c r="H283" s="44">
        <v>0.0243</v>
      </c>
      <c r="I283" s="44">
        <v>0.0281</v>
      </c>
      <c r="J283" s="44">
        <v>2.0</v>
      </c>
      <c r="K283" s="44">
        <v>1.0</v>
      </c>
      <c r="L283" s="44">
        <v>1.0</v>
      </c>
      <c r="M283" s="66">
        <v>0.1309</v>
      </c>
      <c r="N283" s="67" t="s">
        <v>764</v>
      </c>
      <c r="O283" s="43" t="s">
        <v>1145</v>
      </c>
      <c r="P283" s="43" t="s">
        <v>1146</v>
      </c>
      <c r="Q283" s="43" t="s">
        <v>1147</v>
      </c>
    </row>
    <row r="284" ht="15.75" customHeight="1">
      <c r="A284" s="43" t="s">
        <v>1407</v>
      </c>
      <c r="B284" s="43" t="s">
        <v>577</v>
      </c>
      <c r="C284" s="43" t="s">
        <v>511</v>
      </c>
      <c r="D284" s="43" t="s">
        <v>626</v>
      </c>
      <c r="E284" s="43" t="s">
        <v>784</v>
      </c>
      <c r="F284" s="43" t="s">
        <v>751</v>
      </c>
      <c r="G284" s="44">
        <v>2024.0</v>
      </c>
      <c r="H284" s="44">
        <v>0.2915</v>
      </c>
      <c r="I284" s="44">
        <v>0.3344</v>
      </c>
      <c r="J284" s="44">
        <v>2.0</v>
      </c>
      <c r="K284" s="44">
        <v>1.0</v>
      </c>
      <c r="L284" s="44">
        <v>1.0</v>
      </c>
      <c r="M284" s="66">
        <v>34.25</v>
      </c>
      <c r="N284" s="67" t="s">
        <v>764</v>
      </c>
      <c r="O284" s="43" t="s">
        <v>1145</v>
      </c>
      <c r="P284" s="43" t="s">
        <v>1146</v>
      </c>
      <c r="Q284" s="43" t="s">
        <v>1147</v>
      </c>
    </row>
    <row r="285" ht="15.75" customHeight="1">
      <c r="A285" s="43" t="s">
        <v>1409</v>
      </c>
      <c r="B285" s="43" t="s">
        <v>605</v>
      </c>
      <c r="C285" s="43" t="s">
        <v>160</v>
      </c>
      <c r="D285" s="43" t="s">
        <v>937</v>
      </c>
      <c r="E285" s="43" t="s">
        <v>817</v>
      </c>
      <c r="F285" s="43" t="s">
        <v>798</v>
      </c>
      <c r="G285" s="44">
        <v>2023.0</v>
      </c>
      <c r="H285" s="44">
        <v>0.1048</v>
      </c>
      <c r="I285" s="44">
        <v>0.1256</v>
      </c>
      <c r="J285" s="44">
        <v>2.0</v>
      </c>
      <c r="K285" s="44">
        <v>2.0</v>
      </c>
      <c r="L285" s="44">
        <v>1.0</v>
      </c>
      <c r="M285" s="66">
        <v>0.625</v>
      </c>
      <c r="N285" s="67" t="s">
        <v>764</v>
      </c>
      <c r="O285" s="43" t="s">
        <v>1145</v>
      </c>
      <c r="P285" s="43" t="s">
        <v>1146</v>
      </c>
      <c r="Q285" s="43" t="s">
        <v>1147</v>
      </c>
    </row>
    <row r="286" ht="15.75" customHeight="1">
      <c r="A286" s="43" t="s">
        <v>1411</v>
      </c>
      <c r="B286" s="43" t="s">
        <v>581</v>
      </c>
      <c r="C286" s="43" t="s">
        <v>336</v>
      </c>
      <c r="D286" s="43" t="s">
        <v>755</v>
      </c>
      <c r="E286" s="43" t="s">
        <v>842</v>
      </c>
      <c r="F286" s="43" t="s">
        <v>751</v>
      </c>
      <c r="G286" s="44">
        <v>2024.0</v>
      </c>
      <c r="H286" s="44">
        <v>0.1432</v>
      </c>
      <c r="I286" s="44">
        <v>0.1694</v>
      </c>
      <c r="J286" s="44">
        <v>2.0</v>
      </c>
      <c r="K286" s="44">
        <v>2.0</v>
      </c>
      <c r="L286" s="44">
        <v>1.0</v>
      </c>
      <c r="M286" s="66">
        <v>9.41</v>
      </c>
      <c r="N286" s="67" t="s">
        <v>764</v>
      </c>
      <c r="O286" s="43" t="s">
        <v>1145</v>
      </c>
      <c r="P286" s="43" t="s">
        <v>1146</v>
      </c>
      <c r="Q286" s="43" t="s">
        <v>1147</v>
      </c>
    </row>
    <row r="287" ht="15.75" customHeight="1">
      <c r="A287" s="43" t="s">
        <v>1412</v>
      </c>
      <c r="B287" s="43" t="s">
        <v>577</v>
      </c>
      <c r="C287" s="43" t="s">
        <v>511</v>
      </c>
      <c r="D287" s="43" t="s">
        <v>626</v>
      </c>
      <c r="E287" s="43" t="s">
        <v>842</v>
      </c>
      <c r="F287" s="43" t="s">
        <v>751</v>
      </c>
      <c r="G287" s="44">
        <v>2024.0</v>
      </c>
      <c r="H287" s="44">
        <v>1.4864</v>
      </c>
      <c r="I287" s="44">
        <v>1.7434</v>
      </c>
      <c r="J287" s="44">
        <v>14.0</v>
      </c>
      <c r="K287" s="44">
        <v>8.0</v>
      </c>
      <c r="L287" s="44">
        <v>1.0</v>
      </c>
      <c r="M287" s="66">
        <v>117.93</v>
      </c>
      <c r="N287" s="67" t="s">
        <v>764</v>
      </c>
      <c r="O287" s="43" t="s">
        <v>1145</v>
      </c>
      <c r="P287" s="43" t="s">
        <v>1146</v>
      </c>
      <c r="Q287" s="43" t="s">
        <v>1147</v>
      </c>
    </row>
    <row r="288" ht="15.75" customHeight="1">
      <c r="A288" s="43" t="s">
        <v>1414</v>
      </c>
      <c r="B288" s="43" t="s">
        <v>581</v>
      </c>
      <c r="C288" s="43" t="s">
        <v>477</v>
      </c>
      <c r="D288" s="43" t="s">
        <v>759</v>
      </c>
      <c r="E288" s="43" t="s">
        <v>836</v>
      </c>
      <c r="F288" s="43" t="s">
        <v>798</v>
      </c>
      <c r="G288" s="44">
        <v>2023.0</v>
      </c>
      <c r="H288" s="44">
        <v>1.8275</v>
      </c>
      <c r="I288" s="44">
        <v>2.4086</v>
      </c>
      <c r="J288" s="44">
        <v>18.0</v>
      </c>
      <c r="K288" s="44">
        <v>15.0</v>
      </c>
      <c r="L288" s="44">
        <v>2.0</v>
      </c>
      <c r="M288" s="66">
        <v>14.1115</v>
      </c>
      <c r="N288" s="67" t="s">
        <v>764</v>
      </c>
      <c r="O288" s="43" t="s">
        <v>1145</v>
      </c>
      <c r="P288" s="43" t="s">
        <v>1146</v>
      </c>
      <c r="Q288" s="43" t="s">
        <v>1147</v>
      </c>
    </row>
    <row r="289" ht="15.75" customHeight="1">
      <c r="A289" s="43" t="s">
        <v>1416</v>
      </c>
      <c r="B289" s="43" t="s">
        <v>577</v>
      </c>
      <c r="C289" s="43" t="s">
        <v>457</v>
      </c>
      <c r="D289" s="43" t="s">
        <v>621</v>
      </c>
      <c r="E289" s="43" t="s">
        <v>836</v>
      </c>
      <c r="F289" s="43" t="s">
        <v>798</v>
      </c>
      <c r="G289" s="44">
        <v>2023.0</v>
      </c>
      <c r="H289" s="44">
        <v>0.2419</v>
      </c>
      <c r="I289" s="44">
        <v>0.3134</v>
      </c>
      <c r="J289" s="44">
        <v>2.0</v>
      </c>
      <c r="K289" s="44">
        <v>1.0</v>
      </c>
      <c r="L289" s="44">
        <v>1.0</v>
      </c>
      <c r="M289" s="66">
        <v>3.1687</v>
      </c>
      <c r="N289" s="67" t="s">
        <v>764</v>
      </c>
      <c r="O289" s="43" t="s">
        <v>1145</v>
      </c>
      <c r="P289" s="43" t="s">
        <v>1146</v>
      </c>
      <c r="Q289" s="43" t="s">
        <v>1147</v>
      </c>
    </row>
    <row r="290" ht="15.75" customHeight="1">
      <c r="A290" s="43" t="s">
        <v>1418</v>
      </c>
      <c r="B290" s="43" t="s">
        <v>577</v>
      </c>
      <c r="C290" s="43" t="s">
        <v>372</v>
      </c>
      <c r="D290" s="43" t="s">
        <v>673</v>
      </c>
      <c r="E290" s="43" t="s">
        <v>784</v>
      </c>
      <c r="F290" s="43" t="s">
        <v>751</v>
      </c>
      <c r="G290" s="44">
        <v>2024.0</v>
      </c>
      <c r="H290" s="44">
        <v>1.5384</v>
      </c>
      <c r="I290" s="44">
        <v>1.7284</v>
      </c>
      <c r="J290" s="44">
        <v>15.0</v>
      </c>
      <c r="K290" s="44">
        <v>12.0</v>
      </c>
      <c r="L290" s="44">
        <v>1.0</v>
      </c>
      <c r="M290" s="66">
        <v>125.69</v>
      </c>
      <c r="N290" s="67" t="s">
        <v>764</v>
      </c>
      <c r="O290" s="43" t="s">
        <v>1145</v>
      </c>
      <c r="P290" s="43" t="s">
        <v>1146</v>
      </c>
      <c r="Q290" s="43" t="s">
        <v>1147</v>
      </c>
    </row>
    <row r="291" ht="15.75" customHeight="1">
      <c r="A291" s="43" t="s">
        <v>1420</v>
      </c>
      <c r="B291" s="43" t="s">
        <v>577</v>
      </c>
      <c r="C291" s="43" t="s">
        <v>229</v>
      </c>
      <c r="D291" s="43" t="s">
        <v>630</v>
      </c>
      <c r="E291" s="43" t="s">
        <v>826</v>
      </c>
      <c r="F291" s="43" t="s">
        <v>751</v>
      </c>
      <c r="G291" s="44">
        <v>2024.0</v>
      </c>
      <c r="H291" s="44">
        <v>0.8004</v>
      </c>
      <c r="I291" s="44">
        <v>0.8945</v>
      </c>
      <c r="J291" s="44">
        <v>10.0</v>
      </c>
      <c r="K291" s="44">
        <v>6.0</v>
      </c>
      <c r="L291" s="44">
        <v>1.0</v>
      </c>
      <c r="M291" s="66">
        <v>87.0</v>
      </c>
      <c r="N291" s="67" t="s">
        <v>764</v>
      </c>
      <c r="O291" s="43" t="s">
        <v>1145</v>
      </c>
      <c r="P291" s="43" t="s">
        <v>1146</v>
      </c>
      <c r="Q291" s="43" t="s">
        <v>1147</v>
      </c>
    </row>
    <row r="292" ht="15.75" customHeight="1">
      <c r="A292" s="43" t="s">
        <v>1423</v>
      </c>
      <c r="B292" s="43" t="s">
        <v>603</v>
      </c>
      <c r="C292" s="43" t="s">
        <v>317</v>
      </c>
      <c r="D292" s="43" t="s">
        <v>917</v>
      </c>
      <c r="E292" s="43" t="s">
        <v>817</v>
      </c>
      <c r="F292" s="43" t="s">
        <v>798</v>
      </c>
      <c r="G292" s="44">
        <v>2023.0</v>
      </c>
      <c r="H292" s="44">
        <v>0.4238</v>
      </c>
      <c r="I292" s="44">
        <v>0.5619</v>
      </c>
      <c r="J292" s="44">
        <v>6.0</v>
      </c>
      <c r="K292" s="44">
        <v>4.0</v>
      </c>
      <c r="L292" s="44">
        <v>1.0</v>
      </c>
      <c r="M292" s="66">
        <v>1.6638</v>
      </c>
      <c r="N292" s="67" t="s">
        <v>764</v>
      </c>
      <c r="O292" s="43" t="s">
        <v>1145</v>
      </c>
      <c r="P292" s="43" t="s">
        <v>1146</v>
      </c>
      <c r="Q292" s="43" t="s">
        <v>1147</v>
      </c>
    </row>
    <row r="293" ht="15.75" customHeight="1">
      <c r="A293" s="43" t="s">
        <v>1425</v>
      </c>
      <c r="B293" s="43" t="s">
        <v>603</v>
      </c>
      <c r="C293" s="43" t="s">
        <v>495</v>
      </c>
      <c r="D293" s="43" t="s">
        <v>900</v>
      </c>
      <c r="E293" s="43" t="s">
        <v>826</v>
      </c>
      <c r="F293" s="43" t="s">
        <v>751</v>
      </c>
      <c r="G293" s="44">
        <v>2024.0</v>
      </c>
      <c r="H293" s="44">
        <v>0.496</v>
      </c>
      <c r="I293" s="44">
        <v>0.5389</v>
      </c>
      <c r="J293" s="44">
        <v>8.0</v>
      </c>
      <c r="K293" s="44">
        <v>5.0</v>
      </c>
      <c r="L293" s="44">
        <v>1.0</v>
      </c>
      <c r="M293" s="66">
        <v>43.08</v>
      </c>
      <c r="N293" s="67" t="s">
        <v>764</v>
      </c>
      <c r="O293" s="43" t="s">
        <v>1145</v>
      </c>
      <c r="P293" s="43" t="s">
        <v>1146</v>
      </c>
      <c r="Q293" s="43" t="s">
        <v>1147</v>
      </c>
    </row>
    <row r="294" ht="15.75" customHeight="1">
      <c r="A294" s="43" t="s">
        <v>1426</v>
      </c>
      <c r="B294" s="43" t="s">
        <v>577</v>
      </c>
      <c r="C294" s="43" t="s">
        <v>328</v>
      </c>
      <c r="D294" s="43" t="s">
        <v>699</v>
      </c>
      <c r="E294" s="43" t="s">
        <v>842</v>
      </c>
      <c r="F294" s="43" t="s">
        <v>751</v>
      </c>
      <c r="G294" s="44">
        <v>2024.0</v>
      </c>
      <c r="H294" s="44">
        <v>1.1263</v>
      </c>
      <c r="I294" s="44">
        <v>1.2362</v>
      </c>
      <c r="J294" s="44">
        <v>11.0</v>
      </c>
      <c r="K294" s="44">
        <v>9.0</v>
      </c>
      <c r="L294" s="44">
        <v>1.0</v>
      </c>
      <c r="M294" s="66">
        <v>108.23</v>
      </c>
      <c r="N294" s="67" t="s">
        <v>764</v>
      </c>
      <c r="O294" s="43" t="s">
        <v>1145</v>
      </c>
      <c r="P294" s="43" t="s">
        <v>1146</v>
      </c>
      <c r="Q294" s="43" t="s">
        <v>1147</v>
      </c>
    </row>
    <row r="295" ht="15.75" customHeight="1">
      <c r="A295" s="43" t="s">
        <v>1428</v>
      </c>
      <c r="B295" s="43" t="s">
        <v>596</v>
      </c>
      <c r="C295" s="43" t="s">
        <v>443</v>
      </c>
      <c r="D295" s="43" t="s">
        <v>808</v>
      </c>
      <c r="E295" s="43" t="s">
        <v>826</v>
      </c>
      <c r="F295" s="43" t="s">
        <v>751</v>
      </c>
      <c r="G295" s="44">
        <v>2024.0</v>
      </c>
      <c r="H295" s="44">
        <v>0.6369</v>
      </c>
      <c r="I295" s="44">
        <v>0.7328</v>
      </c>
      <c r="J295" s="44">
        <v>7.0</v>
      </c>
      <c r="K295" s="44">
        <v>5.0</v>
      </c>
      <c r="L295" s="44">
        <v>1.0</v>
      </c>
      <c r="M295" s="66">
        <v>55.35</v>
      </c>
      <c r="N295" s="67" t="s">
        <v>764</v>
      </c>
      <c r="O295" s="43" t="s">
        <v>1145</v>
      </c>
      <c r="P295" s="43" t="s">
        <v>1146</v>
      </c>
      <c r="Q295" s="43" t="s">
        <v>1147</v>
      </c>
    </row>
    <row r="296" ht="15.75" customHeight="1">
      <c r="A296" s="43" t="s">
        <v>1431</v>
      </c>
      <c r="B296" s="43" t="s">
        <v>581</v>
      </c>
      <c r="C296" s="43" t="s">
        <v>505</v>
      </c>
      <c r="D296" s="43" t="s">
        <v>799</v>
      </c>
      <c r="E296" s="43" t="s">
        <v>784</v>
      </c>
      <c r="F296" s="43" t="s">
        <v>751</v>
      </c>
      <c r="G296" s="44">
        <v>2024.0</v>
      </c>
      <c r="H296" s="44">
        <v>1.3696</v>
      </c>
      <c r="I296" s="44">
        <v>1.5755</v>
      </c>
      <c r="J296" s="44">
        <v>13.0</v>
      </c>
      <c r="K296" s="44">
        <v>8.0</v>
      </c>
      <c r="L296" s="44">
        <v>1.0</v>
      </c>
      <c r="M296" s="66">
        <v>126.98</v>
      </c>
      <c r="N296" s="67" t="s">
        <v>764</v>
      </c>
      <c r="O296" s="43" t="s">
        <v>1145</v>
      </c>
      <c r="P296" s="43" t="s">
        <v>1146</v>
      </c>
      <c r="Q296" s="43" t="s">
        <v>1147</v>
      </c>
    </row>
    <row r="297" ht="15.75" customHeight="1">
      <c r="A297" s="43" t="s">
        <v>1433</v>
      </c>
      <c r="B297" s="43" t="s">
        <v>577</v>
      </c>
      <c r="C297" s="43" t="s">
        <v>78</v>
      </c>
      <c r="D297" s="43" t="s">
        <v>680</v>
      </c>
      <c r="E297" s="43" t="s">
        <v>817</v>
      </c>
      <c r="F297" s="43" t="s">
        <v>798</v>
      </c>
      <c r="G297" s="44">
        <v>2023.0</v>
      </c>
      <c r="H297" s="44">
        <v>0.0718</v>
      </c>
      <c r="I297" s="44">
        <v>0.0887</v>
      </c>
      <c r="J297" s="44">
        <v>3.0</v>
      </c>
      <c r="K297" s="44">
        <v>2.0</v>
      </c>
      <c r="L297" s="44">
        <v>1.0</v>
      </c>
      <c r="M297" s="66">
        <v>0.2262</v>
      </c>
      <c r="N297" s="67" t="s">
        <v>764</v>
      </c>
      <c r="O297" s="43" t="s">
        <v>1145</v>
      </c>
      <c r="P297" s="43" t="s">
        <v>1146</v>
      </c>
      <c r="Q297" s="43" t="s">
        <v>1147</v>
      </c>
    </row>
    <row r="298" ht="15.75" customHeight="1">
      <c r="A298" s="43" t="s">
        <v>1435</v>
      </c>
      <c r="B298" s="43" t="s">
        <v>581</v>
      </c>
      <c r="C298" s="43" t="s">
        <v>430</v>
      </c>
      <c r="D298" s="43" t="s">
        <v>741</v>
      </c>
      <c r="E298" s="43" t="s">
        <v>797</v>
      </c>
      <c r="F298" s="43" t="s">
        <v>798</v>
      </c>
      <c r="G298" s="44">
        <v>2023.0</v>
      </c>
      <c r="H298" s="44">
        <v>0.0243</v>
      </c>
      <c r="I298" s="44">
        <v>0.0317</v>
      </c>
      <c r="J298" s="44">
        <v>3.0</v>
      </c>
      <c r="K298" s="44">
        <v>2.0</v>
      </c>
      <c r="L298" s="44">
        <v>1.0</v>
      </c>
      <c r="M298" s="66">
        <v>0.1138</v>
      </c>
      <c r="N298" s="67" t="s">
        <v>764</v>
      </c>
      <c r="O298" s="43" t="s">
        <v>1145</v>
      </c>
      <c r="P298" s="43" t="s">
        <v>1146</v>
      </c>
      <c r="Q298" s="43" t="s">
        <v>1147</v>
      </c>
    </row>
    <row r="299" ht="15.75" customHeight="1">
      <c r="A299" s="43" t="s">
        <v>1437</v>
      </c>
      <c r="B299" s="43" t="s">
        <v>577</v>
      </c>
      <c r="C299" s="43" t="s">
        <v>501</v>
      </c>
      <c r="D299" s="43" t="s">
        <v>691</v>
      </c>
      <c r="E299" s="43" t="s">
        <v>842</v>
      </c>
      <c r="F299" s="43" t="s">
        <v>751</v>
      </c>
      <c r="G299" s="44">
        <v>2024.0</v>
      </c>
      <c r="H299" s="44">
        <v>0.3003</v>
      </c>
      <c r="I299" s="44">
        <v>0.3486</v>
      </c>
      <c r="J299" s="44">
        <v>3.0</v>
      </c>
      <c r="K299" s="44">
        <v>2.0</v>
      </c>
      <c r="L299" s="44">
        <v>1.0</v>
      </c>
      <c r="M299" s="66">
        <v>22.85</v>
      </c>
      <c r="N299" s="67" t="s">
        <v>764</v>
      </c>
      <c r="O299" s="43" t="s">
        <v>1145</v>
      </c>
      <c r="P299" s="43" t="s">
        <v>1146</v>
      </c>
      <c r="Q299" s="43" t="s">
        <v>1147</v>
      </c>
    </row>
    <row r="300" ht="15.75" customHeight="1">
      <c r="A300" s="43" t="s">
        <v>1438</v>
      </c>
      <c r="B300" s="43" t="s">
        <v>581</v>
      </c>
      <c r="C300" s="43" t="s">
        <v>202</v>
      </c>
      <c r="D300" s="43" t="s">
        <v>803</v>
      </c>
      <c r="E300" s="43" t="s">
        <v>826</v>
      </c>
      <c r="F300" s="43" t="s">
        <v>751</v>
      </c>
      <c r="G300" s="44">
        <v>2024.0</v>
      </c>
      <c r="H300" s="44">
        <v>0.9614</v>
      </c>
      <c r="I300" s="44">
        <v>1.269</v>
      </c>
      <c r="J300" s="44">
        <v>6.0</v>
      </c>
      <c r="K300" s="44">
        <v>3.0</v>
      </c>
      <c r="L300" s="44">
        <v>1.0</v>
      </c>
      <c r="M300" s="66">
        <v>77.79</v>
      </c>
      <c r="N300" s="67" t="s">
        <v>764</v>
      </c>
      <c r="O300" s="43" t="s">
        <v>1145</v>
      </c>
      <c r="P300" s="43" t="s">
        <v>1146</v>
      </c>
      <c r="Q300" s="43" t="s">
        <v>1147</v>
      </c>
    </row>
    <row r="301" ht="15.75" customHeight="1">
      <c r="A301" s="43" t="s">
        <v>1440</v>
      </c>
      <c r="B301" s="43" t="s">
        <v>577</v>
      </c>
      <c r="C301" s="43" t="s">
        <v>511</v>
      </c>
      <c r="D301" s="43" t="s">
        <v>626</v>
      </c>
      <c r="E301" s="43" t="s">
        <v>797</v>
      </c>
      <c r="F301" s="43" t="s">
        <v>798</v>
      </c>
      <c r="G301" s="44">
        <v>2023.0</v>
      </c>
      <c r="H301" s="44">
        <v>0.019</v>
      </c>
      <c r="I301" s="44">
        <v>0.0214</v>
      </c>
      <c r="J301" s="44">
        <v>2.0</v>
      </c>
      <c r="K301" s="44">
        <v>1.0</v>
      </c>
      <c r="L301" s="44">
        <v>1.0</v>
      </c>
      <c r="M301" s="66">
        <v>0.0962</v>
      </c>
      <c r="N301" s="67" t="s">
        <v>764</v>
      </c>
      <c r="O301" s="43" t="s">
        <v>1145</v>
      </c>
      <c r="P301" s="43" t="s">
        <v>1146</v>
      </c>
      <c r="Q301" s="43" t="s">
        <v>1147</v>
      </c>
    </row>
    <row r="302" ht="15.75" customHeight="1">
      <c r="A302" s="43" t="s">
        <v>1442</v>
      </c>
      <c r="B302" s="43" t="s">
        <v>603</v>
      </c>
      <c r="C302" s="43" t="s">
        <v>272</v>
      </c>
      <c r="D302" s="43" t="s">
        <v>891</v>
      </c>
      <c r="E302" s="43" t="s">
        <v>836</v>
      </c>
      <c r="F302" s="43" t="s">
        <v>798</v>
      </c>
      <c r="G302" s="44">
        <v>2023.0</v>
      </c>
      <c r="H302" s="44">
        <v>0.2565</v>
      </c>
      <c r="I302" s="44">
        <v>0.3136</v>
      </c>
      <c r="J302" s="44">
        <v>2.0</v>
      </c>
      <c r="K302" s="44">
        <v>1.0</v>
      </c>
      <c r="L302" s="44">
        <v>1.0</v>
      </c>
      <c r="M302" s="66">
        <v>3.1402</v>
      </c>
      <c r="N302" s="67" t="s">
        <v>764</v>
      </c>
      <c r="O302" s="43" t="s">
        <v>1145</v>
      </c>
      <c r="P302" s="43" t="s">
        <v>1146</v>
      </c>
      <c r="Q302" s="43" t="s">
        <v>1147</v>
      </c>
    </row>
    <row r="303" ht="15.75" customHeight="1">
      <c r="A303" s="43" t="s">
        <v>1444</v>
      </c>
      <c r="B303" s="43" t="s">
        <v>577</v>
      </c>
      <c r="C303" s="43" t="s">
        <v>499</v>
      </c>
      <c r="D303" s="43" t="s">
        <v>651</v>
      </c>
      <c r="E303" s="43" t="s">
        <v>749</v>
      </c>
      <c r="F303" s="43" t="s">
        <v>751</v>
      </c>
      <c r="G303" s="44">
        <v>2024.0</v>
      </c>
      <c r="H303" s="44">
        <v>0.0044</v>
      </c>
      <c r="I303" s="44">
        <v>0.0059</v>
      </c>
      <c r="J303" s="44">
        <v>2.0</v>
      </c>
      <c r="K303" s="44">
        <v>1.0</v>
      </c>
      <c r="L303" s="44">
        <v>1.0</v>
      </c>
      <c r="M303" s="66">
        <v>0.41</v>
      </c>
      <c r="N303" s="67" t="s">
        <v>764</v>
      </c>
      <c r="O303" s="43" t="s">
        <v>1145</v>
      </c>
      <c r="P303" s="43" t="s">
        <v>1146</v>
      </c>
      <c r="Q303" s="43" t="s">
        <v>1147</v>
      </c>
    </row>
    <row r="304" ht="15.75" customHeight="1">
      <c r="A304" s="43" t="s">
        <v>1446</v>
      </c>
      <c r="B304" s="43" t="s">
        <v>581</v>
      </c>
      <c r="C304" s="43" t="s">
        <v>305</v>
      </c>
      <c r="D304" s="43" t="s">
        <v>788</v>
      </c>
      <c r="E304" s="43" t="s">
        <v>797</v>
      </c>
      <c r="F304" s="43" t="s">
        <v>798</v>
      </c>
      <c r="G304" s="44">
        <v>2023.0</v>
      </c>
      <c r="H304" s="44">
        <v>0.0393</v>
      </c>
      <c r="I304" s="44">
        <v>0.0481</v>
      </c>
      <c r="J304" s="44">
        <v>5.0</v>
      </c>
      <c r="K304" s="44">
        <v>3.0</v>
      </c>
      <c r="L304" s="44">
        <v>1.0</v>
      </c>
      <c r="M304" s="66">
        <v>0.1645</v>
      </c>
      <c r="N304" s="67" t="s">
        <v>764</v>
      </c>
      <c r="O304" s="43" t="s">
        <v>1145</v>
      </c>
      <c r="P304" s="43" t="s">
        <v>1146</v>
      </c>
      <c r="Q304" s="43" t="s">
        <v>1147</v>
      </c>
    </row>
    <row r="305" ht="15.75" customHeight="1">
      <c r="A305" s="43" t="s">
        <v>1448</v>
      </c>
      <c r="B305" s="43" t="s">
        <v>577</v>
      </c>
      <c r="C305" s="43" t="s">
        <v>513</v>
      </c>
      <c r="D305" s="43" t="s">
        <v>666</v>
      </c>
      <c r="E305" s="43" t="s">
        <v>842</v>
      </c>
      <c r="F305" s="43" t="s">
        <v>751</v>
      </c>
      <c r="G305" s="44">
        <v>2024.0</v>
      </c>
      <c r="H305" s="44">
        <v>0.5615</v>
      </c>
      <c r="I305" s="44">
        <v>0.6192</v>
      </c>
      <c r="J305" s="44">
        <v>4.0</v>
      </c>
      <c r="K305" s="44">
        <v>2.0</v>
      </c>
      <c r="L305" s="44">
        <v>1.0</v>
      </c>
      <c r="M305" s="66">
        <v>39.8</v>
      </c>
      <c r="N305" s="67" t="s">
        <v>764</v>
      </c>
      <c r="O305" s="43" t="s">
        <v>1145</v>
      </c>
      <c r="P305" s="43" t="s">
        <v>1146</v>
      </c>
      <c r="Q305" s="43" t="s">
        <v>1147</v>
      </c>
    </row>
    <row r="306" ht="15.75" customHeight="1">
      <c r="A306" s="43" t="s">
        <v>1449</v>
      </c>
      <c r="B306" s="43" t="s">
        <v>581</v>
      </c>
      <c r="C306" s="43" t="s">
        <v>436</v>
      </c>
      <c r="D306" s="43" t="s">
        <v>793</v>
      </c>
      <c r="E306" s="43" t="s">
        <v>784</v>
      </c>
      <c r="F306" s="43" t="s">
        <v>751</v>
      </c>
      <c r="G306" s="44">
        <v>2024.0</v>
      </c>
      <c r="H306" s="44">
        <v>0.52</v>
      </c>
      <c r="I306" s="44">
        <v>0.588</v>
      </c>
      <c r="J306" s="44">
        <v>9.0</v>
      </c>
      <c r="K306" s="44">
        <v>6.0</v>
      </c>
      <c r="L306" s="44">
        <v>1.0</v>
      </c>
      <c r="M306" s="66">
        <v>37.93</v>
      </c>
      <c r="N306" s="67" t="s">
        <v>764</v>
      </c>
      <c r="O306" s="43" t="s">
        <v>1145</v>
      </c>
      <c r="P306" s="43" t="s">
        <v>1146</v>
      </c>
      <c r="Q306" s="43" t="s">
        <v>1147</v>
      </c>
    </row>
    <row r="307" ht="15.75" customHeight="1">
      <c r="A307" s="43" t="s">
        <v>1450</v>
      </c>
      <c r="B307" s="43" t="s">
        <v>577</v>
      </c>
      <c r="C307" s="43" t="s">
        <v>363</v>
      </c>
      <c r="D307" s="43" t="s">
        <v>634</v>
      </c>
      <c r="E307" s="43" t="s">
        <v>749</v>
      </c>
      <c r="F307" s="43" t="s">
        <v>751</v>
      </c>
      <c r="G307" s="44">
        <v>2024.0</v>
      </c>
      <c r="H307" s="44">
        <v>0.0163</v>
      </c>
      <c r="I307" s="44">
        <v>0.0199</v>
      </c>
      <c r="J307" s="44">
        <v>2.0</v>
      </c>
      <c r="K307" s="44">
        <v>2.0</v>
      </c>
      <c r="L307" s="44">
        <v>1.0</v>
      </c>
      <c r="M307" s="66">
        <v>1.51</v>
      </c>
      <c r="N307" s="67" t="s">
        <v>764</v>
      </c>
      <c r="O307" s="43" t="s">
        <v>1145</v>
      </c>
      <c r="P307" s="43" t="s">
        <v>1146</v>
      </c>
      <c r="Q307" s="43" t="s">
        <v>1147</v>
      </c>
    </row>
    <row r="308" ht="15.75" customHeight="1">
      <c r="A308" s="43" t="s">
        <v>1451</v>
      </c>
      <c r="B308" s="43" t="s">
        <v>577</v>
      </c>
      <c r="C308" s="43" t="s">
        <v>185</v>
      </c>
      <c r="D308" s="43" t="s">
        <v>695</v>
      </c>
      <c r="E308" s="43" t="s">
        <v>797</v>
      </c>
      <c r="F308" s="43" t="s">
        <v>798</v>
      </c>
      <c r="G308" s="44">
        <v>2023.0</v>
      </c>
      <c r="H308" s="44">
        <v>0.147</v>
      </c>
      <c r="I308" s="44">
        <v>0.1775</v>
      </c>
      <c r="J308" s="44">
        <v>2.0</v>
      </c>
      <c r="K308" s="44">
        <v>1.0</v>
      </c>
      <c r="L308" s="44">
        <v>1.0</v>
      </c>
      <c r="M308" s="66">
        <v>0.8027</v>
      </c>
      <c r="N308" s="67" t="s">
        <v>764</v>
      </c>
      <c r="O308" s="43" t="s">
        <v>1145</v>
      </c>
      <c r="P308" s="43" t="s">
        <v>1146</v>
      </c>
      <c r="Q308" s="43" t="s">
        <v>1147</v>
      </c>
    </row>
    <row r="309" ht="15.75" customHeight="1">
      <c r="A309" s="43" t="s">
        <v>1452</v>
      </c>
      <c r="B309" s="43" t="s">
        <v>577</v>
      </c>
      <c r="C309" s="43" t="s">
        <v>229</v>
      </c>
      <c r="D309" s="43" t="s">
        <v>630</v>
      </c>
      <c r="E309" s="43" t="s">
        <v>842</v>
      </c>
      <c r="F309" s="43" t="s">
        <v>751</v>
      </c>
      <c r="G309" s="44">
        <v>2024.0</v>
      </c>
      <c r="H309" s="44">
        <v>0.5633</v>
      </c>
      <c r="I309" s="44">
        <v>0.0</v>
      </c>
      <c r="J309" s="44">
        <v>4.0</v>
      </c>
      <c r="K309" s="44">
        <v>3.0</v>
      </c>
      <c r="L309" s="44">
        <v>1.0</v>
      </c>
      <c r="M309" s="66">
        <v>39.1</v>
      </c>
      <c r="N309" s="67" t="s">
        <v>764</v>
      </c>
      <c r="O309" s="43" t="s">
        <v>1145</v>
      </c>
      <c r="P309" s="43" t="s">
        <v>1146</v>
      </c>
      <c r="Q309" s="43" t="s">
        <v>1147</v>
      </c>
    </row>
    <row r="310" ht="15.75" customHeight="1">
      <c r="A310" s="43" t="s">
        <v>1455</v>
      </c>
      <c r="B310" s="43" t="s">
        <v>596</v>
      </c>
      <c r="C310" s="43" t="s">
        <v>136</v>
      </c>
      <c r="D310" s="43" t="s">
        <v>852</v>
      </c>
      <c r="E310" s="43" t="s">
        <v>749</v>
      </c>
      <c r="F310" s="43" t="s">
        <v>751</v>
      </c>
      <c r="G310" s="44">
        <v>2024.0</v>
      </c>
      <c r="H310" s="44">
        <v>0.0255</v>
      </c>
      <c r="I310" s="44">
        <v>0.0335</v>
      </c>
      <c r="J310" s="44">
        <v>2.0</v>
      </c>
      <c r="K310" s="44">
        <v>1.0</v>
      </c>
      <c r="L310" s="44">
        <v>1.0</v>
      </c>
      <c r="M310" s="66">
        <v>1.81</v>
      </c>
      <c r="N310" s="67" t="s">
        <v>764</v>
      </c>
      <c r="O310" s="43" t="s">
        <v>1145</v>
      </c>
      <c r="P310" s="43" t="s">
        <v>1146</v>
      </c>
      <c r="Q310" s="43" t="s">
        <v>1147</v>
      </c>
    </row>
    <row r="311" ht="15.75" customHeight="1">
      <c r="A311" s="43" t="s">
        <v>1457</v>
      </c>
      <c r="B311" s="43" t="s">
        <v>596</v>
      </c>
      <c r="C311" s="43" t="s">
        <v>312</v>
      </c>
      <c r="D311" s="43" t="s">
        <v>857</v>
      </c>
      <c r="E311" s="43" t="s">
        <v>784</v>
      </c>
      <c r="F311" s="43" t="s">
        <v>751</v>
      </c>
      <c r="G311" s="44">
        <v>2024.0</v>
      </c>
      <c r="H311" s="44">
        <v>0.4901</v>
      </c>
      <c r="I311" s="44">
        <v>0.6084</v>
      </c>
      <c r="J311" s="44">
        <v>7.0</v>
      </c>
      <c r="K311" s="44">
        <v>4.0</v>
      </c>
      <c r="L311" s="44">
        <v>1.0</v>
      </c>
      <c r="M311" s="66">
        <v>32.65</v>
      </c>
      <c r="N311" s="67" t="s">
        <v>764</v>
      </c>
      <c r="O311" s="43" t="s">
        <v>1145</v>
      </c>
      <c r="P311" s="43" t="s">
        <v>1146</v>
      </c>
      <c r="Q311" s="43" t="s">
        <v>1147</v>
      </c>
    </row>
    <row r="312" ht="15.75" customHeight="1">
      <c r="A312" s="43" t="s">
        <v>1458</v>
      </c>
      <c r="B312" s="43" t="s">
        <v>581</v>
      </c>
      <c r="C312" s="43" t="s">
        <v>385</v>
      </c>
      <c r="D312" s="43" t="s">
        <v>773</v>
      </c>
      <c r="E312" s="43" t="s">
        <v>817</v>
      </c>
      <c r="F312" s="43" t="s">
        <v>798</v>
      </c>
      <c r="G312" s="44">
        <v>2023.0</v>
      </c>
      <c r="H312" s="44">
        <v>0.0373</v>
      </c>
      <c r="I312" s="44">
        <v>0.0423</v>
      </c>
      <c r="J312" s="44">
        <v>2.0</v>
      </c>
      <c r="K312" s="44">
        <v>1.0</v>
      </c>
      <c r="L312" s="44">
        <v>1.0</v>
      </c>
      <c r="M312" s="66">
        <v>0.2276</v>
      </c>
      <c r="N312" s="67" t="s">
        <v>764</v>
      </c>
      <c r="O312" s="43" t="s">
        <v>1145</v>
      </c>
      <c r="P312" s="43" t="s">
        <v>1146</v>
      </c>
      <c r="Q312" s="43" t="s">
        <v>1147</v>
      </c>
    </row>
    <row r="313" ht="15.75" customHeight="1">
      <c r="A313" s="43" t="s">
        <v>1460</v>
      </c>
      <c r="B313" s="43" t="s">
        <v>581</v>
      </c>
      <c r="C313" s="43" t="s">
        <v>517</v>
      </c>
      <c r="D313" s="43" t="s">
        <v>763</v>
      </c>
      <c r="E313" s="43" t="s">
        <v>749</v>
      </c>
      <c r="F313" s="43" t="s">
        <v>751</v>
      </c>
      <c r="G313" s="44">
        <v>2024.0</v>
      </c>
      <c r="H313" s="44">
        <v>0.0076</v>
      </c>
      <c r="I313" s="44">
        <v>0.0086</v>
      </c>
      <c r="J313" s="44">
        <v>2.0</v>
      </c>
      <c r="K313" s="44">
        <v>1.0</v>
      </c>
      <c r="L313" s="44">
        <v>1.0</v>
      </c>
      <c r="M313" s="66">
        <v>0.6</v>
      </c>
      <c r="N313" s="67" t="s">
        <v>764</v>
      </c>
      <c r="O313" s="43" t="s">
        <v>1145</v>
      </c>
      <c r="P313" s="43" t="s">
        <v>1146</v>
      </c>
      <c r="Q313" s="43" t="s">
        <v>1147</v>
      </c>
    </row>
    <row r="314" ht="15.75" customHeight="1">
      <c r="A314" s="43" t="s">
        <v>1462</v>
      </c>
      <c r="B314" s="43" t="s">
        <v>577</v>
      </c>
      <c r="C314" s="43" t="s">
        <v>294</v>
      </c>
      <c r="D314" s="43" t="s">
        <v>684</v>
      </c>
      <c r="E314" s="43" t="s">
        <v>749</v>
      </c>
      <c r="F314" s="43" t="s">
        <v>751</v>
      </c>
      <c r="G314" s="44">
        <v>2024.0</v>
      </c>
      <c r="H314" s="44">
        <v>0.0038</v>
      </c>
      <c r="I314" s="44">
        <v>0.0047</v>
      </c>
      <c r="J314" s="44">
        <v>2.0</v>
      </c>
      <c r="K314" s="44">
        <v>1.0</v>
      </c>
      <c r="L314" s="44">
        <v>1.0</v>
      </c>
      <c r="M314" s="66">
        <v>0.31</v>
      </c>
      <c r="N314" s="67" t="s">
        <v>764</v>
      </c>
      <c r="O314" s="43" t="s">
        <v>1145</v>
      </c>
      <c r="P314" s="43" t="s">
        <v>1146</v>
      </c>
      <c r="Q314" s="43" t="s">
        <v>1147</v>
      </c>
    </row>
    <row r="315" ht="15.75" customHeight="1">
      <c r="A315" s="43" t="s">
        <v>1464</v>
      </c>
      <c r="B315" s="43" t="s">
        <v>581</v>
      </c>
      <c r="C315" s="43" t="s">
        <v>252</v>
      </c>
      <c r="D315" s="43" t="s">
        <v>714</v>
      </c>
      <c r="E315" s="43" t="s">
        <v>784</v>
      </c>
      <c r="F315" s="43" t="s">
        <v>751</v>
      </c>
      <c r="G315" s="44">
        <v>2024.0</v>
      </c>
      <c r="H315" s="44">
        <v>1.0203</v>
      </c>
      <c r="I315" s="44">
        <v>1.205</v>
      </c>
      <c r="J315" s="44">
        <v>12.0</v>
      </c>
      <c r="K315" s="44">
        <v>10.0</v>
      </c>
      <c r="L315" s="44">
        <v>1.0</v>
      </c>
      <c r="M315" s="66">
        <v>84.5</v>
      </c>
      <c r="N315" s="67" t="s">
        <v>764</v>
      </c>
      <c r="O315" s="43" t="s">
        <v>1145</v>
      </c>
      <c r="P315" s="43" t="s">
        <v>1146</v>
      </c>
      <c r="Q315" s="43" t="s">
        <v>1147</v>
      </c>
    </row>
    <row r="316" ht="15.75" customHeight="1">
      <c r="A316" s="43" t="s">
        <v>1466</v>
      </c>
      <c r="B316" s="43" t="s">
        <v>581</v>
      </c>
      <c r="C316" s="43" t="s">
        <v>196</v>
      </c>
      <c r="D316" s="43" t="s">
        <v>750</v>
      </c>
      <c r="E316" s="43" t="s">
        <v>784</v>
      </c>
      <c r="F316" s="43" t="s">
        <v>751</v>
      </c>
      <c r="G316" s="44">
        <v>2024.0</v>
      </c>
      <c r="H316" s="44">
        <v>0.7964</v>
      </c>
      <c r="I316" s="44">
        <v>1.0138</v>
      </c>
      <c r="J316" s="44">
        <v>10.0</v>
      </c>
      <c r="K316" s="44">
        <v>7.0</v>
      </c>
      <c r="L316" s="44">
        <v>1.0</v>
      </c>
      <c r="M316" s="66">
        <v>78.11</v>
      </c>
      <c r="N316" s="67" t="s">
        <v>764</v>
      </c>
      <c r="O316" s="43" t="s">
        <v>1145</v>
      </c>
      <c r="P316" s="43" t="s">
        <v>1146</v>
      </c>
      <c r="Q316" s="43" t="s">
        <v>1147</v>
      </c>
    </row>
    <row r="317" ht="15.75" customHeight="1">
      <c r="A317" s="43" t="s">
        <v>1468</v>
      </c>
      <c r="B317" s="43" t="s">
        <v>581</v>
      </c>
      <c r="C317" s="43" t="s">
        <v>299</v>
      </c>
      <c r="D317" s="43" t="s">
        <v>736</v>
      </c>
      <c r="E317" s="43" t="s">
        <v>817</v>
      </c>
      <c r="F317" s="43" t="s">
        <v>798</v>
      </c>
      <c r="G317" s="44">
        <v>2023.0</v>
      </c>
      <c r="H317" s="44">
        <v>0.1794</v>
      </c>
      <c r="I317" s="44">
        <v>0.2174</v>
      </c>
      <c r="J317" s="44">
        <v>4.0</v>
      </c>
      <c r="K317" s="44">
        <v>2.0</v>
      </c>
      <c r="L317" s="44">
        <v>1.0</v>
      </c>
      <c r="M317" s="66">
        <v>1.365</v>
      </c>
      <c r="N317" s="67" t="s">
        <v>764</v>
      </c>
      <c r="O317" s="43" t="s">
        <v>1145</v>
      </c>
      <c r="P317" s="43" t="s">
        <v>1146</v>
      </c>
      <c r="Q317" s="43" t="s">
        <v>1147</v>
      </c>
    </row>
    <row r="318" ht="15.75" customHeight="1">
      <c r="A318" s="43" t="s">
        <v>1469</v>
      </c>
      <c r="B318" s="43" t="s">
        <v>581</v>
      </c>
      <c r="C318" s="43" t="s">
        <v>477</v>
      </c>
      <c r="D318" s="43" t="s">
        <v>759</v>
      </c>
      <c r="E318" s="43" t="s">
        <v>797</v>
      </c>
      <c r="F318" s="43" t="s">
        <v>798</v>
      </c>
      <c r="G318" s="44">
        <v>2023.0</v>
      </c>
      <c r="H318" s="44">
        <v>0.0804</v>
      </c>
      <c r="I318" s="44">
        <v>0.0873</v>
      </c>
      <c r="J318" s="44">
        <v>2.0</v>
      </c>
      <c r="K318" s="44">
        <v>1.0</v>
      </c>
      <c r="L318" s="44">
        <v>1.0</v>
      </c>
      <c r="M318" s="66">
        <v>0.4768</v>
      </c>
      <c r="N318" s="67" t="s">
        <v>764</v>
      </c>
      <c r="O318" s="43" t="s">
        <v>1145</v>
      </c>
      <c r="P318" s="43" t="s">
        <v>1146</v>
      </c>
      <c r="Q318" s="43" t="s">
        <v>1147</v>
      </c>
    </row>
    <row r="319" ht="15.75" customHeight="1">
      <c r="A319" s="43" t="s">
        <v>1471</v>
      </c>
      <c r="B319" s="43" t="s">
        <v>577</v>
      </c>
      <c r="C319" s="43" t="s">
        <v>487</v>
      </c>
      <c r="D319" s="43" t="s">
        <v>677</v>
      </c>
      <c r="E319" s="43" t="s">
        <v>817</v>
      </c>
      <c r="F319" s="43" t="s">
        <v>798</v>
      </c>
      <c r="G319" s="44">
        <v>2023.0</v>
      </c>
      <c r="H319" s="44">
        <v>0.1137</v>
      </c>
      <c r="I319" s="44">
        <v>0.1235</v>
      </c>
      <c r="J319" s="44">
        <v>2.0</v>
      </c>
      <c r="K319" s="44">
        <v>2.0</v>
      </c>
      <c r="L319" s="44">
        <v>1.0</v>
      </c>
      <c r="M319" s="66">
        <v>0.5045</v>
      </c>
      <c r="N319" s="67" t="s">
        <v>764</v>
      </c>
      <c r="O319" s="43" t="s">
        <v>1145</v>
      </c>
      <c r="P319" s="43" t="s">
        <v>1146</v>
      </c>
      <c r="Q319" s="43" t="s">
        <v>1147</v>
      </c>
    </row>
    <row r="320" ht="15.75" customHeight="1">
      <c r="A320" s="43" t="s">
        <v>1473</v>
      </c>
      <c r="B320" s="43" t="s">
        <v>577</v>
      </c>
      <c r="C320" s="43" t="s">
        <v>326</v>
      </c>
      <c r="D320" s="43" t="s">
        <v>658</v>
      </c>
      <c r="E320" s="43" t="s">
        <v>797</v>
      </c>
      <c r="F320" s="43" t="s">
        <v>798</v>
      </c>
      <c r="G320" s="44">
        <v>2023.0</v>
      </c>
      <c r="H320" s="44">
        <v>0.0196</v>
      </c>
      <c r="I320" s="44">
        <v>0.0241</v>
      </c>
      <c r="J320" s="44">
        <v>3.0</v>
      </c>
      <c r="K320" s="44">
        <v>2.0</v>
      </c>
      <c r="L320" s="44">
        <v>1.0</v>
      </c>
      <c r="M320" s="66">
        <v>0.1021</v>
      </c>
      <c r="N320" s="67" t="s">
        <v>764</v>
      </c>
      <c r="O320" s="43" t="s">
        <v>1145</v>
      </c>
      <c r="P320" s="43" t="s">
        <v>1146</v>
      </c>
      <c r="Q320" s="43" t="s">
        <v>1147</v>
      </c>
    </row>
    <row r="321" ht="15.75" customHeight="1">
      <c r="A321" s="43" t="s">
        <v>1475</v>
      </c>
      <c r="B321" s="43" t="s">
        <v>581</v>
      </c>
      <c r="C321" s="43" t="s">
        <v>299</v>
      </c>
      <c r="D321" s="43" t="s">
        <v>736</v>
      </c>
      <c r="E321" s="43" t="s">
        <v>797</v>
      </c>
      <c r="F321" s="43" t="s">
        <v>798</v>
      </c>
      <c r="G321" s="44">
        <v>2023.0</v>
      </c>
      <c r="H321" s="44">
        <v>0.1641</v>
      </c>
      <c r="I321" s="44">
        <v>0.1847</v>
      </c>
      <c r="J321" s="44">
        <v>2.0</v>
      </c>
      <c r="K321" s="44">
        <v>1.0</v>
      </c>
      <c r="L321" s="44">
        <v>1.0</v>
      </c>
      <c r="M321" s="66">
        <v>0.9291</v>
      </c>
      <c r="N321" s="67" t="s">
        <v>764</v>
      </c>
      <c r="O321" s="43" t="s">
        <v>1145</v>
      </c>
      <c r="P321" s="43" t="s">
        <v>1146</v>
      </c>
      <c r="Q321" s="43" t="s">
        <v>1147</v>
      </c>
    </row>
    <row r="322" ht="15.75" customHeight="1">
      <c r="A322" s="43" t="s">
        <v>1477</v>
      </c>
      <c r="B322" s="43" t="s">
        <v>581</v>
      </c>
      <c r="C322" s="43" t="s">
        <v>430</v>
      </c>
      <c r="D322" s="43" t="s">
        <v>741</v>
      </c>
      <c r="E322" s="43" t="s">
        <v>842</v>
      </c>
      <c r="F322" s="43" t="s">
        <v>751</v>
      </c>
      <c r="G322" s="44">
        <v>2024.0</v>
      </c>
      <c r="H322" s="44">
        <v>0.3316</v>
      </c>
      <c r="I322" s="44">
        <v>0.3933</v>
      </c>
      <c r="J322" s="44">
        <v>4.0</v>
      </c>
      <c r="K322" s="44">
        <v>2.0</v>
      </c>
      <c r="L322" s="44">
        <v>1.0</v>
      </c>
      <c r="M322" s="66">
        <v>24.88</v>
      </c>
      <c r="N322" s="67" t="s">
        <v>764</v>
      </c>
      <c r="O322" s="43" t="s">
        <v>1145</v>
      </c>
      <c r="P322" s="43" t="s">
        <v>1146</v>
      </c>
      <c r="Q322" s="43" t="s">
        <v>1147</v>
      </c>
    </row>
    <row r="323" ht="15.75" customHeight="1">
      <c r="A323" s="43" t="s">
        <v>1478</v>
      </c>
      <c r="B323" s="43" t="s">
        <v>581</v>
      </c>
      <c r="C323" s="43" t="s">
        <v>260</v>
      </c>
      <c r="D323" s="43" t="s">
        <v>769</v>
      </c>
      <c r="E323" s="43" t="s">
        <v>836</v>
      </c>
      <c r="F323" s="43" t="s">
        <v>798</v>
      </c>
      <c r="G323" s="44">
        <v>2023.0</v>
      </c>
      <c r="H323" s="44">
        <v>0.8468</v>
      </c>
      <c r="I323" s="44">
        <v>1.1112</v>
      </c>
      <c r="J323" s="44">
        <v>9.0</v>
      </c>
      <c r="K323" s="44">
        <v>4.0</v>
      </c>
      <c r="L323" s="44">
        <v>1.0</v>
      </c>
      <c r="M323" s="66">
        <v>10.2839</v>
      </c>
      <c r="N323" s="67" t="s">
        <v>764</v>
      </c>
      <c r="O323" s="43" t="s">
        <v>1145</v>
      </c>
      <c r="P323" s="43" t="s">
        <v>1146</v>
      </c>
      <c r="Q323" s="43" t="s">
        <v>1147</v>
      </c>
    </row>
    <row r="324" ht="15.75" customHeight="1">
      <c r="A324" s="43" t="s">
        <v>1480</v>
      </c>
      <c r="B324" s="43" t="s">
        <v>596</v>
      </c>
      <c r="C324" s="43" t="s">
        <v>392</v>
      </c>
      <c r="D324" s="43" t="s">
        <v>838</v>
      </c>
      <c r="E324" s="43" t="s">
        <v>836</v>
      </c>
      <c r="F324" s="43" t="s">
        <v>798</v>
      </c>
      <c r="G324" s="44">
        <v>2023.0</v>
      </c>
      <c r="H324" s="44">
        <v>0.0982</v>
      </c>
      <c r="I324" s="44">
        <v>0.1199</v>
      </c>
      <c r="J324" s="44">
        <v>2.0</v>
      </c>
      <c r="K324" s="44">
        <v>1.0</v>
      </c>
      <c r="L324" s="44">
        <v>1.0</v>
      </c>
      <c r="M324" s="66">
        <v>1.1961</v>
      </c>
      <c r="N324" s="67" t="s">
        <v>764</v>
      </c>
      <c r="O324" s="43" t="s">
        <v>1145</v>
      </c>
      <c r="P324" s="43" t="s">
        <v>1146</v>
      </c>
      <c r="Q324" s="43" t="s">
        <v>1147</v>
      </c>
    </row>
    <row r="325" ht="15.75" customHeight="1">
      <c r="A325" s="43" t="s">
        <v>1482</v>
      </c>
      <c r="B325" s="43" t="s">
        <v>577</v>
      </c>
      <c r="C325" s="43" t="s">
        <v>326</v>
      </c>
      <c r="D325" s="43" t="s">
        <v>658</v>
      </c>
      <c r="E325" s="43" t="s">
        <v>817</v>
      </c>
      <c r="F325" s="43" t="s">
        <v>798</v>
      </c>
      <c r="G325" s="44">
        <v>2023.0</v>
      </c>
      <c r="H325" s="44">
        <v>0.199</v>
      </c>
      <c r="I325" s="44">
        <v>0.2615</v>
      </c>
      <c r="J325" s="44">
        <v>2.0</v>
      </c>
      <c r="K325" s="44">
        <v>1.0</v>
      </c>
      <c r="L325" s="44">
        <v>1.0</v>
      </c>
      <c r="M325" s="66">
        <v>0.784</v>
      </c>
      <c r="N325" s="67" t="s">
        <v>764</v>
      </c>
      <c r="O325" s="43" t="s">
        <v>1145</v>
      </c>
      <c r="P325" s="43" t="s">
        <v>1146</v>
      </c>
      <c r="Q325" s="43" t="s">
        <v>1147</v>
      </c>
    </row>
    <row r="326" ht="15.75" customHeight="1">
      <c r="A326" s="43" t="s">
        <v>1484</v>
      </c>
      <c r="B326" s="43" t="s">
        <v>577</v>
      </c>
      <c r="C326" s="43" t="s">
        <v>237</v>
      </c>
      <c r="D326" s="43" t="s">
        <v>669</v>
      </c>
      <c r="E326" s="43" t="s">
        <v>826</v>
      </c>
      <c r="F326" s="43" t="s">
        <v>751</v>
      </c>
      <c r="G326" s="44">
        <v>2024.0</v>
      </c>
      <c r="H326" s="44">
        <v>1.2724</v>
      </c>
      <c r="I326" s="44">
        <v>1.419</v>
      </c>
      <c r="J326" s="44">
        <v>10.0</v>
      </c>
      <c r="K326" s="44">
        <v>5.0</v>
      </c>
      <c r="L326" s="44">
        <v>1.0</v>
      </c>
      <c r="M326" s="66">
        <v>81.75</v>
      </c>
      <c r="N326" s="67" t="s">
        <v>764</v>
      </c>
      <c r="O326" s="43" t="s">
        <v>1145</v>
      </c>
      <c r="P326" s="43" t="s">
        <v>1146</v>
      </c>
      <c r="Q326" s="43" t="s">
        <v>1147</v>
      </c>
    </row>
    <row r="327" ht="15.75" customHeight="1">
      <c r="A327" s="43" t="s">
        <v>1486</v>
      </c>
      <c r="B327" s="43" t="s">
        <v>581</v>
      </c>
      <c r="C327" s="43" t="s">
        <v>305</v>
      </c>
      <c r="D327" s="43" t="s">
        <v>788</v>
      </c>
      <c r="E327" s="43" t="s">
        <v>784</v>
      </c>
      <c r="F327" s="43" t="s">
        <v>751</v>
      </c>
      <c r="G327" s="44">
        <v>2024.0</v>
      </c>
      <c r="H327" s="44">
        <v>0.7174</v>
      </c>
      <c r="I327" s="44">
        <v>0.8876</v>
      </c>
      <c r="J327" s="44">
        <v>10.0</v>
      </c>
      <c r="K327" s="44">
        <v>6.0</v>
      </c>
      <c r="L327" s="44">
        <v>1.0</v>
      </c>
      <c r="M327" s="66">
        <v>75.22</v>
      </c>
      <c r="N327" s="67" t="s">
        <v>764</v>
      </c>
      <c r="O327" s="43" t="s">
        <v>1145</v>
      </c>
      <c r="P327" s="43" t="s">
        <v>1146</v>
      </c>
      <c r="Q327" s="43" t="s">
        <v>1147</v>
      </c>
    </row>
    <row r="328" ht="15.75" customHeight="1">
      <c r="A328" s="43" t="s">
        <v>1488</v>
      </c>
      <c r="B328" s="43" t="s">
        <v>581</v>
      </c>
      <c r="C328" s="43" t="s">
        <v>252</v>
      </c>
      <c r="D328" s="43" t="s">
        <v>714</v>
      </c>
      <c r="E328" s="43" t="s">
        <v>749</v>
      </c>
      <c r="F328" s="43" t="s">
        <v>751</v>
      </c>
      <c r="G328" s="44">
        <v>2024.0</v>
      </c>
      <c r="H328" s="44">
        <v>0.011</v>
      </c>
      <c r="I328" s="44">
        <v>0.0129</v>
      </c>
      <c r="J328" s="44">
        <v>2.0</v>
      </c>
      <c r="K328" s="44">
        <v>1.0</v>
      </c>
      <c r="L328" s="44">
        <v>1.0</v>
      </c>
      <c r="M328" s="66">
        <v>1.29</v>
      </c>
      <c r="N328" s="67" t="s">
        <v>764</v>
      </c>
      <c r="O328" s="43" t="s">
        <v>1145</v>
      </c>
      <c r="P328" s="43" t="s">
        <v>1146</v>
      </c>
      <c r="Q328" s="43" t="s">
        <v>1147</v>
      </c>
    </row>
    <row r="329" ht="15.75" customHeight="1">
      <c r="A329" s="43" t="s">
        <v>1490</v>
      </c>
      <c r="B329" s="43" t="s">
        <v>581</v>
      </c>
      <c r="C329" s="43" t="s">
        <v>503</v>
      </c>
      <c r="D329" s="43" t="s">
        <v>745</v>
      </c>
      <c r="E329" s="43" t="s">
        <v>784</v>
      </c>
      <c r="F329" s="43" t="s">
        <v>751</v>
      </c>
      <c r="G329" s="44">
        <v>2024.0</v>
      </c>
      <c r="H329" s="44">
        <v>0.7155</v>
      </c>
      <c r="I329" s="44">
        <v>0.8111</v>
      </c>
      <c r="J329" s="44">
        <v>4.0</v>
      </c>
      <c r="K329" s="44">
        <v>2.0</v>
      </c>
      <c r="L329" s="44">
        <v>1.0</v>
      </c>
      <c r="M329" s="66">
        <v>78.9</v>
      </c>
      <c r="N329" s="67" t="s">
        <v>764</v>
      </c>
      <c r="O329" s="43" t="s">
        <v>1145</v>
      </c>
      <c r="P329" s="43" t="s">
        <v>1146</v>
      </c>
      <c r="Q329" s="43" t="s">
        <v>1147</v>
      </c>
    </row>
    <row r="330" ht="15.75" customHeight="1">
      <c r="A330" s="43" t="s">
        <v>1491</v>
      </c>
      <c r="B330" s="43" t="s">
        <v>577</v>
      </c>
      <c r="C330" s="43" t="s">
        <v>326</v>
      </c>
      <c r="D330" s="43" t="s">
        <v>658</v>
      </c>
      <c r="E330" s="43" t="s">
        <v>784</v>
      </c>
      <c r="F330" s="43" t="s">
        <v>751</v>
      </c>
      <c r="G330" s="44">
        <v>2024.0</v>
      </c>
      <c r="H330" s="44">
        <v>0.9787</v>
      </c>
      <c r="I330" s="44">
        <v>1.0999</v>
      </c>
      <c r="J330" s="44">
        <v>11.0</v>
      </c>
      <c r="K330" s="44">
        <v>10.0</v>
      </c>
      <c r="L330" s="44">
        <v>1.0</v>
      </c>
      <c r="M330" s="66">
        <v>77.14</v>
      </c>
      <c r="N330" s="67" t="s">
        <v>764</v>
      </c>
      <c r="O330" s="43" t="s">
        <v>1145</v>
      </c>
      <c r="P330" s="43" t="s">
        <v>1146</v>
      </c>
      <c r="Q330" s="43" t="s">
        <v>1147</v>
      </c>
    </row>
    <row r="331" ht="15.75" customHeight="1">
      <c r="A331" s="43" t="s">
        <v>1493</v>
      </c>
      <c r="B331" s="43" t="s">
        <v>603</v>
      </c>
      <c r="C331" s="43" t="s">
        <v>449</v>
      </c>
      <c r="D331" s="43" t="s">
        <v>830</v>
      </c>
      <c r="E331" s="43" t="s">
        <v>817</v>
      </c>
      <c r="F331" s="43" t="s">
        <v>798</v>
      </c>
      <c r="G331" s="44">
        <v>2023.0</v>
      </c>
      <c r="H331" s="44">
        <v>0.1138</v>
      </c>
      <c r="I331" s="44">
        <v>0.1273</v>
      </c>
      <c r="J331" s="44">
        <v>3.0</v>
      </c>
      <c r="K331" s="44">
        <v>2.0</v>
      </c>
      <c r="L331" s="44">
        <v>1.0</v>
      </c>
      <c r="M331" s="66">
        <v>0.4925</v>
      </c>
      <c r="N331" s="67" t="s">
        <v>764</v>
      </c>
      <c r="O331" s="43" t="s">
        <v>1145</v>
      </c>
      <c r="P331" s="43" t="s">
        <v>1146</v>
      </c>
      <c r="Q331" s="43" t="s">
        <v>1147</v>
      </c>
    </row>
    <row r="332" ht="15.75" customHeight="1">
      <c r="A332" s="43" t="s">
        <v>1495</v>
      </c>
      <c r="B332" s="43" t="s">
        <v>577</v>
      </c>
      <c r="C332" s="43" t="s">
        <v>457</v>
      </c>
      <c r="D332" s="43" t="s">
        <v>621</v>
      </c>
      <c r="E332" s="43" t="s">
        <v>784</v>
      </c>
      <c r="F332" s="43" t="s">
        <v>751</v>
      </c>
      <c r="G332" s="44">
        <v>2024.0</v>
      </c>
      <c r="H332" s="44">
        <v>0.2759</v>
      </c>
      <c r="I332" s="44">
        <v>0.3529</v>
      </c>
      <c r="J332" s="44">
        <v>8.0</v>
      </c>
      <c r="K332" s="44">
        <v>5.0</v>
      </c>
      <c r="L332" s="44">
        <v>1.0</v>
      </c>
      <c r="M332" s="66">
        <v>29.28</v>
      </c>
      <c r="N332" s="67" t="s">
        <v>764</v>
      </c>
      <c r="O332" s="43" t="s">
        <v>1145</v>
      </c>
      <c r="P332" s="43" t="s">
        <v>1146</v>
      </c>
      <c r="Q332" s="43" t="s">
        <v>1147</v>
      </c>
    </row>
    <row r="333" ht="15.75" customHeight="1">
      <c r="A333" s="43" t="s">
        <v>1497</v>
      </c>
      <c r="B333" s="43" t="s">
        <v>577</v>
      </c>
      <c r="C333" s="43" t="s">
        <v>457</v>
      </c>
      <c r="D333" s="43" t="s">
        <v>621</v>
      </c>
      <c r="E333" s="43" t="s">
        <v>826</v>
      </c>
      <c r="F333" s="43" t="s">
        <v>751</v>
      </c>
      <c r="G333" s="44">
        <v>2024.0</v>
      </c>
      <c r="H333" s="44">
        <v>0.3532</v>
      </c>
      <c r="I333" s="44">
        <v>0.4348</v>
      </c>
      <c r="J333" s="44">
        <v>2.0</v>
      </c>
      <c r="K333" s="44">
        <v>1.0</v>
      </c>
      <c r="L333" s="44">
        <v>1.0</v>
      </c>
      <c r="M333" s="66">
        <v>38.24</v>
      </c>
      <c r="N333" s="67" t="s">
        <v>764</v>
      </c>
      <c r="O333" s="43" t="s">
        <v>1145</v>
      </c>
      <c r="P333" s="43" t="s">
        <v>1146</v>
      </c>
      <c r="Q333" s="43" t="s">
        <v>1147</v>
      </c>
    </row>
    <row r="334" ht="15.75" customHeight="1">
      <c r="A334" s="43" t="s">
        <v>1499</v>
      </c>
      <c r="B334" s="43" t="s">
        <v>581</v>
      </c>
      <c r="C334" s="43" t="s">
        <v>305</v>
      </c>
      <c r="D334" s="43" t="s">
        <v>788</v>
      </c>
      <c r="E334" s="43" t="s">
        <v>826</v>
      </c>
      <c r="F334" s="43" t="s">
        <v>751</v>
      </c>
      <c r="G334" s="44">
        <v>2024.0</v>
      </c>
      <c r="H334" s="44">
        <v>1.6315</v>
      </c>
      <c r="I334" s="44">
        <v>1.7851</v>
      </c>
      <c r="J334" s="44">
        <v>18.0</v>
      </c>
      <c r="K334" s="44">
        <v>15.0</v>
      </c>
      <c r="L334" s="44">
        <v>2.0</v>
      </c>
      <c r="M334" s="66">
        <v>149.92</v>
      </c>
      <c r="N334" s="67" t="s">
        <v>764</v>
      </c>
      <c r="O334" s="43" t="s">
        <v>1145</v>
      </c>
      <c r="P334" s="43" t="s">
        <v>1146</v>
      </c>
      <c r="Q334" s="43" t="s">
        <v>1147</v>
      </c>
    </row>
    <row r="335" ht="15.75" customHeight="1">
      <c r="A335" s="43" t="s">
        <v>1500</v>
      </c>
      <c r="B335" s="43" t="s">
        <v>596</v>
      </c>
      <c r="C335" s="43" t="s">
        <v>265</v>
      </c>
      <c r="D335" s="43" t="s">
        <v>829</v>
      </c>
      <c r="E335" s="43" t="s">
        <v>842</v>
      </c>
      <c r="F335" s="43" t="s">
        <v>751</v>
      </c>
      <c r="G335" s="44">
        <v>2024.0</v>
      </c>
      <c r="H335" s="44">
        <v>0.7999</v>
      </c>
      <c r="I335" s="44">
        <v>0.9536</v>
      </c>
      <c r="J335" s="44">
        <v>7.0</v>
      </c>
      <c r="K335" s="44">
        <v>6.0</v>
      </c>
      <c r="L335" s="44">
        <v>1.0</v>
      </c>
      <c r="M335" s="66">
        <v>91.31</v>
      </c>
      <c r="N335" s="67" t="s">
        <v>764</v>
      </c>
      <c r="O335" s="43" t="s">
        <v>1145</v>
      </c>
      <c r="P335" s="43" t="s">
        <v>1146</v>
      </c>
      <c r="Q335" s="43" t="s">
        <v>1147</v>
      </c>
    </row>
    <row r="336" ht="15.75" customHeight="1">
      <c r="A336" s="43" t="s">
        <v>1502</v>
      </c>
      <c r="B336" s="43" t="s">
        <v>596</v>
      </c>
      <c r="C336" s="43" t="s">
        <v>493</v>
      </c>
      <c r="D336" s="43" t="s">
        <v>823</v>
      </c>
      <c r="E336" s="43" t="s">
        <v>817</v>
      </c>
      <c r="F336" s="43" t="s">
        <v>798</v>
      </c>
      <c r="G336" s="44">
        <v>2023.0</v>
      </c>
      <c r="H336" s="44">
        <v>0.0876</v>
      </c>
      <c r="I336" s="44">
        <v>0.1136</v>
      </c>
      <c r="J336" s="44">
        <v>2.0</v>
      </c>
      <c r="K336" s="44">
        <v>1.0</v>
      </c>
      <c r="L336" s="44">
        <v>1.0</v>
      </c>
      <c r="M336" s="66">
        <v>0.4401</v>
      </c>
      <c r="N336" s="67" t="s">
        <v>764</v>
      </c>
      <c r="O336" s="43" t="s">
        <v>1145</v>
      </c>
      <c r="P336" s="43" t="s">
        <v>1146</v>
      </c>
      <c r="Q336" s="43" t="s">
        <v>1147</v>
      </c>
    </row>
    <row r="337" ht="15.75" customHeight="1">
      <c r="A337" s="43" t="s">
        <v>1504</v>
      </c>
      <c r="B337" s="43" t="s">
        <v>577</v>
      </c>
      <c r="C337" s="43" t="s">
        <v>185</v>
      </c>
      <c r="D337" s="43" t="s">
        <v>695</v>
      </c>
      <c r="E337" s="43" t="s">
        <v>826</v>
      </c>
      <c r="F337" s="43" t="s">
        <v>751</v>
      </c>
      <c r="G337" s="44">
        <v>2024.0</v>
      </c>
      <c r="H337" s="44">
        <v>0.5544</v>
      </c>
      <c r="I337" s="44">
        <v>0.6169</v>
      </c>
      <c r="J337" s="44">
        <v>9.0</v>
      </c>
      <c r="K337" s="44">
        <v>7.0</v>
      </c>
      <c r="L337" s="44">
        <v>1.0</v>
      </c>
      <c r="M337" s="66">
        <v>58.37</v>
      </c>
      <c r="N337" s="67" t="s">
        <v>764</v>
      </c>
      <c r="O337" s="43" t="s">
        <v>1145</v>
      </c>
      <c r="P337" s="43" t="s">
        <v>1146</v>
      </c>
      <c r="Q337" s="43" t="s">
        <v>1147</v>
      </c>
    </row>
    <row r="338" ht="15.75" customHeight="1">
      <c r="A338" s="43" t="s">
        <v>1506</v>
      </c>
      <c r="B338" s="43" t="s">
        <v>577</v>
      </c>
      <c r="C338" s="43" t="s">
        <v>51</v>
      </c>
      <c r="D338" s="43" t="s">
        <v>641</v>
      </c>
      <c r="E338" s="43" t="s">
        <v>826</v>
      </c>
      <c r="F338" s="43" t="s">
        <v>751</v>
      </c>
      <c r="G338" s="44">
        <v>2024.0</v>
      </c>
      <c r="H338" s="44">
        <v>0.2989</v>
      </c>
      <c r="I338" s="44">
        <v>0.3597</v>
      </c>
      <c r="J338" s="44">
        <v>5.0</v>
      </c>
      <c r="K338" s="44">
        <v>3.0</v>
      </c>
      <c r="L338" s="44">
        <v>1.0</v>
      </c>
      <c r="M338" s="66">
        <v>20.38</v>
      </c>
      <c r="N338" s="67" t="s">
        <v>764</v>
      </c>
      <c r="O338" s="43" t="s">
        <v>1145</v>
      </c>
      <c r="P338" s="43" t="s">
        <v>1146</v>
      </c>
      <c r="Q338" s="43" t="s">
        <v>1147</v>
      </c>
    </row>
    <row r="339" ht="15.75" customHeight="1">
      <c r="A339" s="43" t="s">
        <v>1508</v>
      </c>
      <c r="B339" s="43" t="s">
        <v>581</v>
      </c>
      <c r="C339" s="43" t="s">
        <v>436</v>
      </c>
      <c r="D339" s="43" t="s">
        <v>793</v>
      </c>
      <c r="E339" s="43" t="s">
        <v>797</v>
      </c>
      <c r="F339" s="43" t="s">
        <v>798</v>
      </c>
      <c r="G339" s="44">
        <v>2023.0</v>
      </c>
      <c r="H339" s="44">
        <v>0.0672</v>
      </c>
      <c r="I339" s="44">
        <v>0.0736</v>
      </c>
      <c r="J339" s="44">
        <v>2.0</v>
      </c>
      <c r="K339" s="44">
        <v>1.0</v>
      </c>
      <c r="L339" s="44">
        <v>1.0</v>
      </c>
      <c r="M339" s="66">
        <v>0.3957</v>
      </c>
      <c r="N339" s="67" t="s">
        <v>764</v>
      </c>
      <c r="O339" s="43" t="s">
        <v>1145</v>
      </c>
      <c r="P339" s="43" t="s">
        <v>1146</v>
      </c>
      <c r="Q339" s="43" t="s">
        <v>1147</v>
      </c>
    </row>
    <row r="340" ht="15.75" customHeight="1">
      <c r="A340" s="43" t="s">
        <v>1509</v>
      </c>
      <c r="B340" s="43" t="s">
        <v>581</v>
      </c>
      <c r="C340" s="43" t="s">
        <v>430</v>
      </c>
      <c r="D340" s="43" t="s">
        <v>741</v>
      </c>
      <c r="E340" s="43" t="s">
        <v>749</v>
      </c>
      <c r="F340" s="43" t="s">
        <v>751</v>
      </c>
      <c r="G340" s="44">
        <v>2024.0</v>
      </c>
      <c r="H340" s="44">
        <v>0.006</v>
      </c>
      <c r="I340" s="44">
        <v>0.0069</v>
      </c>
      <c r="J340" s="44">
        <v>2.0</v>
      </c>
      <c r="K340" s="44">
        <v>1.0</v>
      </c>
      <c r="L340" s="44">
        <v>1.0</v>
      </c>
      <c r="M340" s="66">
        <v>0.53</v>
      </c>
      <c r="N340" s="67" t="s">
        <v>764</v>
      </c>
      <c r="O340" s="43" t="s">
        <v>1145</v>
      </c>
      <c r="P340" s="43" t="s">
        <v>1146</v>
      </c>
      <c r="Q340" s="43" t="s">
        <v>1147</v>
      </c>
    </row>
    <row r="341" ht="15.75" customHeight="1">
      <c r="A341" s="43" t="s">
        <v>1511</v>
      </c>
      <c r="B341" s="43" t="s">
        <v>603</v>
      </c>
      <c r="C341" s="43" t="s">
        <v>146</v>
      </c>
      <c r="D341" s="43" t="s">
        <v>906</v>
      </c>
      <c r="E341" s="43" t="s">
        <v>749</v>
      </c>
      <c r="F341" s="43" t="s">
        <v>751</v>
      </c>
      <c r="G341" s="44">
        <v>2024.0</v>
      </c>
      <c r="H341" s="44">
        <v>0.0073</v>
      </c>
      <c r="I341" s="44">
        <v>0.0091</v>
      </c>
      <c r="J341" s="44">
        <v>2.0</v>
      </c>
      <c r="K341" s="44">
        <v>1.0</v>
      </c>
      <c r="L341" s="44">
        <v>1.0</v>
      </c>
      <c r="M341" s="66">
        <v>0.59</v>
      </c>
      <c r="N341" s="67" t="s">
        <v>764</v>
      </c>
      <c r="O341" s="43" t="s">
        <v>1145</v>
      </c>
      <c r="P341" s="43" t="s">
        <v>1146</v>
      </c>
      <c r="Q341" s="43" t="s">
        <v>1147</v>
      </c>
    </row>
    <row r="342" ht="15.75" customHeight="1">
      <c r="A342" s="43" t="s">
        <v>1513</v>
      </c>
      <c r="B342" s="43" t="s">
        <v>605</v>
      </c>
      <c r="C342" s="43" t="s">
        <v>497</v>
      </c>
      <c r="D342" s="43" t="s">
        <v>912</v>
      </c>
      <c r="E342" s="43" t="s">
        <v>826</v>
      </c>
      <c r="F342" s="43" t="s">
        <v>751</v>
      </c>
      <c r="G342" s="44">
        <v>2024.0</v>
      </c>
      <c r="H342" s="44">
        <v>0.5275</v>
      </c>
      <c r="I342" s="44">
        <v>0.7008</v>
      </c>
      <c r="J342" s="44">
        <v>4.0</v>
      </c>
      <c r="K342" s="44">
        <v>2.0</v>
      </c>
      <c r="L342" s="44">
        <v>1.0</v>
      </c>
      <c r="M342" s="66">
        <v>38.79</v>
      </c>
      <c r="N342" s="67" t="s">
        <v>764</v>
      </c>
      <c r="O342" s="43" t="s">
        <v>1145</v>
      </c>
      <c r="P342" s="43" t="s">
        <v>1146</v>
      </c>
      <c r="Q342" s="43" t="s">
        <v>1147</v>
      </c>
    </row>
    <row r="343" ht="15.75" customHeight="1">
      <c r="A343" s="43" t="s">
        <v>1514</v>
      </c>
      <c r="B343" s="43" t="s">
        <v>581</v>
      </c>
      <c r="C343" s="43" t="s">
        <v>104</v>
      </c>
      <c r="D343" s="43" t="s">
        <v>729</v>
      </c>
      <c r="E343" s="43" t="s">
        <v>797</v>
      </c>
      <c r="F343" s="43" t="s">
        <v>798</v>
      </c>
      <c r="G343" s="44">
        <v>2023.0</v>
      </c>
      <c r="H343" s="44">
        <v>0.0604</v>
      </c>
      <c r="I343" s="44">
        <v>0.0804</v>
      </c>
      <c r="J343" s="44">
        <v>2.0</v>
      </c>
      <c r="K343" s="44">
        <v>1.0</v>
      </c>
      <c r="L343" s="44">
        <v>1.0</v>
      </c>
      <c r="M343" s="66">
        <v>0.3612</v>
      </c>
      <c r="N343" s="67" t="s">
        <v>764</v>
      </c>
      <c r="O343" s="43" t="s">
        <v>1145</v>
      </c>
      <c r="P343" s="43" t="s">
        <v>1146</v>
      </c>
      <c r="Q343" s="43" t="s">
        <v>1147</v>
      </c>
    </row>
    <row r="344" ht="15.75" customHeight="1">
      <c r="A344" s="43" t="s">
        <v>1516</v>
      </c>
      <c r="B344" s="43" t="s">
        <v>577</v>
      </c>
      <c r="C344" s="43" t="s">
        <v>294</v>
      </c>
      <c r="D344" s="43" t="s">
        <v>684</v>
      </c>
      <c r="E344" s="43" t="s">
        <v>842</v>
      </c>
      <c r="F344" s="43" t="s">
        <v>751</v>
      </c>
      <c r="G344" s="44">
        <v>2024.0</v>
      </c>
      <c r="H344" s="44">
        <v>0.4969</v>
      </c>
      <c r="I344" s="44">
        <v>0.6527</v>
      </c>
      <c r="J344" s="44">
        <v>4.0</v>
      </c>
      <c r="K344" s="44">
        <v>3.0</v>
      </c>
      <c r="L344" s="44">
        <v>1.0</v>
      </c>
      <c r="M344" s="66">
        <v>36.02</v>
      </c>
      <c r="N344" s="67" t="s">
        <v>764</v>
      </c>
      <c r="O344" s="43" t="s">
        <v>1145</v>
      </c>
      <c r="P344" s="43" t="s">
        <v>1146</v>
      </c>
      <c r="Q344" s="43" t="s">
        <v>1147</v>
      </c>
    </row>
    <row r="345" ht="15.75" customHeight="1">
      <c r="A345" s="43" t="s">
        <v>1518</v>
      </c>
      <c r="B345" s="43" t="s">
        <v>577</v>
      </c>
      <c r="C345" s="43" t="s">
        <v>513</v>
      </c>
      <c r="D345" s="43" t="s">
        <v>666</v>
      </c>
      <c r="E345" s="43" t="s">
        <v>817</v>
      </c>
      <c r="F345" s="43" t="s">
        <v>798</v>
      </c>
      <c r="G345" s="44">
        <v>2023.0</v>
      </c>
      <c r="H345" s="44">
        <v>0.0513</v>
      </c>
      <c r="I345" s="44">
        <v>0.0577</v>
      </c>
      <c r="J345" s="44">
        <v>2.0</v>
      </c>
      <c r="K345" s="44">
        <v>1.0</v>
      </c>
      <c r="L345" s="44">
        <v>1.0</v>
      </c>
      <c r="M345" s="66">
        <v>0.3916</v>
      </c>
      <c r="N345" s="67" t="s">
        <v>764</v>
      </c>
      <c r="O345" s="43" t="s">
        <v>1145</v>
      </c>
      <c r="P345" s="43" t="s">
        <v>1146</v>
      </c>
      <c r="Q345" s="43" t="s">
        <v>1147</v>
      </c>
    </row>
    <row r="346" ht="15.75" customHeight="1">
      <c r="A346" s="43" t="s">
        <v>1520</v>
      </c>
      <c r="B346" s="43" t="s">
        <v>581</v>
      </c>
      <c r="C346" s="43" t="s">
        <v>515</v>
      </c>
      <c r="D346" s="43" t="s">
        <v>709</v>
      </c>
      <c r="E346" s="43" t="s">
        <v>817</v>
      </c>
      <c r="F346" s="43" t="s">
        <v>798</v>
      </c>
      <c r="G346" s="44">
        <v>2023.0</v>
      </c>
      <c r="H346" s="44">
        <v>0.1153</v>
      </c>
      <c r="I346" s="44">
        <v>0.1398</v>
      </c>
      <c r="J346" s="44">
        <v>2.0</v>
      </c>
      <c r="K346" s="44">
        <v>1.0</v>
      </c>
      <c r="L346" s="44">
        <v>1.0</v>
      </c>
      <c r="M346" s="66">
        <v>0.6258</v>
      </c>
      <c r="N346" s="67" t="s">
        <v>764</v>
      </c>
      <c r="O346" s="43" t="s">
        <v>1145</v>
      </c>
      <c r="P346" s="43" t="s">
        <v>1146</v>
      </c>
      <c r="Q346" s="43" t="s">
        <v>1147</v>
      </c>
    </row>
    <row r="347" ht="15.75" customHeight="1">
      <c r="A347" s="43" t="s">
        <v>1522</v>
      </c>
      <c r="B347" s="43" t="s">
        <v>581</v>
      </c>
      <c r="C347" s="43" t="s">
        <v>336</v>
      </c>
      <c r="D347" s="43" t="s">
        <v>755</v>
      </c>
      <c r="E347" s="43" t="s">
        <v>817</v>
      </c>
      <c r="F347" s="43" t="s">
        <v>798</v>
      </c>
      <c r="G347" s="44">
        <v>2023.0</v>
      </c>
      <c r="H347" s="44">
        <v>0.0343</v>
      </c>
      <c r="I347" s="44">
        <v>0.0462</v>
      </c>
      <c r="J347" s="44">
        <v>2.0</v>
      </c>
      <c r="K347" s="44">
        <v>1.0</v>
      </c>
      <c r="L347" s="44">
        <v>1.0</v>
      </c>
      <c r="M347" s="66">
        <v>0.2263</v>
      </c>
      <c r="N347" s="67" t="s">
        <v>764</v>
      </c>
      <c r="O347" s="43" t="s">
        <v>1145</v>
      </c>
      <c r="P347" s="43" t="s">
        <v>1146</v>
      </c>
      <c r="Q347" s="43" t="s">
        <v>1147</v>
      </c>
    </row>
    <row r="348" ht="15.75" customHeight="1">
      <c r="A348" s="43" t="s">
        <v>1524</v>
      </c>
      <c r="B348" s="43" t="s">
        <v>605</v>
      </c>
      <c r="C348" s="43" t="s">
        <v>324</v>
      </c>
      <c r="D348" s="43" t="s">
        <v>970</v>
      </c>
      <c r="E348" s="43" t="s">
        <v>797</v>
      </c>
      <c r="F348" s="43" t="s">
        <v>798</v>
      </c>
      <c r="G348" s="44">
        <v>2023.0</v>
      </c>
      <c r="H348" s="44">
        <v>0.09</v>
      </c>
      <c r="I348" s="44">
        <v>0.102</v>
      </c>
      <c r="J348" s="44">
        <v>2.0</v>
      </c>
      <c r="K348" s="44">
        <v>1.0</v>
      </c>
      <c r="L348" s="44">
        <v>1.0</v>
      </c>
      <c r="M348" s="66">
        <v>0.3425</v>
      </c>
      <c r="N348" s="67" t="s">
        <v>764</v>
      </c>
      <c r="O348" s="43" t="s">
        <v>1145</v>
      </c>
      <c r="P348" s="43" t="s">
        <v>1146</v>
      </c>
      <c r="Q348" s="43" t="s">
        <v>1147</v>
      </c>
    </row>
    <row r="349" ht="15.75" customHeight="1">
      <c r="A349" s="43" t="s">
        <v>1526</v>
      </c>
      <c r="B349" s="43" t="s">
        <v>581</v>
      </c>
      <c r="C349" s="43" t="s">
        <v>436</v>
      </c>
      <c r="D349" s="43" t="s">
        <v>793</v>
      </c>
      <c r="E349" s="43" t="s">
        <v>826</v>
      </c>
      <c r="F349" s="43" t="s">
        <v>751</v>
      </c>
      <c r="G349" s="44">
        <v>2024.0</v>
      </c>
      <c r="H349" s="44">
        <v>4.3219</v>
      </c>
      <c r="I349" s="44">
        <v>5.6816</v>
      </c>
      <c r="J349" s="44">
        <v>40.0</v>
      </c>
      <c r="K349" s="44">
        <v>18.0</v>
      </c>
      <c r="L349" s="44">
        <v>3.0</v>
      </c>
      <c r="M349" s="66">
        <v>288.91</v>
      </c>
      <c r="N349" s="67" t="s">
        <v>764</v>
      </c>
      <c r="O349" s="43" t="s">
        <v>1145</v>
      </c>
      <c r="P349" s="43" t="s">
        <v>1146</v>
      </c>
      <c r="Q349" s="43" t="s">
        <v>1147</v>
      </c>
    </row>
    <row r="350" ht="15.75" customHeight="1">
      <c r="A350" s="43" t="s">
        <v>1527</v>
      </c>
      <c r="B350" s="43" t="s">
        <v>605</v>
      </c>
      <c r="C350" s="43" t="s">
        <v>497</v>
      </c>
      <c r="D350" s="43" t="s">
        <v>912</v>
      </c>
      <c r="E350" s="43" t="s">
        <v>797</v>
      </c>
      <c r="F350" s="43" t="s">
        <v>798</v>
      </c>
      <c r="G350" s="44">
        <v>2023.0</v>
      </c>
      <c r="H350" s="44">
        <v>0.0431</v>
      </c>
      <c r="I350" s="44">
        <v>0.0511</v>
      </c>
      <c r="J350" s="44">
        <v>2.0</v>
      </c>
      <c r="K350" s="44">
        <v>1.0</v>
      </c>
      <c r="L350" s="44">
        <v>1.0</v>
      </c>
      <c r="M350" s="66">
        <v>0.2545</v>
      </c>
      <c r="N350" s="67" t="s">
        <v>764</v>
      </c>
      <c r="O350" s="43" t="s">
        <v>1145</v>
      </c>
      <c r="P350" s="43" t="s">
        <v>1146</v>
      </c>
      <c r="Q350" s="43" t="s">
        <v>1147</v>
      </c>
    </row>
    <row r="351" ht="15.75" customHeight="1">
      <c r="A351" s="43" t="s">
        <v>1529</v>
      </c>
      <c r="B351" s="43" t="s">
        <v>596</v>
      </c>
      <c r="C351" s="43" t="s">
        <v>211</v>
      </c>
      <c r="D351" s="43" t="s">
        <v>868</v>
      </c>
      <c r="E351" s="43" t="s">
        <v>836</v>
      </c>
      <c r="F351" s="43" t="s">
        <v>798</v>
      </c>
      <c r="G351" s="44">
        <v>2023.0</v>
      </c>
      <c r="H351" s="44">
        <v>0.1436</v>
      </c>
      <c r="I351" s="44">
        <v>0.1656</v>
      </c>
      <c r="J351" s="44">
        <v>2.0</v>
      </c>
      <c r="K351" s="44">
        <v>1.0</v>
      </c>
      <c r="L351" s="44">
        <v>1.0</v>
      </c>
      <c r="M351" s="66">
        <v>1.3307</v>
      </c>
      <c r="N351" s="67" t="s">
        <v>764</v>
      </c>
      <c r="O351" s="43" t="s">
        <v>1145</v>
      </c>
      <c r="P351" s="43" t="s">
        <v>1146</v>
      </c>
      <c r="Q351" s="43" t="s">
        <v>1147</v>
      </c>
    </row>
    <row r="352" ht="15.75" customHeight="1">
      <c r="A352" s="43" t="s">
        <v>1531</v>
      </c>
      <c r="B352" s="43" t="s">
        <v>596</v>
      </c>
      <c r="C352" s="43" t="s">
        <v>507</v>
      </c>
      <c r="D352" s="43" t="s">
        <v>864</v>
      </c>
      <c r="E352" s="43" t="s">
        <v>836</v>
      </c>
      <c r="F352" s="43" t="s">
        <v>798</v>
      </c>
      <c r="G352" s="44">
        <v>2023.0</v>
      </c>
      <c r="H352" s="44">
        <v>0.1802</v>
      </c>
      <c r="I352" s="44">
        <v>0.2207</v>
      </c>
      <c r="J352" s="44">
        <v>2.0</v>
      </c>
      <c r="K352" s="44">
        <v>2.0</v>
      </c>
      <c r="L352" s="44">
        <v>1.0</v>
      </c>
      <c r="M352" s="66">
        <v>1.5655</v>
      </c>
      <c r="N352" s="67" t="s">
        <v>764</v>
      </c>
      <c r="O352" s="43" t="s">
        <v>1145</v>
      </c>
      <c r="P352" s="43" t="s">
        <v>1146</v>
      </c>
      <c r="Q352" s="43" t="s">
        <v>1147</v>
      </c>
    </row>
    <row r="353" ht="15.75" customHeight="1">
      <c r="A353" s="43" t="s">
        <v>1533</v>
      </c>
      <c r="B353" s="43" t="s">
        <v>577</v>
      </c>
      <c r="C353" s="43" t="s">
        <v>513</v>
      </c>
      <c r="D353" s="43" t="s">
        <v>666</v>
      </c>
      <c r="E353" s="43" t="s">
        <v>749</v>
      </c>
      <c r="F353" s="43" t="s">
        <v>751</v>
      </c>
      <c r="G353" s="44">
        <v>2024.0</v>
      </c>
      <c r="H353" s="44">
        <v>0.014</v>
      </c>
      <c r="I353" s="44">
        <v>0.016</v>
      </c>
      <c r="J353" s="44">
        <v>2.0</v>
      </c>
      <c r="K353" s="44">
        <v>2.0</v>
      </c>
      <c r="L353" s="44">
        <v>1.0</v>
      </c>
      <c r="M353" s="66">
        <v>1.53</v>
      </c>
      <c r="N353" s="67" t="s">
        <v>764</v>
      </c>
      <c r="O353" s="43" t="s">
        <v>1145</v>
      </c>
      <c r="P353" s="43" t="s">
        <v>1146</v>
      </c>
      <c r="Q353" s="43" t="s">
        <v>1147</v>
      </c>
    </row>
    <row r="354" ht="15.75" customHeight="1">
      <c r="A354" s="43" t="s">
        <v>1535</v>
      </c>
      <c r="B354" s="43" t="s">
        <v>596</v>
      </c>
      <c r="C354" s="43" t="s">
        <v>481</v>
      </c>
      <c r="D354" s="43" t="s">
        <v>774</v>
      </c>
      <c r="E354" s="43" t="s">
        <v>817</v>
      </c>
      <c r="F354" s="43" t="s">
        <v>798</v>
      </c>
      <c r="G354" s="44">
        <v>2023.0</v>
      </c>
      <c r="H354" s="44">
        <v>0.1531</v>
      </c>
      <c r="I354" s="44">
        <v>0.1952</v>
      </c>
      <c r="J354" s="44">
        <v>2.0</v>
      </c>
      <c r="K354" s="44">
        <v>1.0</v>
      </c>
      <c r="L354" s="44">
        <v>1.0</v>
      </c>
      <c r="M354" s="66">
        <v>0.7526</v>
      </c>
      <c r="N354" s="67" t="s">
        <v>764</v>
      </c>
      <c r="O354" s="43" t="s">
        <v>1145</v>
      </c>
      <c r="P354" s="43" t="s">
        <v>1146</v>
      </c>
      <c r="Q354" s="43" t="s">
        <v>1147</v>
      </c>
    </row>
    <row r="355" ht="15.75" customHeight="1">
      <c r="A355" s="43" t="s">
        <v>1540</v>
      </c>
      <c r="B355" s="43" t="s">
        <v>596</v>
      </c>
      <c r="C355" s="43" t="s">
        <v>493</v>
      </c>
      <c r="D355" s="43" t="s">
        <v>823</v>
      </c>
      <c r="E355" s="43" t="s">
        <v>784</v>
      </c>
      <c r="F355" s="43" t="s">
        <v>751</v>
      </c>
      <c r="G355" s="44">
        <v>2024.0</v>
      </c>
      <c r="H355" s="44">
        <v>0.4253</v>
      </c>
      <c r="I355" s="44">
        <v>0.5388</v>
      </c>
      <c r="J355" s="44">
        <v>2.0</v>
      </c>
      <c r="K355" s="44">
        <v>2.0</v>
      </c>
      <c r="L355" s="44">
        <v>1.0</v>
      </c>
      <c r="M355" s="66">
        <v>43.75</v>
      </c>
      <c r="N355" s="67" t="s">
        <v>764</v>
      </c>
      <c r="O355" s="43" t="s">
        <v>1145</v>
      </c>
      <c r="P355" s="43" t="s">
        <v>1146</v>
      </c>
      <c r="Q355" s="43" t="s">
        <v>1147</v>
      </c>
    </row>
    <row r="356" ht="15.75" customHeight="1">
      <c r="A356" s="43" t="s">
        <v>1542</v>
      </c>
      <c r="B356" s="43" t="s">
        <v>581</v>
      </c>
      <c r="C356" s="43" t="s">
        <v>260</v>
      </c>
      <c r="D356" s="43" t="s">
        <v>769</v>
      </c>
      <c r="E356" s="43" t="s">
        <v>826</v>
      </c>
      <c r="F356" s="43" t="s">
        <v>751</v>
      </c>
      <c r="G356" s="44">
        <v>2024.0</v>
      </c>
      <c r="H356" s="44">
        <v>0.8888</v>
      </c>
      <c r="I356" s="44">
        <v>0.977</v>
      </c>
      <c r="J356" s="44">
        <v>4.0</v>
      </c>
      <c r="K356" s="44">
        <v>2.0</v>
      </c>
      <c r="L356" s="44">
        <v>1.0</v>
      </c>
      <c r="M356" s="66">
        <v>57.25</v>
      </c>
      <c r="N356" s="67" t="s">
        <v>764</v>
      </c>
      <c r="O356" s="43" t="s">
        <v>1145</v>
      </c>
      <c r="P356" s="43" t="s">
        <v>1146</v>
      </c>
      <c r="Q356" s="43" t="s">
        <v>1147</v>
      </c>
    </row>
    <row r="357" ht="15.75" customHeight="1">
      <c r="A357" s="43" t="s">
        <v>1544</v>
      </c>
      <c r="B357" s="43" t="s">
        <v>581</v>
      </c>
      <c r="C357" s="43" t="s">
        <v>385</v>
      </c>
      <c r="D357" s="43" t="s">
        <v>773</v>
      </c>
      <c r="E357" s="43" t="s">
        <v>836</v>
      </c>
      <c r="F357" s="43" t="s">
        <v>798</v>
      </c>
      <c r="G357" s="44">
        <v>2023.0</v>
      </c>
      <c r="H357" s="44">
        <v>0.4552</v>
      </c>
      <c r="I357" s="44">
        <v>0.6072</v>
      </c>
      <c r="J357" s="44">
        <v>4.0</v>
      </c>
      <c r="K357" s="44">
        <v>2.0</v>
      </c>
      <c r="L357" s="44">
        <v>1.0</v>
      </c>
      <c r="M357" s="66">
        <v>4.1554</v>
      </c>
      <c r="N357" s="67" t="s">
        <v>764</v>
      </c>
      <c r="O357" s="43" t="s">
        <v>1145</v>
      </c>
      <c r="P357" s="43" t="s">
        <v>1146</v>
      </c>
      <c r="Q357" s="43" t="s">
        <v>1147</v>
      </c>
    </row>
    <row r="358" ht="15.75" customHeight="1">
      <c r="A358" s="43" t="s">
        <v>1546</v>
      </c>
      <c r="B358" s="43" t="s">
        <v>581</v>
      </c>
      <c r="C358" s="43" t="s">
        <v>519</v>
      </c>
      <c r="D358" s="43" t="s">
        <v>748</v>
      </c>
      <c r="E358" s="43" t="s">
        <v>836</v>
      </c>
      <c r="F358" s="43" t="s">
        <v>798</v>
      </c>
      <c r="G358" s="44">
        <v>2023.0</v>
      </c>
      <c r="H358" s="44">
        <v>0.3396</v>
      </c>
      <c r="I358" s="44">
        <v>0.4135</v>
      </c>
      <c r="J358" s="44">
        <v>6.0</v>
      </c>
      <c r="K358" s="44">
        <v>5.0</v>
      </c>
      <c r="L358" s="44">
        <v>1.0</v>
      </c>
      <c r="M358" s="66">
        <v>3.6874</v>
      </c>
      <c r="N358" s="67" t="s">
        <v>764</v>
      </c>
      <c r="O358" s="43" t="s">
        <v>1145</v>
      </c>
      <c r="P358" s="43" t="s">
        <v>1146</v>
      </c>
      <c r="Q358" s="43" t="s">
        <v>1147</v>
      </c>
    </row>
    <row r="359" ht="15.75" customHeight="1">
      <c r="A359" s="43" t="s">
        <v>1548</v>
      </c>
      <c r="B359" s="43" t="s">
        <v>581</v>
      </c>
      <c r="C359" s="43" t="s">
        <v>479</v>
      </c>
      <c r="D359" s="43" t="s">
        <v>811</v>
      </c>
      <c r="E359" s="43" t="s">
        <v>842</v>
      </c>
      <c r="F359" s="43" t="s">
        <v>751</v>
      </c>
      <c r="G359" s="44">
        <v>2024.0</v>
      </c>
      <c r="H359" s="44">
        <v>1.0508</v>
      </c>
      <c r="I359" s="44">
        <v>1.3556</v>
      </c>
      <c r="J359" s="44">
        <v>9.0</v>
      </c>
      <c r="K359" s="44">
        <v>7.0</v>
      </c>
      <c r="L359" s="44">
        <v>1.0</v>
      </c>
      <c r="M359" s="66">
        <v>87.42</v>
      </c>
      <c r="N359" s="67" t="s">
        <v>764</v>
      </c>
      <c r="O359" s="43" t="s">
        <v>1145</v>
      </c>
      <c r="P359" s="43" t="s">
        <v>1146</v>
      </c>
      <c r="Q359" s="43" t="s">
        <v>1147</v>
      </c>
    </row>
    <row r="360" ht="15.75" customHeight="1">
      <c r="A360" s="43" t="s">
        <v>1550</v>
      </c>
      <c r="B360" s="43" t="s">
        <v>581</v>
      </c>
      <c r="C360" s="43" t="s">
        <v>378</v>
      </c>
      <c r="D360" s="43" t="s">
        <v>718</v>
      </c>
      <c r="E360" s="43" t="s">
        <v>817</v>
      </c>
      <c r="F360" s="43" t="s">
        <v>798</v>
      </c>
      <c r="G360" s="44">
        <v>2023.0</v>
      </c>
      <c r="H360" s="44">
        <v>0.2169</v>
      </c>
      <c r="I360" s="44">
        <v>0.2613</v>
      </c>
      <c r="J360" s="44">
        <v>5.0</v>
      </c>
      <c r="K360" s="44">
        <v>3.0</v>
      </c>
      <c r="L360" s="44">
        <v>1.0</v>
      </c>
      <c r="M360" s="66">
        <v>0.99</v>
      </c>
      <c r="N360" s="67" t="s">
        <v>764</v>
      </c>
      <c r="O360" s="43" t="s">
        <v>1145</v>
      </c>
      <c r="P360" s="43" t="s">
        <v>1146</v>
      </c>
      <c r="Q360" s="43" t="s">
        <v>1147</v>
      </c>
    </row>
    <row r="361" ht="15.75" customHeight="1">
      <c r="A361" s="43" t="s">
        <v>1552</v>
      </c>
      <c r="B361" s="43" t="s">
        <v>577</v>
      </c>
      <c r="C361" s="43" t="s">
        <v>229</v>
      </c>
      <c r="D361" s="43" t="s">
        <v>630</v>
      </c>
      <c r="E361" s="43" t="s">
        <v>749</v>
      </c>
      <c r="F361" s="43" t="s">
        <v>751</v>
      </c>
      <c r="G361" s="44">
        <v>2024.0</v>
      </c>
      <c r="H361" s="44">
        <v>0.006</v>
      </c>
      <c r="I361" s="44">
        <v>0.0071</v>
      </c>
      <c r="J361" s="44">
        <v>2.0</v>
      </c>
      <c r="K361" s="44">
        <v>2.0</v>
      </c>
      <c r="L361" s="44">
        <v>1.0</v>
      </c>
      <c r="M361" s="66">
        <v>0.54</v>
      </c>
      <c r="N361" s="67" t="s">
        <v>764</v>
      </c>
      <c r="O361" s="43" t="s">
        <v>1145</v>
      </c>
      <c r="P361" s="43" t="s">
        <v>1146</v>
      </c>
      <c r="Q361" s="43" t="s">
        <v>1147</v>
      </c>
    </row>
    <row r="362" ht="15.75" customHeight="1">
      <c r="A362" s="43" t="s">
        <v>1554</v>
      </c>
      <c r="B362" s="43" t="s">
        <v>603</v>
      </c>
      <c r="C362" s="43" t="s">
        <v>401</v>
      </c>
      <c r="D362" s="43" t="s">
        <v>895</v>
      </c>
      <c r="E362" s="43" t="s">
        <v>842</v>
      </c>
      <c r="F362" s="43" t="s">
        <v>751</v>
      </c>
      <c r="G362" s="44">
        <v>2024.0</v>
      </c>
      <c r="H362" s="44">
        <v>0.9815</v>
      </c>
      <c r="I362" s="44">
        <v>1.2216</v>
      </c>
      <c r="J362" s="44">
        <v>12.0</v>
      </c>
      <c r="K362" s="44">
        <v>8.0</v>
      </c>
      <c r="L362" s="44">
        <v>1.0</v>
      </c>
      <c r="M362" s="66">
        <v>85.15</v>
      </c>
      <c r="N362" s="67" t="s">
        <v>764</v>
      </c>
      <c r="O362" s="43" t="s">
        <v>1145</v>
      </c>
      <c r="P362" s="43" t="s">
        <v>1146</v>
      </c>
      <c r="Q362" s="43" t="s">
        <v>1147</v>
      </c>
    </row>
    <row r="363" ht="15.75" customHeight="1">
      <c r="A363" s="43" t="s">
        <v>1556</v>
      </c>
      <c r="B363" s="43" t="s">
        <v>596</v>
      </c>
      <c r="C363" s="43" t="s">
        <v>265</v>
      </c>
      <c r="D363" s="43" t="s">
        <v>829</v>
      </c>
      <c r="E363" s="43" t="s">
        <v>797</v>
      </c>
      <c r="F363" s="43" t="s">
        <v>798</v>
      </c>
      <c r="G363" s="44">
        <v>2023.0</v>
      </c>
      <c r="H363" s="44">
        <v>0.0913</v>
      </c>
      <c r="I363" s="44">
        <v>0.1047</v>
      </c>
      <c r="J363" s="44">
        <v>2.0</v>
      </c>
      <c r="K363" s="44">
        <v>2.0</v>
      </c>
      <c r="L363" s="44">
        <v>1.0</v>
      </c>
      <c r="M363" s="66">
        <v>0.4257</v>
      </c>
      <c r="N363" s="67" t="s">
        <v>764</v>
      </c>
      <c r="O363" s="43" t="s">
        <v>1145</v>
      </c>
      <c r="P363" s="43" t="s">
        <v>1146</v>
      </c>
      <c r="Q363" s="43" t="s">
        <v>1147</v>
      </c>
    </row>
    <row r="364" ht="15.75" customHeight="1">
      <c r="A364" s="43" t="s">
        <v>1557</v>
      </c>
      <c r="B364" s="43" t="s">
        <v>581</v>
      </c>
      <c r="C364" s="43" t="s">
        <v>503</v>
      </c>
      <c r="D364" s="43" t="s">
        <v>745</v>
      </c>
      <c r="E364" s="43" t="s">
        <v>842</v>
      </c>
      <c r="F364" s="43" t="s">
        <v>751</v>
      </c>
      <c r="G364" s="44">
        <v>2024.0</v>
      </c>
      <c r="H364" s="44">
        <v>1.5912</v>
      </c>
      <c r="I364" s="44">
        <v>2.0055</v>
      </c>
      <c r="J364" s="44">
        <v>16.0</v>
      </c>
      <c r="K364" s="44">
        <v>13.0</v>
      </c>
      <c r="L364" s="44">
        <v>2.0</v>
      </c>
      <c r="M364" s="66">
        <v>101.34</v>
      </c>
      <c r="N364" s="67" t="s">
        <v>764</v>
      </c>
      <c r="O364" s="43" t="s">
        <v>1145</v>
      </c>
      <c r="P364" s="43" t="s">
        <v>1146</v>
      </c>
      <c r="Q364" s="43" t="s">
        <v>1147</v>
      </c>
    </row>
    <row r="365" ht="15.75" customHeight="1">
      <c r="A365" s="43" t="s">
        <v>1559</v>
      </c>
      <c r="B365" s="43" t="s">
        <v>596</v>
      </c>
      <c r="C365" s="43" t="s">
        <v>265</v>
      </c>
      <c r="D365" s="43" t="s">
        <v>829</v>
      </c>
      <c r="E365" s="43" t="s">
        <v>826</v>
      </c>
      <c r="F365" s="43" t="s">
        <v>751</v>
      </c>
      <c r="G365" s="44">
        <v>2024.0</v>
      </c>
      <c r="H365" s="44">
        <v>0.3599</v>
      </c>
      <c r="I365" s="44">
        <v>0.3997</v>
      </c>
      <c r="J365" s="44">
        <v>2.0</v>
      </c>
      <c r="K365" s="44">
        <v>1.0</v>
      </c>
      <c r="L365" s="44">
        <v>1.0</v>
      </c>
      <c r="M365" s="66">
        <v>30.66</v>
      </c>
      <c r="N365" s="67" t="s">
        <v>764</v>
      </c>
      <c r="O365" s="43" t="s">
        <v>1145</v>
      </c>
      <c r="P365" s="43" t="s">
        <v>1146</v>
      </c>
      <c r="Q365" s="43" t="s">
        <v>1147</v>
      </c>
    </row>
    <row r="366" ht="15.75" customHeight="1">
      <c r="A366" s="43" t="s">
        <v>1561</v>
      </c>
      <c r="B366" s="43" t="s">
        <v>577</v>
      </c>
      <c r="C366" s="43" t="s">
        <v>286</v>
      </c>
      <c r="D366" s="43" t="s">
        <v>644</v>
      </c>
      <c r="E366" s="43" t="s">
        <v>749</v>
      </c>
      <c r="F366" s="43" t="s">
        <v>751</v>
      </c>
      <c r="G366" s="44">
        <v>2024.0</v>
      </c>
      <c r="H366" s="44">
        <v>0.0018</v>
      </c>
      <c r="I366" s="44">
        <v>0.0022</v>
      </c>
      <c r="J366" s="44">
        <v>2.0</v>
      </c>
      <c r="K366" s="44">
        <v>2.0</v>
      </c>
      <c r="L366" s="44">
        <v>1.0</v>
      </c>
      <c r="M366" s="66">
        <v>0.15</v>
      </c>
      <c r="N366" s="67" t="s">
        <v>764</v>
      </c>
      <c r="O366" s="43" t="s">
        <v>1145</v>
      </c>
      <c r="P366" s="43" t="s">
        <v>1146</v>
      </c>
      <c r="Q366" s="43" t="s">
        <v>1147</v>
      </c>
    </row>
    <row r="367" ht="15.75" customHeight="1">
      <c r="A367" s="43" t="s">
        <v>1563</v>
      </c>
      <c r="B367" s="43" t="s">
        <v>577</v>
      </c>
      <c r="C367" s="43" t="s">
        <v>169</v>
      </c>
      <c r="D367" s="43" t="s">
        <v>655</v>
      </c>
      <c r="E367" s="43" t="s">
        <v>826</v>
      </c>
      <c r="F367" s="43" t="s">
        <v>751</v>
      </c>
      <c r="G367" s="44">
        <v>2024.0</v>
      </c>
      <c r="H367" s="44">
        <v>1.3184</v>
      </c>
      <c r="I367" s="44">
        <v>1.7788</v>
      </c>
      <c r="J367" s="44">
        <v>14.0</v>
      </c>
      <c r="K367" s="44">
        <v>8.0</v>
      </c>
      <c r="L367" s="44">
        <v>2.0</v>
      </c>
      <c r="M367" s="66">
        <v>101.0</v>
      </c>
      <c r="N367" s="67" t="s">
        <v>764</v>
      </c>
      <c r="O367" s="43" t="s">
        <v>1145</v>
      </c>
      <c r="P367" s="43" t="s">
        <v>1146</v>
      </c>
      <c r="Q367" s="43" t="s">
        <v>1147</v>
      </c>
    </row>
    <row r="368" ht="15.75" customHeight="1">
      <c r="A368" s="43" t="s">
        <v>1565</v>
      </c>
      <c r="B368" s="43" t="s">
        <v>603</v>
      </c>
      <c r="C368" s="43" t="s">
        <v>401</v>
      </c>
      <c r="D368" s="43" t="s">
        <v>895</v>
      </c>
      <c r="E368" s="43" t="s">
        <v>836</v>
      </c>
      <c r="F368" s="43" t="s">
        <v>798</v>
      </c>
      <c r="G368" s="44">
        <v>2023.0</v>
      </c>
      <c r="H368" s="44">
        <v>0.1507</v>
      </c>
      <c r="I368" s="44">
        <v>0.1958</v>
      </c>
      <c r="J368" s="44">
        <v>2.0</v>
      </c>
      <c r="K368" s="44">
        <v>1.0</v>
      </c>
      <c r="L368" s="44">
        <v>1.0</v>
      </c>
      <c r="M368" s="66">
        <v>1.1763</v>
      </c>
      <c r="N368" s="67" t="s">
        <v>764</v>
      </c>
      <c r="O368" s="43" t="s">
        <v>1145</v>
      </c>
      <c r="P368" s="43" t="s">
        <v>1146</v>
      </c>
      <c r="Q368" s="43" t="s">
        <v>1147</v>
      </c>
    </row>
    <row r="369" ht="15.75" customHeight="1">
      <c r="A369" s="43" t="s">
        <v>1567</v>
      </c>
      <c r="B369" s="43" t="s">
        <v>603</v>
      </c>
      <c r="C369" s="43" t="s">
        <v>146</v>
      </c>
      <c r="D369" s="43" t="s">
        <v>906</v>
      </c>
      <c r="E369" s="43" t="s">
        <v>842</v>
      </c>
      <c r="F369" s="43" t="s">
        <v>751</v>
      </c>
      <c r="G369" s="44">
        <v>2024.0</v>
      </c>
      <c r="H369" s="44">
        <v>0.9227</v>
      </c>
      <c r="I369" s="44">
        <v>1.067</v>
      </c>
      <c r="J369" s="44">
        <v>8.0</v>
      </c>
      <c r="K369" s="44">
        <v>7.0</v>
      </c>
      <c r="L369" s="44">
        <v>1.0</v>
      </c>
      <c r="M369" s="66">
        <v>74.49</v>
      </c>
      <c r="N369" s="67" t="s">
        <v>764</v>
      </c>
      <c r="O369" s="43" t="s">
        <v>1145</v>
      </c>
      <c r="P369" s="43" t="s">
        <v>1146</v>
      </c>
      <c r="Q369" s="43" t="s">
        <v>1147</v>
      </c>
    </row>
    <row r="370" ht="15.75" customHeight="1">
      <c r="A370" s="43" t="s">
        <v>1569</v>
      </c>
      <c r="B370" s="43" t="s">
        <v>577</v>
      </c>
      <c r="C370" s="43" t="s">
        <v>422</v>
      </c>
      <c r="D370" s="43" t="s">
        <v>688</v>
      </c>
      <c r="E370" s="43" t="s">
        <v>842</v>
      </c>
      <c r="F370" s="43" t="s">
        <v>751</v>
      </c>
      <c r="G370" s="44">
        <v>2024.0</v>
      </c>
      <c r="H370" s="44">
        <v>0.8935</v>
      </c>
      <c r="I370" s="44">
        <v>0.9879</v>
      </c>
      <c r="J370" s="44">
        <v>8.0</v>
      </c>
      <c r="K370" s="44">
        <v>4.0</v>
      </c>
      <c r="L370" s="44">
        <v>1.0</v>
      </c>
      <c r="M370" s="66">
        <v>68.59</v>
      </c>
      <c r="N370" s="67" t="s">
        <v>764</v>
      </c>
      <c r="O370" s="43" t="s">
        <v>1145</v>
      </c>
      <c r="P370" s="43" t="s">
        <v>1146</v>
      </c>
      <c r="Q370" s="43" t="s">
        <v>1147</v>
      </c>
    </row>
    <row r="371" ht="15.75" customHeight="1">
      <c r="A371" s="43" t="s">
        <v>1571</v>
      </c>
      <c r="B371" s="43" t="s">
        <v>596</v>
      </c>
      <c r="C371" s="43" t="s">
        <v>346</v>
      </c>
      <c r="D371" s="43" t="s">
        <v>873</v>
      </c>
      <c r="E371" s="43" t="s">
        <v>826</v>
      </c>
      <c r="F371" s="43" t="s">
        <v>751</v>
      </c>
      <c r="G371" s="44">
        <v>2024.0</v>
      </c>
      <c r="H371" s="44">
        <v>0.8886</v>
      </c>
      <c r="I371" s="44">
        <v>1.1357</v>
      </c>
      <c r="J371" s="44">
        <v>9.0</v>
      </c>
      <c r="K371" s="44">
        <v>8.0</v>
      </c>
      <c r="L371" s="44">
        <v>1.0</v>
      </c>
      <c r="M371" s="66">
        <v>54.18</v>
      </c>
      <c r="N371" s="67" t="s">
        <v>764</v>
      </c>
      <c r="O371" s="43" t="s">
        <v>1145</v>
      </c>
      <c r="P371" s="43" t="s">
        <v>1146</v>
      </c>
      <c r="Q371" s="43" t="s">
        <v>1147</v>
      </c>
    </row>
    <row r="372" ht="15.75" customHeight="1">
      <c r="A372" s="43" t="s">
        <v>1573</v>
      </c>
      <c r="B372" s="43" t="s">
        <v>605</v>
      </c>
      <c r="C372" s="43" t="s">
        <v>279</v>
      </c>
      <c r="D372" s="43" t="s">
        <v>956</v>
      </c>
      <c r="E372" s="43" t="s">
        <v>797</v>
      </c>
      <c r="F372" s="43" t="s">
        <v>798</v>
      </c>
      <c r="G372" s="44">
        <v>2023.0</v>
      </c>
      <c r="H372" s="44">
        <v>0.0579</v>
      </c>
      <c r="I372" s="44">
        <v>0.07</v>
      </c>
      <c r="J372" s="44">
        <v>2.0</v>
      </c>
      <c r="K372" s="44">
        <v>2.0</v>
      </c>
      <c r="L372" s="44">
        <v>1.0</v>
      </c>
      <c r="M372" s="66">
        <v>0.2657</v>
      </c>
      <c r="N372" s="67" t="s">
        <v>764</v>
      </c>
      <c r="O372" s="43" t="s">
        <v>1145</v>
      </c>
      <c r="P372" s="43" t="s">
        <v>1146</v>
      </c>
      <c r="Q372" s="43" t="s">
        <v>1147</v>
      </c>
    </row>
    <row r="373" ht="15.75" customHeight="1">
      <c r="A373" s="43" t="s">
        <v>1575</v>
      </c>
      <c r="B373" s="43" t="s">
        <v>603</v>
      </c>
      <c r="C373" s="43" t="s">
        <v>521</v>
      </c>
      <c r="D373" s="43" t="s">
        <v>882</v>
      </c>
      <c r="E373" s="43" t="s">
        <v>749</v>
      </c>
      <c r="F373" s="43" t="s">
        <v>751</v>
      </c>
      <c r="G373" s="44">
        <v>2024.0</v>
      </c>
      <c r="H373" s="44">
        <v>0.0037</v>
      </c>
      <c r="I373" s="44">
        <v>0.005</v>
      </c>
      <c r="J373" s="44">
        <v>2.0</v>
      </c>
      <c r="K373" s="44">
        <v>1.0</v>
      </c>
      <c r="L373" s="44">
        <v>1.0</v>
      </c>
      <c r="M373" s="66">
        <v>0.22</v>
      </c>
      <c r="N373" s="67" t="s">
        <v>764</v>
      </c>
      <c r="O373" s="43" t="s">
        <v>1145</v>
      </c>
      <c r="P373" s="43" t="s">
        <v>1146</v>
      </c>
      <c r="Q373" s="43" t="s">
        <v>1147</v>
      </c>
    </row>
    <row r="374" ht="15.75" customHeight="1">
      <c r="A374" s="43" t="s">
        <v>1577</v>
      </c>
      <c r="B374" s="43" t="s">
        <v>603</v>
      </c>
      <c r="C374" s="43" t="s">
        <v>449</v>
      </c>
      <c r="D374" s="43" t="s">
        <v>830</v>
      </c>
      <c r="E374" s="43" t="s">
        <v>842</v>
      </c>
      <c r="F374" s="43" t="s">
        <v>751</v>
      </c>
      <c r="G374" s="44">
        <v>2024.0</v>
      </c>
      <c r="H374" s="44">
        <v>0.7647</v>
      </c>
      <c r="I374" s="44">
        <v>0.9928</v>
      </c>
      <c r="J374" s="44">
        <v>6.0</v>
      </c>
      <c r="K374" s="44">
        <v>4.0</v>
      </c>
      <c r="L374" s="44">
        <v>1.0</v>
      </c>
      <c r="M374" s="66">
        <v>64.53</v>
      </c>
      <c r="N374" s="67" t="s">
        <v>764</v>
      </c>
      <c r="O374" s="43" t="s">
        <v>1145</v>
      </c>
      <c r="P374" s="43" t="s">
        <v>1146</v>
      </c>
      <c r="Q374" s="43" t="s">
        <v>1147</v>
      </c>
    </row>
    <row r="375" ht="15.75" customHeight="1">
      <c r="A375" s="43" t="s">
        <v>1579</v>
      </c>
      <c r="B375" s="43" t="s">
        <v>605</v>
      </c>
      <c r="C375" s="43" t="s">
        <v>160</v>
      </c>
      <c r="D375" s="43" t="s">
        <v>937</v>
      </c>
      <c r="E375" s="43" t="s">
        <v>784</v>
      </c>
      <c r="F375" s="43" t="s">
        <v>751</v>
      </c>
      <c r="G375" s="44">
        <v>2024.0</v>
      </c>
      <c r="H375" s="44">
        <v>1.7239</v>
      </c>
      <c r="I375" s="44">
        <v>2.193</v>
      </c>
      <c r="J375" s="44">
        <v>16.0</v>
      </c>
      <c r="K375" s="44">
        <v>13.0</v>
      </c>
      <c r="L375" s="44">
        <v>2.0</v>
      </c>
      <c r="M375" s="66">
        <v>126.61</v>
      </c>
      <c r="N375" s="67" t="s">
        <v>764</v>
      </c>
      <c r="O375" s="43" t="s">
        <v>1145</v>
      </c>
      <c r="P375" s="43" t="s">
        <v>1146</v>
      </c>
      <c r="Q375" s="43" t="s">
        <v>1147</v>
      </c>
    </row>
    <row r="376" ht="15.75" customHeight="1">
      <c r="A376" s="43" t="s">
        <v>1581</v>
      </c>
      <c r="B376" s="43" t="s">
        <v>603</v>
      </c>
      <c r="C376" s="43" t="s">
        <v>272</v>
      </c>
      <c r="D376" s="43" t="s">
        <v>891</v>
      </c>
      <c r="E376" s="43" t="s">
        <v>826</v>
      </c>
      <c r="F376" s="43" t="s">
        <v>751</v>
      </c>
      <c r="G376" s="44">
        <v>2024.0</v>
      </c>
      <c r="H376" s="44">
        <v>0.3204</v>
      </c>
      <c r="I376" s="44">
        <v>0.3594</v>
      </c>
      <c r="J376" s="44">
        <v>3.0</v>
      </c>
      <c r="K376" s="44">
        <v>2.0</v>
      </c>
      <c r="L376" s="44">
        <v>1.0</v>
      </c>
      <c r="M376" s="66">
        <v>30.35</v>
      </c>
      <c r="N376" s="67" t="s">
        <v>764</v>
      </c>
      <c r="O376" s="43" t="s">
        <v>1145</v>
      </c>
      <c r="P376" s="43" t="s">
        <v>1146</v>
      </c>
      <c r="Q376" s="43" t="s">
        <v>1147</v>
      </c>
    </row>
    <row r="377" ht="15.75" customHeight="1">
      <c r="A377" s="43" t="s">
        <v>1584</v>
      </c>
      <c r="B377" s="43" t="s">
        <v>577</v>
      </c>
      <c r="C377" s="43" t="s">
        <v>499</v>
      </c>
      <c r="D377" s="43" t="s">
        <v>651</v>
      </c>
      <c r="E377" s="43" t="s">
        <v>784</v>
      </c>
      <c r="F377" s="43" t="s">
        <v>751</v>
      </c>
      <c r="G377" s="44">
        <v>2024.0</v>
      </c>
      <c r="H377" s="44">
        <v>0.3402</v>
      </c>
      <c r="I377" s="44">
        <v>0.3966</v>
      </c>
      <c r="J377" s="44">
        <v>2.0</v>
      </c>
      <c r="K377" s="44">
        <v>1.0</v>
      </c>
      <c r="L377" s="44">
        <v>1.0</v>
      </c>
      <c r="M377" s="66">
        <v>27.95</v>
      </c>
      <c r="N377" s="67" t="s">
        <v>764</v>
      </c>
      <c r="O377" s="43" t="s">
        <v>1145</v>
      </c>
      <c r="P377" s="43" t="s">
        <v>1146</v>
      </c>
      <c r="Q377" s="43" t="s">
        <v>1147</v>
      </c>
    </row>
    <row r="378" ht="15.75" customHeight="1">
      <c r="A378" s="43" t="s">
        <v>1586</v>
      </c>
      <c r="B378" s="43" t="s">
        <v>603</v>
      </c>
      <c r="C378" s="43" t="s">
        <v>521</v>
      </c>
      <c r="D378" s="43" t="s">
        <v>882</v>
      </c>
      <c r="E378" s="43" t="s">
        <v>836</v>
      </c>
      <c r="F378" s="43" t="s">
        <v>798</v>
      </c>
      <c r="G378" s="44">
        <v>2023.0</v>
      </c>
      <c r="H378" s="44">
        <v>0.1254</v>
      </c>
      <c r="I378" s="44">
        <v>0.1443</v>
      </c>
      <c r="J378" s="44">
        <v>2.0</v>
      </c>
      <c r="K378" s="44">
        <v>1.0</v>
      </c>
      <c r="L378" s="44">
        <v>1.0</v>
      </c>
      <c r="M378" s="66">
        <v>1.4272</v>
      </c>
      <c r="N378" s="67" t="s">
        <v>764</v>
      </c>
      <c r="O378" s="43" t="s">
        <v>1145</v>
      </c>
      <c r="P378" s="43" t="s">
        <v>1146</v>
      </c>
      <c r="Q378" s="43" t="s">
        <v>1147</v>
      </c>
    </row>
    <row r="379" ht="15.75" customHeight="1">
      <c r="A379" s="43" t="s">
        <v>1588</v>
      </c>
      <c r="B379" s="43" t="s">
        <v>605</v>
      </c>
      <c r="C379" s="43" t="s">
        <v>354</v>
      </c>
      <c r="D379" s="43" t="s">
        <v>905</v>
      </c>
      <c r="E379" s="43" t="s">
        <v>784</v>
      </c>
      <c r="F379" s="43" t="s">
        <v>751</v>
      </c>
      <c r="G379" s="44">
        <v>2024.0</v>
      </c>
      <c r="H379" s="44">
        <v>2.6104</v>
      </c>
      <c r="I379" s="44">
        <v>2.9391</v>
      </c>
      <c r="J379" s="44">
        <v>29.0</v>
      </c>
      <c r="K379" s="44">
        <v>19.0</v>
      </c>
      <c r="L379" s="44">
        <v>2.0</v>
      </c>
      <c r="M379" s="66">
        <v>346.19</v>
      </c>
      <c r="N379" s="67" t="s">
        <v>764</v>
      </c>
      <c r="O379" s="43" t="s">
        <v>1145</v>
      </c>
      <c r="P379" s="43" t="s">
        <v>1146</v>
      </c>
      <c r="Q379" s="43" t="s">
        <v>1147</v>
      </c>
    </row>
    <row r="380" ht="15.75" customHeight="1">
      <c r="A380" s="43" t="s">
        <v>1590</v>
      </c>
      <c r="B380" s="43" t="s">
        <v>577</v>
      </c>
      <c r="C380" s="43" t="s">
        <v>363</v>
      </c>
      <c r="D380" s="43" t="s">
        <v>634</v>
      </c>
      <c r="E380" s="43" t="s">
        <v>797</v>
      </c>
      <c r="F380" s="43" t="s">
        <v>798</v>
      </c>
      <c r="G380" s="44">
        <v>2023.0</v>
      </c>
      <c r="H380" s="44">
        <v>0.0715</v>
      </c>
      <c r="I380" s="44">
        <v>0.0807</v>
      </c>
      <c r="J380" s="44">
        <v>2.0</v>
      </c>
      <c r="K380" s="44">
        <v>1.0</v>
      </c>
      <c r="L380" s="44">
        <v>1.0</v>
      </c>
      <c r="M380" s="66">
        <v>0.2901</v>
      </c>
      <c r="N380" s="67" t="s">
        <v>764</v>
      </c>
      <c r="O380" s="43" t="s">
        <v>1145</v>
      </c>
      <c r="P380" s="43" t="s">
        <v>1146</v>
      </c>
      <c r="Q380" s="43" t="s">
        <v>1147</v>
      </c>
    </row>
    <row r="381" ht="15.75" customHeight="1">
      <c r="A381" s="43" t="s">
        <v>1592</v>
      </c>
      <c r="B381" s="43" t="s">
        <v>577</v>
      </c>
      <c r="C381" s="43" t="s">
        <v>414</v>
      </c>
      <c r="D381" s="43" t="s">
        <v>647</v>
      </c>
      <c r="E381" s="43" t="s">
        <v>749</v>
      </c>
      <c r="F381" s="43" t="s">
        <v>751</v>
      </c>
      <c r="G381" s="44">
        <v>2024.0</v>
      </c>
      <c r="H381" s="44">
        <v>0.0115</v>
      </c>
      <c r="I381" s="44">
        <v>0.015</v>
      </c>
      <c r="J381" s="44">
        <v>2.0</v>
      </c>
      <c r="K381" s="44">
        <v>1.0</v>
      </c>
      <c r="L381" s="44">
        <v>1.0</v>
      </c>
      <c r="M381" s="66">
        <v>0.8</v>
      </c>
      <c r="N381" s="67" t="s">
        <v>764</v>
      </c>
      <c r="O381" s="43" t="s">
        <v>1145</v>
      </c>
      <c r="P381" s="43" t="s">
        <v>1146</v>
      </c>
      <c r="Q381" s="43" t="s">
        <v>1147</v>
      </c>
    </row>
    <row r="382" ht="15.75" customHeight="1">
      <c r="A382" s="43" t="s">
        <v>1594</v>
      </c>
      <c r="B382" s="43" t="s">
        <v>603</v>
      </c>
      <c r="C382" s="43" t="s">
        <v>272</v>
      </c>
      <c r="D382" s="43" t="s">
        <v>891</v>
      </c>
      <c r="E382" s="43" t="s">
        <v>784</v>
      </c>
      <c r="F382" s="43" t="s">
        <v>751</v>
      </c>
      <c r="G382" s="44">
        <v>2024.0</v>
      </c>
      <c r="H382" s="44">
        <v>2.0807</v>
      </c>
      <c r="I382" s="44">
        <v>2.7383</v>
      </c>
      <c r="J382" s="44">
        <v>19.0</v>
      </c>
      <c r="K382" s="44">
        <v>16.0</v>
      </c>
      <c r="L382" s="44">
        <v>2.0</v>
      </c>
      <c r="M382" s="66">
        <v>184.18</v>
      </c>
      <c r="N382" s="67" t="s">
        <v>764</v>
      </c>
      <c r="O382" s="43" t="s">
        <v>1145</v>
      </c>
      <c r="P382" s="43" t="s">
        <v>1146</v>
      </c>
      <c r="Q382" s="43" t="s">
        <v>1147</v>
      </c>
    </row>
    <row r="383" ht="15.75" customHeight="1">
      <c r="A383" s="43" t="s">
        <v>1596</v>
      </c>
      <c r="B383" s="43" t="s">
        <v>581</v>
      </c>
      <c r="C383" s="43" t="s">
        <v>341</v>
      </c>
      <c r="D383" s="43" t="s">
        <v>783</v>
      </c>
      <c r="E383" s="43" t="s">
        <v>826</v>
      </c>
      <c r="F383" s="43" t="s">
        <v>751</v>
      </c>
      <c r="G383" s="44">
        <v>2024.0</v>
      </c>
      <c r="H383" s="44">
        <v>0.5839</v>
      </c>
      <c r="I383" s="44">
        <v>0.7162</v>
      </c>
      <c r="J383" s="44">
        <v>7.0</v>
      </c>
      <c r="K383" s="44">
        <v>5.0</v>
      </c>
      <c r="L383" s="44">
        <v>1.0</v>
      </c>
      <c r="M383" s="66">
        <v>31.64</v>
      </c>
      <c r="N383" s="67" t="s">
        <v>764</v>
      </c>
      <c r="O383" s="43" t="s">
        <v>1145</v>
      </c>
      <c r="P383" s="43" t="s">
        <v>1146</v>
      </c>
      <c r="Q383" s="43" t="s">
        <v>1147</v>
      </c>
    </row>
    <row r="384" ht="15.75" customHeight="1">
      <c r="A384" s="43" t="s">
        <v>1597</v>
      </c>
      <c r="B384" s="43" t="s">
        <v>581</v>
      </c>
      <c r="C384" s="43" t="s">
        <v>477</v>
      </c>
      <c r="D384" s="43" t="s">
        <v>759</v>
      </c>
      <c r="E384" s="43" t="s">
        <v>817</v>
      </c>
      <c r="F384" s="43" t="s">
        <v>798</v>
      </c>
      <c r="G384" s="44">
        <v>2023.0</v>
      </c>
      <c r="H384" s="44">
        <v>0.0487</v>
      </c>
      <c r="I384" s="44">
        <v>0.0615</v>
      </c>
      <c r="J384" s="44">
        <v>2.0</v>
      </c>
      <c r="K384" s="44">
        <v>1.0</v>
      </c>
      <c r="L384" s="44">
        <v>1.0</v>
      </c>
      <c r="M384" s="66">
        <v>0.286</v>
      </c>
      <c r="N384" s="67" t="s">
        <v>764</v>
      </c>
      <c r="O384" s="43" t="s">
        <v>1145</v>
      </c>
      <c r="P384" s="43" t="s">
        <v>1146</v>
      </c>
      <c r="Q384" s="43" t="s">
        <v>1147</v>
      </c>
    </row>
    <row r="385" ht="15.75" customHeight="1">
      <c r="A385" s="43" t="s">
        <v>1599</v>
      </c>
      <c r="B385" s="43" t="s">
        <v>577</v>
      </c>
      <c r="C385" s="43" t="s">
        <v>463</v>
      </c>
      <c r="D385" s="43" t="s">
        <v>662</v>
      </c>
      <c r="E385" s="43" t="s">
        <v>842</v>
      </c>
      <c r="F385" s="43" t="s">
        <v>751</v>
      </c>
      <c r="G385" s="44">
        <v>2024.0</v>
      </c>
      <c r="H385" s="44">
        <v>0.3724</v>
      </c>
      <c r="I385" s="44">
        <v>0.447</v>
      </c>
      <c r="J385" s="44">
        <v>4.0</v>
      </c>
      <c r="K385" s="44">
        <v>2.0</v>
      </c>
      <c r="L385" s="44">
        <v>1.0</v>
      </c>
      <c r="M385" s="66">
        <v>34.6</v>
      </c>
      <c r="N385" s="67" t="s">
        <v>764</v>
      </c>
      <c r="O385" s="43" t="s">
        <v>1145</v>
      </c>
      <c r="P385" s="43" t="s">
        <v>1146</v>
      </c>
      <c r="Q385" s="43" t="s">
        <v>1147</v>
      </c>
    </row>
    <row r="386" ht="15.75" customHeight="1">
      <c r="A386" s="43" t="s">
        <v>1601</v>
      </c>
      <c r="B386" s="43" t="s">
        <v>605</v>
      </c>
      <c r="C386" s="43" t="s">
        <v>483</v>
      </c>
      <c r="D386" s="43" t="s">
        <v>803</v>
      </c>
      <c r="E386" s="43" t="s">
        <v>842</v>
      </c>
      <c r="F386" s="43" t="s">
        <v>751</v>
      </c>
      <c r="G386" s="44">
        <v>2024.0</v>
      </c>
      <c r="H386" s="44">
        <v>0.331</v>
      </c>
      <c r="I386" s="44">
        <v>0.3579</v>
      </c>
      <c r="J386" s="44">
        <v>2.0</v>
      </c>
      <c r="K386" s="44">
        <v>1.0</v>
      </c>
      <c r="L386" s="44">
        <v>1.0</v>
      </c>
      <c r="M386" s="66">
        <v>15.67</v>
      </c>
      <c r="N386" s="67" t="s">
        <v>764</v>
      </c>
      <c r="O386" s="43" t="s">
        <v>1145</v>
      </c>
      <c r="P386" s="43" t="s">
        <v>1146</v>
      </c>
      <c r="Q386" s="43" t="s">
        <v>1147</v>
      </c>
    </row>
    <row r="387" ht="15.75" customHeight="1">
      <c r="A387" s="43" t="s">
        <v>1603</v>
      </c>
      <c r="B387" s="43" t="s">
        <v>581</v>
      </c>
      <c r="C387" s="43" t="s">
        <v>336</v>
      </c>
      <c r="D387" s="43" t="s">
        <v>755</v>
      </c>
      <c r="E387" s="43" t="s">
        <v>836</v>
      </c>
      <c r="F387" s="43" t="s">
        <v>798</v>
      </c>
      <c r="G387" s="44">
        <v>2023.0</v>
      </c>
      <c r="H387" s="44">
        <v>0.2524</v>
      </c>
      <c r="I387" s="44">
        <v>0.2785</v>
      </c>
      <c r="J387" s="44">
        <v>2.0</v>
      </c>
      <c r="K387" s="44">
        <v>1.0</v>
      </c>
      <c r="L387" s="44">
        <v>1.0</v>
      </c>
      <c r="M387" s="66">
        <v>2.985</v>
      </c>
      <c r="N387" s="67" t="s">
        <v>764</v>
      </c>
      <c r="O387" s="43" t="s">
        <v>1145</v>
      </c>
      <c r="P387" s="43" t="s">
        <v>1146</v>
      </c>
      <c r="Q387" s="43" t="s">
        <v>1147</v>
      </c>
    </row>
    <row r="388" ht="15.75" customHeight="1">
      <c r="A388" s="43" t="s">
        <v>1604</v>
      </c>
      <c r="B388" s="43" t="s">
        <v>577</v>
      </c>
      <c r="C388" s="43" t="s">
        <v>237</v>
      </c>
      <c r="D388" s="43" t="s">
        <v>669</v>
      </c>
      <c r="E388" s="43" t="s">
        <v>749</v>
      </c>
      <c r="F388" s="43" t="s">
        <v>751</v>
      </c>
      <c r="G388" s="44">
        <v>2024.0</v>
      </c>
      <c r="H388" s="44">
        <v>0.0163</v>
      </c>
      <c r="I388" s="44">
        <v>0.0213</v>
      </c>
      <c r="J388" s="44">
        <v>2.0</v>
      </c>
      <c r="K388" s="44">
        <v>2.0</v>
      </c>
      <c r="L388" s="44">
        <v>1.0</v>
      </c>
      <c r="M388" s="66">
        <v>1.46</v>
      </c>
      <c r="N388" s="67" t="s">
        <v>764</v>
      </c>
      <c r="O388" s="43" t="s">
        <v>1145</v>
      </c>
      <c r="P388" s="43" t="s">
        <v>1146</v>
      </c>
      <c r="Q388" s="43" t="s">
        <v>1147</v>
      </c>
    </row>
    <row r="389" ht="15.75" customHeight="1">
      <c r="A389" s="43" t="s">
        <v>1606</v>
      </c>
      <c r="B389" s="43" t="s">
        <v>577</v>
      </c>
      <c r="C389" s="43" t="s">
        <v>485</v>
      </c>
      <c r="D389" s="43" t="s">
        <v>637</v>
      </c>
      <c r="E389" s="43" t="s">
        <v>817</v>
      </c>
      <c r="F389" s="43" t="s">
        <v>798</v>
      </c>
      <c r="G389" s="44">
        <v>2023.0</v>
      </c>
      <c r="H389" s="44">
        <v>0.0806</v>
      </c>
      <c r="I389" s="44">
        <v>0.0943</v>
      </c>
      <c r="J389" s="44">
        <v>2.0</v>
      </c>
      <c r="K389" s="44">
        <v>2.0</v>
      </c>
      <c r="L389" s="44">
        <v>1.0</v>
      </c>
      <c r="M389" s="66">
        <v>0.7079</v>
      </c>
      <c r="N389" s="67" t="s">
        <v>764</v>
      </c>
      <c r="O389" s="43" t="s">
        <v>1145</v>
      </c>
      <c r="P389" s="43" t="s">
        <v>1146</v>
      </c>
      <c r="Q389" s="43" t="s">
        <v>1147</v>
      </c>
    </row>
    <row r="390" ht="15.75" customHeight="1">
      <c r="A390" s="43" t="s">
        <v>1608</v>
      </c>
      <c r="B390" s="43" t="s">
        <v>577</v>
      </c>
      <c r="C390" s="43" t="s">
        <v>513</v>
      </c>
      <c r="D390" s="43" t="s">
        <v>666</v>
      </c>
      <c r="E390" s="43" t="s">
        <v>826</v>
      </c>
      <c r="F390" s="43" t="s">
        <v>751</v>
      </c>
      <c r="G390" s="44">
        <v>2024.0</v>
      </c>
      <c r="H390" s="44">
        <v>0.3114</v>
      </c>
      <c r="I390" s="44">
        <v>0.4002</v>
      </c>
      <c r="J390" s="44">
        <v>4.0</v>
      </c>
      <c r="K390" s="44">
        <v>2.0</v>
      </c>
      <c r="L390" s="44">
        <v>1.0</v>
      </c>
      <c r="M390" s="66">
        <v>25.11</v>
      </c>
      <c r="N390" s="67" t="s">
        <v>764</v>
      </c>
      <c r="O390" s="43" t="s">
        <v>1145</v>
      </c>
      <c r="P390" s="43" t="s">
        <v>1146</v>
      </c>
      <c r="Q390" s="43" t="s">
        <v>1147</v>
      </c>
    </row>
    <row r="391" ht="15.75" customHeight="1">
      <c r="A391" s="43" t="s">
        <v>1610</v>
      </c>
      <c r="B391" s="43" t="s">
        <v>581</v>
      </c>
      <c r="C391" s="43" t="s">
        <v>104</v>
      </c>
      <c r="D391" s="43" t="s">
        <v>729</v>
      </c>
      <c r="E391" s="43" t="s">
        <v>842</v>
      </c>
      <c r="F391" s="43" t="s">
        <v>751</v>
      </c>
      <c r="G391" s="44">
        <v>2024.0</v>
      </c>
      <c r="H391" s="44">
        <v>0.2662</v>
      </c>
      <c r="I391" s="44">
        <v>0.2996</v>
      </c>
      <c r="J391" s="44">
        <v>2.0</v>
      </c>
      <c r="K391" s="44">
        <v>2.0</v>
      </c>
      <c r="L391" s="44">
        <v>1.0</v>
      </c>
      <c r="M391" s="66">
        <v>15.78</v>
      </c>
      <c r="N391" s="67" t="s">
        <v>764</v>
      </c>
      <c r="O391" s="43" t="s">
        <v>1145</v>
      </c>
      <c r="P391" s="43" t="s">
        <v>1146</v>
      </c>
      <c r="Q391" s="43" t="s">
        <v>1147</v>
      </c>
    </row>
    <row r="392" ht="15.75" customHeight="1">
      <c r="A392" s="43" t="s">
        <v>1612</v>
      </c>
      <c r="B392" s="43" t="s">
        <v>581</v>
      </c>
      <c r="C392" s="43" t="s">
        <v>503</v>
      </c>
      <c r="D392" s="43" t="s">
        <v>745</v>
      </c>
      <c r="E392" s="43" t="s">
        <v>817</v>
      </c>
      <c r="F392" s="43" t="s">
        <v>798</v>
      </c>
      <c r="G392" s="44">
        <v>2023.0</v>
      </c>
      <c r="H392" s="44">
        <v>0.1135</v>
      </c>
      <c r="I392" s="44">
        <v>0.1249</v>
      </c>
      <c r="J392" s="44">
        <v>2.0</v>
      </c>
      <c r="K392" s="44">
        <v>2.0</v>
      </c>
      <c r="L392" s="44">
        <v>1.0</v>
      </c>
      <c r="M392" s="66">
        <v>0.4386</v>
      </c>
      <c r="N392" s="67" t="s">
        <v>764</v>
      </c>
      <c r="O392" s="43" t="s">
        <v>1145</v>
      </c>
      <c r="P392" s="43" t="s">
        <v>1146</v>
      </c>
      <c r="Q392" s="43" t="s">
        <v>1147</v>
      </c>
    </row>
    <row r="393" ht="15.75" customHeight="1">
      <c r="A393" s="43" t="s">
        <v>1613</v>
      </c>
      <c r="B393" s="43" t="s">
        <v>596</v>
      </c>
      <c r="C393" s="43" t="s">
        <v>211</v>
      </c>
      <c r="D393" s="43" t="s">
        <v>868</v>
      </c>
      <c r="E393" s="43" t="s">
        <v>826</v>
      </c>
      <c r="F393" s="43" t="s">
        <v>751</v>
      </c>
      <c r="G393" s="44">
        <v>2024.0</v>
      </c>
      <c r="H393" s="44">
        <v>0.2591</v>
      </c>
      <c r="I393" s="44">
        <v>0.3051</v>
      </c>
      <c r="J393" s="44">
        <v>4.0</v>
      </c>
      <c r="K393" s="44">
        <v>3.0</v>
      </c>
      <c r="L393" s="44">
        <v>1.0</v>
      </c>
      <c r="M393" s="66">
        <v>26.39</v>
      </c>
      <c r="N393" s="67" t="s">
        <v>764</v>
      </c>
      <c r="O393" s="43" t="s">
        <v>1145</v>
      </c>
      <c r="P393" s="43" t="s">
        <v>1146</v>
      </c>
      <c r="Q393" s="43" t="s">
        <v>1147</v>
      </c>
    </row>
    <row r="394" ht="15.75" customHeight="1">
      <c r="A394" s="43" t="s">
        <v>1615</v>
      </c>
      <c r="B394" s="43" t="s">
        <v>581</v>
      </c>
      <c r="C394" s="43" t="s">
        <v>378</v>
      </c>
      <c r="D394" s="43" t="s">
        <v>718</v>
      </c>
      <c r="E394" s="43" t="s">
        <v>784</v>
      </c>
      <c r="F394" s="43" t="s">
        <v>751</v>
      </c>
      <c r="G394" s="44">
        <v>2024.0</v>
      </c>
      <c r="H394" s="44">
        <v>1.3931</v>
      </c>
      <c r="I394" s="44">
        <v>1.6172</v>
      </c>
      <c r="J394" s="44">
        <v>14.0</v>
      </c>
      <c r="K394" s="44">
        <v>8.0</v>
      </c>
      <c r="L394" s="44">
        <v>2.0</v>
      </c>
      <c r="M394" s="66">
        <v>111.37</v>
      </c>
      <c r="N394" s="67" t="s">
        <v>764</v>
      </c>
      <c r="O394" s="43" t="s">
        <v>1145</v>
      </c>
      <c r="P394" s="43" t="s">
        <v>1146</v>
      </c>
      <c r="Q394" s="43" t="s">
        <v>1147</v>
      </c>
    </row>
    <row r="395" ht="15.75" customHeight="1">
      <c r="A395" s="43" t="s">
        <v>1617</v>
      </c>
      <c r="B395" s="43" t="s">
        <v>581</v>
      </c>
      <c r="C395" s="43" t="s">
        <v>515</v>
      </c>
      <c r="D395" s="43" t="s">
        <v>709</v>
      </c>
      <c r="E395" s="43" t="s">
        <v>826</v>
      </c>
      <c r="F395" s="43" t="s">
        <v>751</v>
      </c>
      <c r="G395" s="44">
        <v>2024.0</v>
      </c>
      <c r="H395" s="44">
        <v>1.7593</v>
      </c>
      <c r="I395" s="44">
        <v>2.1611</v>
      </c>
      <c r="J395" s="44">
        <v>16.0</v>
      </c>
      <c r="K395" s="44">
        <v>12.0</v>
      </c>
      <c r="L395" s="44">
        <v>2.0</v>
      </c>
      <c r="M395" s="66">
        <v>180.07</v>
      </c>
      <c r="N395" s="67" t="s">
        <v>764</v>
      </c>
      <c r="O395" s="43" t="s">
        <v>1145</v>
      </c>
      <c r="P395" s="43" t="s">
        <v>1146</v>
      </c>
      <c r="Q395" s="43" t="s">
        <v>1147</v>
      </c>
    </row>
    <row r="396" ht="15.75" customHeight="1">
      <c r="A396" s="43" t="s">
        <v>1618</v>
      </c>
      <c r="B396" s="43" t="s">
        <v>577</v>
      </c>
      <c r="C396" s="43" t="s">
        <v>169</v>
      </c>
      <c r="D396" s="43" t="s">
        <v>655</v>
      </c>
      <c r="E396" s="43" t="s">
        <v>784</v>
      </c>
      <c r="F396" s="43" t="s">
        <v>751</v>
      </c>
      <c r="G396" s="44">
        <v>2024.0</v>
      </c>
      <c r="H396" s="44">
        <v>0.5351</v>
      </c>
      <c r="I396" s="44">
        <v>0.6578</v>
      </c>
      <c r="J396" s="44">
        <v>2.0</v>
      </c>
      <c r="K396" s="44">
        <v>1.0</v>
      </c>
      <c r="L396" s="44">
        <v>1.0</v>
      </c>
      <c r="M396" s="66">
        <v>59.88</v>
      </c>
      <c r="N396" s="67" t="s">
        <v>764</v>
      </c>
      <c r="O396" s="43" t="s">
        <v>1145</v>
      </c>
      <c r="P396" s="43" t="s">
        <v>1146</v>
      </c>
      <c r="Q396" s="43" t="s">
        <v>1147</v>
      </c>
    </row>
    <row r="397" ht="15.75" customHeight="1">
      <c r="A397" s="43" t="s">
        <v>1620</v>
      </c>
      <c r="B397" s="43" t="s">
        <v>581</v>
      </c>
      <c r="C397" s="43" t="s">
        <v>196</v>
      </c>
      <c r="D397" s="43" t="s">
        <v>750</v>
      </c>
      <c r="E397" s="43" t="s">
        <v>836</v>
      </c>
      <c r="F397" s="43" t="s">
        <v>798</v>
      </c>
      <c r="G397" s="44">
        <v>2023.0</v>
      </c>
      <c r="H397" s="44">
        <v>0.1917</v>
      </c>
      <c r="I397" s="44">
        <v>0.2147</v>
      </c>
      <c r="J397" s="44">
        <v>2.0</v>
      </c>
      <c r="K397" s="44">
        <v>1.0</v>
      </c>
      <c r="L397" s="44">
        <v>1.0</v>
      </c>
      <c r="M397" s="66">
        <v>1.8426</v>
      </c>
      <c r="N397" s="67" t="s">
        <v>764</v>
      </c>
      <c r="O397" s="43" t="s">
        <v>1145</v>
      </c>
      <c r="P397" s="43" t="s">
        <v>1146</v>
      </c>
      <c r="Q397" s="43" t="s">
        <v>1147</v>
      </c>
    </row>
    <row r="398" ht="15.75" customHeight="1">
      <c r="A398" s="43" t="s">
        <v>1622</v>
      </c>
      <c r="B398" s="43" t="s">
        <v>603</v>
      </c>
      <c r="C398" s="43" t="s">
        <v>401</v>
      </c>
      <c r="D398" s="43" t="s">
        <v>895</v>
      </c>
      <c r="E398" s="43" t="s">
        <v>826</v>
      </c>
      <c r="F398" s="43" t="s">
        <v>751</v>
      </c>
      <c r="G398" s="44">
        <v>2024.0</v>
      </c>
      <c r="H398" s="44">
        <v>0.5148</v>
      </c>
      <c r="I398" s="44">
        <v>0.6156</v>
      </c>
      <c r="J398" s="44">
        <v>5.0</v>
      </c>
      <c r="K398" s="44">
        <v>3.0</v>
      </c>
      <c r="L398" s="44">
        <v>1.0</v>
      </c>
      <c r="M398" s="66">
        <v>41.13</v>
      </c>
      <c r="N398" s="67" t="s">
        <v>764</v>
      </c>
      <c r="O398" s="43" t="s">
        <v>1145</v>
      </c>
      <c r="P398" s="43" t="s">
        <v>1146</v>
      </c>
      <c r="Q398" s="43" t="s">
        <v>1147</v>
      </c>
    </row>
    <row r="399" ht="15.75" customHeight="1">
      <c r="A399" s="43" t="s">
        <v>1624</v>
      </c>
      <c r="B399" s="43" t="s">
        <v>603</v>
      </c>
      <c r="C399" s="43" t="s">
        <v>509</v>
      </c>
      <c r="D399" s="43" t="s">
        <v>885</v>
      </c>
      <c r="E399" s="43" t="s">
        <v>826</v>
      </c>
      <c r="F399" s="43" t="s">
        <v>751</v>
      </c>
      <c r="G399" s="44">
        <v>2024.0</v>
      </c>
      <c r="H399" s="44">
        <v>0.3855</v>
      </c>
      <c r="I399" s="44">
        <v>0.4188</v>
      </c>
      <c r="J399" s="44">
        <v>2.0</v>
      </c>
      <c r="K399" s="44">
        <v>1.0</v>
      </c>
      <c r="L399" s="44">
        <v>1.0</v>
      </c>
      <c r="M399" s="66">
        <v>30.62</v>
      </c>
      <c r="N399" s="67" t="s">
        <v>764</v>
      </c>
      <c r="O399" s="43" t="s">
        <v>1145</v>
      </c>
      <c r="P399" s="43" t="s">
        <v>1146</v>
      </c>
      <c r="Q399" s="43" t="s">
        <v>1147</v>
      </c>
    </row>
    <row r="400" ht="15.75" customHeight="1">
      <c r="A400" s="43" t="s">
        <v>1626</v>
      </c>
      <c r="B400" s="43" t="s">
        <v>603</v>
      </c>
      <c r="C400" s="43" t="s">
        <v>495</v>
      </c>
      <c r="D400" s="43" t="s">
        <v>900</v>
      </c>
      <c r="E400" s="43" t="s">
        <v>842</v>
      </c>
      <c r="F400" s="43" t="s">
        <v>751</v>
      </c>
      <c r="G400" s="44">
        <v>2024.0</v>
      </c>
      <c r="H400" s="44">
        <v>2.3616</v>
      </c>
      <c r="I400" s="44">
        <v>3.1386</v>
      </c>
      <c r="J400" s="44">
        <v>21.0</v>
      </c>
      <c r="K400" s="44">
        <v>17.0</v>
      </c>
      <c r="L400" s="44">
        <v>2.0</v>
      </c>
      <c r="M400" s="66">
        <v>174.98</v>
      </c>
      <c r="N400" s="67" t="s">
        <v>764</v>
      </c>
      <c r="O400" s="43" t="s">
        <v>1145</v>
      </c>
      <c r="P400" s="43" t="s">
        <v>1146</v>
      </c>
      <c r="Q400" s="43" t="s">
        <v>1147</v>
      </c>
    </row>
    <row r="401" ht="15.75" customHeight="1">
      <c r="A401" s="43" t="s">
        <v>1628</v>
      </c>
      <c r="B401" s="43" t="s">
        <v>605</v>
      </c>
      <c r="C401" s="43" t="s">
        <v>221</v>
      </c>
      <c r="D401" s="43" t="s">
        <v>841</v>
      </c>
      <c r="E401" s="43" t="s">
        <v>784</v>
      </c>
      <c r="F401" s="43" t="s">
        <v>751</v>
      </c>
      <c r="G401" s="44">
        <v>2024.0</v>
      </c>
      <c r="H401" s="44">
        <v>2.0238</v>
      </c>
      <c r="I401" s="44">
        <v>2.294</v>
      </c>
      <c r="J401" s="44">
        <v>18.0</v>
      </c>
      <c r="K401" s="44">
        <v>14.0</v>
      </c>
      <c r="L401" s="44">
        <v>2.0</v>
      </c>
      <c r="M401" s="66">
        <v>167.8</v>
      </c>
      <c r="N401" s="67" t="s">
        <v>764</v>
      </c>
      <c r="O401" s="43" t="s">
        <v>1145</v>
      </c>
      <c r="P401" s="43" t="s">
        <v>1146</v>
      </c>
      <c r="Q401" s="43" t="s">
        <v>1147</v>
      </c>
    </row>
    <row r="402" ht="15.75" customHeight="1">
      <c r="A402" s="43" t="s">
        <v>1630</v>
      </c>
      <c r="B402" s="43" t="s">
        <v>581</v>
      </c>
      <c r="C402" s="43" t="s">
        <v>252</v>
      </c>
      <c r="D402" s="43" t="s">
        <v>714</v>
      </c>
      <c r="E402" s="43" t="s">
        <v>817</v>
      </c>
      <c r="F402" s="43" t="s">
        <v>798</v>
      </c>
      <c r="G402" s="44">
        <v>2023.0</v>
      </c>
      <c r="H402" s="44">
        <v>0.0828</v>
      </c>
      <c r="I402" s="44">
        <v>0.0987</v>
      </c>
      <c r="J402" s="44">
        <v>2.0</v>
      </c>
      <c r="K402" s="44">
        <v>1.0</v>
      </c>
      <c r="L402" s="44">
        <v>1.0</v>
      </c>
      <c r="M402" s="66">
        <v>0.4228</v>
      </c>
      <c r="N402" s="67" t="s">
        <v>764</v>
      </c>
      <c r="O402" s="43" t="s">
        <v>1145</v>
      </c>
      <c r="P402" s="43" t="s">
        <v>1146</v>
      </c>
      <c r="Q402" s="43" t="s">
        <v>1147</v>
      </c>
    </row>
    <row r="403" ht="15.75" customHeight="1">
      <c r="A403" s="43" t="s">
        <v>1632</v>
      </c>
      <c r="B403" s="43" t="s">
        <v>581</v>
      </c>
      <c r="C403" s="43" t="s">
        <v>252</v>
      </c>
      <c r="D403" s="43" t="s">
        <v>714</v>
      </c>
      <c r="E403" s="43" t="s">
        <v>836</v>
      </c>
      <c r="F403" s="43" t="s">
        <v>798</v>
      </c>
      <c r="G403" s="44">
        <v>2023.0</v>
      </c>
      <c r="H403" s="44">
        <v>0.129</v>
      </c>
      <c r="I403" s="44">
        <v>0.1407</v>
      </c>
      <c r="J403" s="44">
        <v>2.0</v>
      </c>
      <c r="K403" s="44">
        <v>2.0</v>
      </c>
      <c r="L403" s="44">
        <v>1.0</v>
      </c>
      <c r="M403" s="66">
        <v>1.7741</v>
      </c>
      <c r="N403" s="67" t="s">
        <v>764</v>
      </c>
      <c r="O403" s="43" t="s">
        <v>1145</v>
      </c>
      <c r="P403" s="43" t="s">
        <v>1146</v>
      </c>
      <c r="Q403" s="43" t="s">
        <v>1147</v>
      </c>
    </row>
    <row r="404" ht="15.75" customHeight="1">
      <c r="A404" s="43" t="s">
        <v>1634</v>
      </c>
      <c r="B404" s="43" t="s">
        <v>577</v>
      </c>
      <c r="C404" s="43" t="s">
        <v>422</v>
      </c>
      <c r="D404" s="43" t="s">
        <v>688</v>
      </c>
      <c r="E404" s="43" t="s">
        <v>817</v>
      </c>
      <c r="F404" s="43" t="s">
        <v>798</v>
      </c>
      <c r="G404" s="44">
        <v>2023.0</v>
      </c>
      <c r="H404" s="44">
        <v>0.1083</v>
      </c>
      <c r="I404" s="44">
        <v>0.143</v>
      </c>
      <c r="J404" s="44">
        <v>2.0</v>
      </c>
      <c r="K404" s="44">
        <v>2.0</v>
      </c>
      <c r="L404" s="44">
        <v>1.0</v>
      </c>
      <c r="M404" s="66">
        <v>0.4867</v>
      </c>
      <c r="N404" s="67" t="s">
        <v>764</v>
      </c>
      <c r="O404" s="43" t="s">
        <v>1145</v>
      </c>
      <c r="P404" s="43" t="s">
        <v>1146</v>
      </c>
      <c r="Q404" s="43" t="s">
        <v>1147</v>
      </c>
    </row>
    <row r="405" ht="15.75" customHeight="1">
      <c r="A405" s="43" t="s">
        <v>1637</v>
      </c>
      <c r="B405" s="43" t="s">
        <v>577</v>
      </c>
      <c r="C405" s="43" t="s">
        <v>169</v>
      </c>
      <c r="D405" s="43" t="s">
        <v>655</v>
      </c>
      <c r="E405" s="43" t="s">
        <v>797</v>
      </c>
      <c r="F405" s="43" t="s">
        <v>798</v>
      </c>
      <c r="G405" s="44">
        <v>2023.0</v>
      </c>
      <c r="H405" s="44">
        <v>0.0705</v>
      </c>
      <c r="I405" s="44">
        <v>0.0794</v>
      </c>
      <c r="J405" s="44">
        <v>2.0</v>
      </c>
      <c r="K405" s="44">
        <v>1.0</v>
      </c>
      <c r="L405" s="44">
        <v>1.0</v>
      </c>
      <c r="M405" s="66">
        <v>0.4004</v>
      </c>
      <c r="N405" s="67" t="s">
        <v>764</v>
      </c>
      <c r="O405" s="43" t="s">
        <v>1145</v>
      </c>
      <c r="P405" s="43" t="s">
        <v>1146</v>
      </c>
      <c r="Q405" s="43" t="s">
        <v>1147</v>
      </c>
    </row>
    <row r="406" ht="15.75" customHeight="1">
      <c r="A406" s="43" t="s">
        <v>1639</v>
      </c>
      <c r="B406" s="43" t="s">
        <v>596</v>
      </c>
      <c r="C406" s="43" t="s">
        <v>312</v>
      </c>
      <c r="D406" s="43" t="s">
        <v>857</v>
      </c>
      <c r="E406" s="43" t="s">
        <v>842</v>
      </c>
      <c r="F406" s="43" t="s">
        <v>751</v>
      </c>
      <c r="G406" s="44">
        <v>2024.0</v>
      </c>
      <c r="H406" s="44">
        <v>0.7078</v>
      </c>
      <c r="I406" s="44">
        <v>0.8207</v>
      </c>
      <c r="J406" s="44">
        <v>6.0</v>
      </c>
      <c r="K406" s="44">
        <v>5.0</v>
      </c>
      <c r="L406" s="44">
        <v>1.0</v>
      </c>
      <c r="M406" s="66">
        <v>61.29</v>
      </c>
      <c r="N406" s="67" t="s">
        <v>764</v>
      </c>
      <c r="O406" s="43" t="s">
        <v>1145</v>
      </c>
      <c r="P406" s="43" t="s">
        <v>1146</v>
      </c>
      <c r="Q406" s="43" t="s">
        <v>1147</v>
      </c>
    </row>
    <row r="407" ht="15.75" customHeight="1">
      <c r="A407" s="43" t="s">
        <v>1640</v>
      </c>
      <c r="B407" s="43" t="s">
        <v>581</v>
      </c>
      <c r="C407" s="43" t="s">
        <v>479</v>
      </c>
      <c r="D407" s="43" t="s">
        <v>811</v>
      </c>
      <c r="E407" s="43" t="s">
        <v>797</v>
      </c>
      <c r="F407" s="43" t="s">
        <v>798</v>
      </c>
      <c r="G407" s="44">
        <v>2023.0</v>
      </c>
      <c r="H407" s="44">
        <v>0.058</v>
      </c>
      <c r="I407" s="44">
        <v>0.0682</v>
      </c>
      <c r="J407" s="44">
        <v>3.0</v>
      </c>
      <c r="K407" s="44">
        <v>3.0</v>
      </c>
      <c r="L407" s="44">
        <v>1.0</v>
      </c>
      <c r="M407" s="66">
        <v>0.5027</v>
      </c>
      <c r="N407" s="67" t="s">
        <v>764</v>
      </c>
      <c r="O407" s="43" t="s">
        <v>1145</v>
      </c>
      <c r="P407" s="43" t="s">
        <v>1146</v>
      </c>
      <c r="Q407" s="43" t="s">
        <v>1147</v>
      </c>
    </row>
    <row r="408" ht="15.75" customHeight="1">
      <c r="A408" s="43" t="s">
        <v>1641</v>
      </c>
      <c r="B408" s="43" t="s">
        <v>605</v>
      </c>
      <c r="C408" s="43" t="s">
        <v>497</v>
      </c>
      <c r="D408" s="43" t="s">
        <v>912</v>
      </c>
      <c r="E408" s="43" t="s">
        <v>749</v>
      </c>
      <c r="F408" s="43" t="s">
        <v>751</v>
      </c>
      <c r="G408" s="44">
        <v>2024.0</v>
      </c>
      <c r="H408" s="44">
        <v>0.0041</v>
      </c>
      <c r="I408" s="44">
        <v>0.0049</v>
      </c>
      <c r="J408" s="44">
        <v>2.0</v>
      </c>
      <c r="K408" s="44">
        <v>2.0</v>
      </c>
      <c r="L408" s="44">
        <v>1.0</v>
      </c>
      <c r="M408" s="66">
        <v>0.34</v>
      </c>
      <c r="N408" s="67" t="s">
        <v>764</v>
      </c>
      <c r="O408" s="43" t="s">
        <v>1145</v>
      </c>
      <c r="P408" s="43" t="s">
        <v>1146</v>
      </c>
      <c r="Q408" s="43" t="s">
        <v>1147</v>
      </c>
    </row>
    <row r="409" ht="15.75" customHeight="1">
      <c r="A409" s="43" t="s">
        <v>1643</v>
      </c>
      <c r="B409" s="43" t="s">
        <v>577</v>
      </c>
      <c r="C409" s="43" t="s">
        <v>485</v>
      </c>
      <c r="D409" s="43" t="s">
        <v>637</v>
      </c>
      <c r="E409" s="43" t="s">
        <v>797</v>
      </c>
      <c r="F409" s="43" t="s">
        <v>798</v>
      </c>
      <c r="G409" s="44">
        <v>2023.0</v>
      </c>
      <c r="H409" s="44">
        <v>0.0728</v>
      </c>
      <c r="I409" s="44">
        <v>0.0819</v>
      </c>
      <c r="J409" s="44">
        <v>3.0</v>
      </c>
      <c r="K409" s="44">
        <v>3.0</v>
      </c>
      <c r="L409" s="44">
        <v>1.0</v>
      </c>
      <c r="M409" s="66">
        <v>0.2942</v>
      </c>
      <c r="N409" s="67" t="s">
        <v>764</v>
      </c>
      <c r="O409" s="43" t="s">
        <v>1145</v>
      </c>
      <c r="P409" s="43" t="s">
        <v>1146</v>
      </c>
      <c r="Q409" s="43" t="s">
        <v>1147</v>
      </c>
    </row>
    <row r="410" ht="15.75" customHeight="1">
      <c r="A410" s="43" t="s">
        <v>1644</v>
      </c>
      <c r="B410" s="43" t="s">
        <v>581</v>
      </c>
      <c r="C410" s="43" t="s">
        <v>477</v>
      </c>
      <c r="D410" s="43" t="s">
        <v>759</v>
      </c>
      <c r="E410" s="43" t="s">
        <v>826</v>
      </c>
      <c r="F410" s="43" t="s">
        <v>751</v>
      </c>
      <c r="G410" s="44">
        <v>2024.0</v>
      </c>
      <c r="H410" s="44">
        <v>0.9712</v>
      </c>
      <c r="I410" s="44">
        <v>1.1022</v>
      </c>
      <c r="J410" s="44">
        <v>13.0</v>
      </c>
      <c r="K410" s="44">
        <v>8.0</v>
      </c>
      <c r="L410" s="44">
        <v>2.0</v>
      </c>
      <c r="M410" s="66">
        <v>106.15</v>
      </c>
      <c r="N410" s="67" t="s">
        <v>764</v>
      </c>
      <c r="O410" s="43" t="s">
        <v>1145</v>
      </c>
      <c r="P410" s="43" t="s">
        <v>1146</v>
      </c>
      <c r="Q410" s="43" t="s">
        <v>1147</v>
      </c>
    </row>
    <row r="411" ht="15.75" customHeight="1">
      <c r="A411" s="43" t="s">
        <v>1646</v>
      </c>
      <c r="B411" s="43" t="s">
        <v>605</v>
      </c>
      <c r="C411" s="43" t="s">
        <v>279</v>
      </c>
      <c r="D411" s="43" t="s">
        <v>956</v>
      </c>
      <c r="E411" s="43" t="s">
        <v>836</v>
      </c>
      <c r="F411" s="43" t="s">
        <v>798</v>
      </c>
      <c r="G411" s="44">
        <v>2023.0</v>
      </c>
      <c r="H411" s="44">
        <v>0.4136</v>
      </c>
      <c r="I411" s="44">
        <v>0.4495</v>
      </c>
      <c r="J411" s="44">
        <v>4.0</v>
      </c>
      <c r="K411" s="44">
        <v>3.0</v>
      </c>
      <c r="L411" s="44">
        <v>1.0</v>
      </c>
      <c r="M411" s="66">
        <v>3.4637</v>
      </c>
      <c r="N411" s="67" t="s">
        <v>764</v>
      </c>
      <c r="O411" s="43" t="s">
        <v>1145</v>
      </c>
      <c r="P411" s="43" t="s">
        <v>1146</v>
      </c>
      <c r="Q411" s="43" t="s">
        <v>1147</v>
      </c>
    </row>
    <row r="412" ht="15.75" customHeight="1">
      <c r="A412" s="43" t="s">
        <v>1648</v>
      </c>
      <c r="B412" s="43" t="s">
        <v>577</v>
      </c>
      <c r="C412" s="43" t="s">
        <v>363</v>
      </c>
      <c r="D412" s="43" t="s">
        <v>634</v>
      </c>
      <c r="E412" s="43" t="s">
        <v>836</v>
      </c>
      <c r="F412" s="43" t="s">
        <v>798</v>
      </c>
      <c r="G412" s="44">
        <v>2023.0</v>
      </c>
      <c r="H412" s="44">
        <v>0.2096</v>
      </c>
      <c r="I412" s="44">
        <v>0.2397</v>
      </c>
      <c r="J412" s="44">
        <v>4.0</v>
      </c>
      <c r="K412" s="44">
        <v>3.0</v>
      </c>
      <c r="L412" s="44">
        <v>1.0</v>
      </c>
      <c r="M412" s="66">
        <v>1.976</v>
      </c>
      <c r="N412" s="67" t="s">
        <v>764</v>
      </c>
      <c r="O412" s="43" t="s">
        <v>1145</v>
      </c>
      <c r="P412" s="43" t="s">
        <v>1146</v>
      </c>
      <c r="Q412" s="43" t="s">
        <v>1147</v>
      </c>
    </row>
    <row r="413" ht="15.75" customHeight="1">
      <c r="A413" s="43" t="s">
        <v>1650</v>
      </c>
      <c r="B413" s="43" t="s">
        <v>596</v>
      </c>
      <c r="C413" s="43" t="s">
        <v>312</v>
      </c>
      <c r="D413" s="43" t="s">
        <v>857</v>
      </c>
      <c r="E413" s="43" t="s">
        <v>836</v>
      </c>
      <c r="F413" s="43" t="s">
        <v>798</v>
      </c>
      <c r="G413" s="44">
        <v>2023.0</v>
      </c>
      <c r="H413" s="44">
        <v>0.4364</v>
      </c>
      <c r="I413" s="44">
        <v>0.5529</v>
      </c>
      <c r="J413" s="44">
        <v>2.0</v>
      </c>
      <c r="K413" s="44">
        <v>1.0</v>
      </c>
      <c r="L413" s="44">
        <v>1.0</v>
      </c>
      <c r="M413" s="66">
        <v>4.5852</v>
      </c>
      <c r="N413" s="67" t="s">
        <v>764</v>
      </c>
      <c r="O413" s="43" t="s">
        <v>1145</v>
      </c>
      <c r="P413" s="43" t="s">
        <v>1146</v>
      </c>
      <c r="Q413" s="43" t="s">
        <v>1147</v>
      </c>
    </row>
    <row r="414" ht="15.75" customHeight="1">
      <c r="A414" s="43" t="s">
        <v>1651</v>
      </c>
      <c r="B414" s="43" t="s">
        <v>603</v>
      </c>
      <c r="C414" s="43" t="s">
        <v>449</v>
      </c>
      <c r="D414" s="43" t="s">
        <v>830</v>
      </c>
      <c r="E414" s="43" t="s">
        <v>836</v>
      </c>
      <c r="F414" s="43" t="s">
        <v>798</v>
      </c>
      <c r="G414" s="44">
        <v>2023.0</v>
      </c>
      <c r="H414" s="44">
        <v>0.1382</v>
      </c>
      <c r="I414" s="44">
        <v>0.1706</v>
      </c>
      <c r="J414" s="44">
        <v>5.0</v>
      </c>
      <c r="K414" s="44">
        <v>4.0</v>
      </c>
      <c r="L414" s="44">
        <v>1.0</v>
      </c>
      <c r="M414" s="66">
        <v>1.8672</v>
      </c>
      <c r="N414" s="67" t="s">
        <v>764</v>
      </c>
      <c r="O414" s="43" t="s">
        <v>1145</v>
      </c>
      <c r="P414" s="43" t="s">
        <v>1146</v>
      </c>
      <c r="Q414" s="43" t="s">
        <v>1147</v>
      </c>
    </row>
    <row r="415" ht="15.75" customHeight="1">
      <c r="A415" s="43" t="s">
        <v>1652</v>
      </c>
      <c r="B415" s="43" t="s">
        <v>605</v>
      </c>
      <c r="C415" s="43" t="s">
        <v>354</v>
      </c>
      <c r="D415" s="43" t="s">
        <v>905</v>
      </c>
      <c r="E415" s="43" t="s">
        <v>797</v>
      </c>
      <c r="F415" s="43" t="s">
        <v>798</v>
      </c>
      <c r="G415" s="44">
        <v>2023.0</v>
      </c>
      <c r="H415" s="44">
        <v>0.0247</v>
      </c>
      <c r="I415" s="44">
        <v>0.0271</v>
      </c>
      <c r="J415" s="44">
        <v>2.0</v>
      </c>
      <c r="K415" s="44">
        <v>1.0</v>
      </c>
      <c r="L415" s="44">
        <v>1.0</v>
      </c>
      <c r="M415" s="66">
        <v>0.1285</v>
      </c>
      <c r="N415" s="67" t="s">
        <v>764</v>
      </c>
      <c r="O415" s="43" t="s">
        <v>1145</v>
      </c>
      <c r="P415" s="43" t="s">
        <v>1146</v>
      </c>
      <c r="Q415" s="43" t="s">
        <v>1147</v>
      </c>
    </row>
    <row r="416" ht="15.75" customHeight="1">
      <c r="A416" s="43" t="s">
        <v>1654</v>
      </c>
      <c r="B416" s="43" t="s">
        <v>603</v>
      </c>
      <c r="C416" s="43" t="s">
        <v>272</v>
      </c>
      <c r="D416" s="43" t="s">
        <v>891</v>
      </c>
      <c r="E416" s="43" t="s">
        <v>817</v>
      </c>
      <c r="F416" s="43" t="s">
        <v>798</v>
      </c>
      <c r="G416" s="44">
        <v>2023.0</v>
      </c>
      <c r="H416" s="44">
        <v>0.0981</v>
      </c>
      <c r="I416" s="44">
        <v>0.1143</v>
      </c>
      <c r="J416" s="44">
        <v>3.0</v>
      </c>
      <c r="K416" s="44">
        <v>2.0</v>
      </c>
      <c r="L416" s="44">
        <v>1.0</v>
      </c>
      <c r="M416" s="66">
        <v>0.4472</v>
      </c>
      <c r="N416" s="67" t="s">
        <v>764</v>
      </c>
      <c r="O416" s="43" t="s">
        <v>1145</v>
      </c>
      <c r="P416" s="43" t="s">
        <v>1146</v>
      </c>
      <c r="Q416" s="43" t="s">
        <v>1147</v>
      </c>
    </row>
    <row r="417" ht="15.75" customHeight="1">
      <c r="A417" s="43" t="s">
        <v>1656</v>
      </c>
      <c r="B417" s="43" t="s">
        <v>577</v>
      </c>
      <c r="C417" s="43" t="s">
        <v>463</v>
      </c>
      <c r="D417" s="43" t="s">
        <v>662</v>
      </c>
      <c r="E417" s="43" t="s">
        <v>749</v>
      </c>
      <c r="F417" s="43" t="s">
        <v>751</v>
      </c>
      <c r="G417" s="44">
        <v>2024.0</v>
      </c>
      <c r="H417" s="44">
        <v>0.0071</v>
      </c>
      <c r="I417" s="44">
        <v>0.0079</v>
      </c>
      <c r="J417" s="44">
        <v>2.0</v>
      </c>
      <c r="K417" s="44">
        <v>1.0</v>
      </c>
      <c r="L417" s="44">
        <v>1.0</v>
      </c>
      <c r="M417" s="66">
        <v>0.5</v>
      </c>
      <c r="N417" s="67" t="s">
        <v>764</v>
      </c>
      <c r="O417" s="43" t="s">
        <v>1145</v>
      </c>
      <c r="P417" s="43" t="s">
        <v>1146</v>
      </c>
      <c r="Q417" s="43" t="s">
        <v>1147</v>
      </c>
    </row>
    <row r="418" ht="15.75" customHeight="1">
      <c r="A418" s="43" t="s">
        <v>1658</v>
      </c>
      <c r="B418" s="43" t="s">
        <v>596</v>
      </c>
      <c r="C418" s="43" t="s">
        <v>312</v>
      </c>
      <c r="D418" s="43" t="s">
        <v>857</v>
      </c>
      <c r="E418" s="43" t="s">
        <v>817</v>
      </c>
      <c r="F418" s="43" t="s">
        <v>798</v>
      </c>
      <c r="G418" s="44">
        <v>2023.0</v>
      </c>
      <c r="H418" s="44">
        <v>0.1191</v>
      </c>
      <c r="I418" s="44">
        <v>0.1382</v>
      </c>
      <c r="J418" s="44">
        <v>2.0</v>
      </c>
      <c r="K418" s="44">
        <v>1.0</v>
      </c>
      <c r="L418" s="44">
        <v>1.0</v>
      </c>
      <c r="M418" s="66">
        <v>0.5506</v>
      </c>
      <c r="N418" s="67" t="s">
        <v>764</v>
      </c>
      <c r="O418" s="43" t="s">
        <v>1145</v>
      </c>
      <c r="P418" s="43" t="s">
        <v>1146</v>
      </c>
      <c r="Q418" s="43" t="s">
        <v>1147</v>
      </c>
    </row>
    <row r="419" ht="15.75" customHeight="1">
      <c r="A419" s="43" t="s">
        <v>1661</v>
      </c>
      <c r="B419" s="43" t="s">
        <v>581</v>
      </c>
      <c r="C419" s="43" t="s">
        <v>515</v>
      </c>
      <c r="D419" s="43" t="s">
        <v>709</v>
      </c>
      <c r="E419" s="43" t="s">
        <v>784</v>
      </c>
      <c r="F419" s="43" t="s">
        <v>751</v>
      </c>
      <c r="G419" s="44">
        <v>2024.0</v>
      </c>
      <c r="H419" s="44">
        <v>2.1683</v>
      </c>
      <c r="I419" s="44">
        <v>2.5653</v>
      </c>
      <c r="J419" s="44">
        <v>18.0</v>
      </c>
      <c r="K419" s="44">
        <v>11.0</v>
      </c>
      <c r="L419" s="44">
        <v>2.0</v>
      </c>
      <c r="M419" s="66">
        <v>161.87</v>
      </c>
      <c r="N419" s="67" t="s">
        <v>764</v>
      </c>
      <c r="O419" s="43" t="s">
        <v>1145</v>
      </c>
      <c r="P419" s="43" t="s">
        <v>1146</v>
      </c>
      <c r="Q419" s="43" t="s">
        <v>1147</v>
      </c>
    </row>
    <row r="420" ht="15.75" customHeight="1">
      <c r="A420" s="43" t="s">
        <v>1663</v>
      </c>
      <c r="B420" s="43" t="s">
        <v>596</v>
      </c>
      <c r="C420" s="43" t="s">
        <v>265</v>
      </c>
      <c r="D420" s="43" t="s">
        <v>829</v>
      </c>
      <c r="E420" s="43" t="s">
        <v>749</v>
      </c>
      <c r="F420" s="43" t="s">
        <v>751</v>
      </c>
      <c r="G420" s="44">
        <v>2024.0</v>
      </c>
      <c r="H420" s="44">
        <v>0.0074</v>
      </c>
      <c r="I420" s="44">
        <v>0.0088</v>
      </c>
      <c r="J420" s="44">
        <v>2.0</v>
      </c>
      <c r="K420" s="44">
        <v>1.0</v>
      </c>
      <c r="L420" s="44">
        <v>1.0</v>
      </c>
      <c r="M420" s="66">
        <v>0.63</v>
      </c>
      <c r="N420" s="67" t="s">
        <v>764</v>
      </c>
      <c r="O420" s="43" t="s">
        <v>1145</v>
      </c>
      <c r="P420" s="43" t="s">
        <v>1146</v>
      </c>
      <c r="Q420" s="43" t="s">
        <v>1147</v>
      </c>
    </row>
    <row r="421" ht="15.75" customHeight="1">
      <c r="A421" s="43" t="s">
        <v>1665</v>
      </c>
      <c r="B421" s="43" t="s">
        <v>581</v>
      </c>
      <c r="C421" s="43" t="s">
        <v>123</v>
      </c>
      <c r="D421" s="43" t="s">
        <v>782</v>
      </c>
      <c r="E421" s="43" t="s">
        <v>836</v>
      </c>
      <c r="F421" s="43" t="s">
        <v>798</v>
      </c>
      <c r="G421" s="44">
        <v>2023.0</v>
      </c>
      <c r="H421" s="44">
        <v>0.1633</v>
      </c>
      <c r="I421" s="44">
        <v>0.1812</v>
      </c>
      <c r="J421" s="44">
        <v>4.0</v>
      </c>
      <c r="K421" s="44">
        <v>4.0</v>
      </c>
      <c r="L421" s="44">
        <v>1.0</v>
      </c>
      <c r="M421" s="66">
        <v>2.0315</v>
      </c>
      <c r="N421" s="67" t="s">
        <v>764</v>
      </c>
      <c r="O421" s="43" t="s">
        <v>1145</v>
      </c>
      <c r="P421" s="43" t="s">
        <v>1146</v>
      </c>
      <c r="Q421" s="43" t="s">
        <v>1147</v>
      </c>
    </row>
    <row r="422" ht="15.75" customHeight="1">
      <c r="A422" s="43" t="s">
        <v>1667</v>
      </c>
      <c r="B422" s="43" t="s">
        <v>605</v>
      </c>
      <c r="C422" s="43" t="s">
        <v>354</v>
      </c>
      <c r="D422" s="43" t="s">
        <v>905</v>
      </c>
      <c r="E422" s="43" t="s">
        <v>842</v>
      </c>
      <c r="F422" s="43" t="s">
        <v>751</v>
      </c>
      <c r="G422" s="44">
        <v>2024.0</v>
      </c>
      <c r="H422" s="44">
        <v>0.5628</v>
      </c>
      <c r="I422" s="44">
        <v>0.6253</v>
      </c>
      <c r="J422" s="44">
        <v>6.0</v>
      </c>
      <c r="K422" s="44">
        <v>3.0</v>
      </c>
      <c r="L422" s="44">
        <v>1.0</v>
      </c>
      <c r="M422" s="66">
        <v>34.75</v>
      </c>
      <c r="N422" s="67" t="s">
        <v>764</v>
      </c>
      <c r="O422" s="43" t="s">
        <v>1145</v>
      </c>
      <c r="P422" s="43" t="s">
        <v>1146</v>
      </c>
      <c r="Q422" s="43" t="s">
        <v>1147</v>
      </c>
    </row>
    <row r="423" ht="15.75" customHeight="1">
      <c r="A423" s="43" t="s">
        <v>1669</v>
      </c>
      <c r="B423" s="43" t="s">
        <v>581</v>
      </c>
      <c r="C423" s="43" t="s">
        <v>517</v>
      </c>
      <c r="D423" s="43" t="s">
        <v>763</v>
      </c>
      <c r="E423" s="43" t="s">
        <v>842</v>
      </c>
      <c r="F423" s="43" t="s">
        <v>751</v>
      </c>
      <c r="G423" s="44">
        <v>2024.0</v>
      </c>
      <c r="H423" s="44">
        <v>1.2799</v>
      </c>
      <c r="I423" s="44">
        <v>1.6783</v>
      </c>
      <c r="J423" s="44">
        <v>7.0</v>
      </c>
      <c r="K423" s="44">
        <v>4.0</v>
      </c>
      <c r="L423" s="44">
        <v>1.0</v>
      </c>
      <c r="M423" s="66">
        <v>82.15</v>
      </c>
      <c r="N423" s="67" t="s">
        <v>764</v>
      </c>
      <c r="O423" s="43" t="s">
        <v>1145</v>
      </c>
      <c r="P423" s="43" t="s">
        <v>1146</v>
      </c>
      <c r="Q423" s="43" t="s">
        <v>1147</v>
      </c>
    </row>
    <row r="424" ht="15.75" customHeight="1">
      <c r="A424" s="43" t="s">
        <v>1672</v>
      </c>
      <c r="B424" s="43" t="s">
        <v>596</v>
      </c>
      <c r="C424" s="43" t="s">
        <v>265</v>
      </c>
      <c r="D424" s="43" t="s">
        <v>829</v>
      </c>
      <c r="E424" s="43" t="s">
        <v>836</v>
      </c>
      <c r="F424" s="43" t="s">
        <v>798</v>
      </c>
      <c r="G424" s="44">
        <v>2023.0</v>
      </c>
      <c r="H424" s="44">
        <v>0.1712</v>
      </c>
      <c r="I424" s="44">
        <v>0.2252</v>
      </c>
      <c r="J424" s="44">
        <v>2.0</v>
      </c>
      <c r="K424" s="44">
        <v>2.0</v>
      </c>
      <c r="L424" s="44">
        <v>1.0</v>
      </c>
      <c r="M424" s="66">
        <v>1.7868</v>
      </c>
      <c r="N424" s="67" t="s">
        <v>764</v>
      </c>
      <c r="O424" s="43" t="s">
        <v>1145</v>
      </c>
      <c r="P424" s="43" t="s">
        <v>1146</v>
      </c>
      <c r="Q424" s="43" t="s">
        <v>1147</v>
      </c>
    </row>
    <row r="425" ht="15.75" customHeight="1">
      <c r="A425" s="43" t="s">
        <v>1674</v>
      </c>
      <c r="B425" s="43" t="s">
        <v>596</v>
      </c>
      <c r="C425" s="43" t="s">
        <v>507</v>
      </c>
      <c r="D425" s="43" t="s">
        <v>864</v>
      </c>
      <c r="E425" s="43" t="s">
        <v>842</v>
      </c>
      <c r="F425" s="43" t="s">
        <v>751</v>
      </c>
      <c r="G425" s="44">
        <v>2024.0</v>
      </c>
      <c r="H425" s="44">
        <v>0.6243</v>
      </c>
      <c r="I425" s="44">
        <v>0.6833</v>
      </c>
      <c r="J425" s="44">
        <v>7.0</v>
      </c>
      <c r="K425" s="44">
        <v>4.0</v>
      </c>
      <c r="L425" s="44">
        <v>1.0</v>
      </c>
      <c r="M425" s="66">
        <v>44.33</v>
      </c>
      <c r="N425" s="67" t="s">
        <v>764</v>
      </c>
      <c r="O425" s="43" t="s">
        <v>1145</v>
      </c>
      <c r="P425" s="43" t="s">
        <v>1146</v>
      </c>
      <c r="Q425" s="43" t="s">
        <v>1147</v>
      </c>
    </row>
    <row r="426" ht="15.75" customHeight="1">
      <c r="A426" s="43" t="s">
        <v>1676</v>
      </c>
      <c r="B426" s="43" t="s">
        <v>577</v>
      </c>
      <c r="C426" s="43" t="s">
        <v>499</v>
      </c>
      <c r="D426" s="43" t="s">
        <v>651</v>
      </c>
      <c r="E426" s="43" t="s">
        <v>826</v>
      </c>
      <c r="F426" s="43" t="s">
        <v>751</v>
      </c>
      <c r="G426" s="44">
        <v>2024.0</v>
      </c>
      <c r="H426" s="44">
        <v>0.4103</v>
      </c>
      <c r="I426" s="44">
        <v>0.4852</v>
      </c>
      <c r="J426" s="44">
        <v>2.0</v>
      </c>
      <c r="K426" s="44">
        <v>1.0</v>
      </c>
      <c r="L426" s="44">
        <v>1.0</v>
      </c>
      <c r="M426" s="66">
        <v>36.55</v>
      </c>
      <c r="N426" s="67" t="s">
        <v>764</v>
      </c>
      <c r="O426" s="43" t="s">
        <v>1145</v>
      </c>
      <c r="P426" s="43" t="s">
        <v>1146</v>
      </c>
      <c r="Q426" s="43" t="s">
        <v>1147</v>
      </c>
    </row>
    <row r="427" ht="15.75" customHeight="1">
      <c r="A427" s="43" t="s">
        <v>1678</v>
      </c>
      <c r="B427" s="43" t="s">
        <v>603</v>
      </c>
      <c r="C427" s="43" t="s">
        <v>146</v>
      </c>
      <c r="D427" s="43" t="s">
        <v>906</v>
      </c>
      <c r="E427" s="43" t="s">
        <v>826</v>
      </c>
      <c r="F427" s="43" t="s">
        <v>751</v>
      </c>
      <c r="G427" s="44">
        <v>2024.0</v>
      </c>
      <c r="H427" s="44">
        <v>0.8898</v>
      </c>
      <c r="I427" s="44">
        <v>1.0542</v>
      </c>
      <c r="J427" s="44">
        <v>8.0</v>
      </c>
      <c r="K427" s="44">
        <v>7.0</v>
      </c>
      <c r="L427" s="44">
        <v>1.0</v>
      </c>
      <c r="M427" s="66">
        <v>102.51</v>
      </c>
      <c r="N427" s="67" t="s">
        <v>764</v>
      </c>
      <c r="O427" s="43" t="s">
        <v>1145</v>
      </c>
      <c r="P427" s="43" t="s">
        <v>1146</v>
      </c>
      <c r="Q427" s="43" t="s">
        <v>1147</v>
      </c>
    </row>
    <row r="428" ht="15.75" customHeight="1">
      <c r="A428" s="43" t="s">
        <v>1680</v>
      </c>
      <c r="B428" s="43" t="s">
        <v>577</v>
      </c>
      <c r="C428" s="43" t="s">
        <v>294</v>
      </c>
      <c r="D428" s="43" t="s">
        <v>684</v>
      </c>
      <c r="E428" s="43" t="s">
        <v>784</v>
      </c>
      <c r="F428" s="43" t="s">
        <v>751</v>
      </c>
      <c r="G428" s="44">
        <v>2024.0</v>
      </c>
      <c r="H428" s="44">
        <v>1.516</v>
      </c>
      <c r="I428" s="44">
        <v>1.8044</v>
      </c>
      <c r="J428" s="44">
        <v>16.0</v>
      </c>
      <c r="K428" s="44">
        <v>8.0</v>
      </c>
      <c r="L428" s="44">
        <v>1.0</v>
      </c>
      <c r="M428" s="66">
        <v>129.93</v>
      </c>
      <c r="N428" s="67" t="s">
        <v>764</v>
      </c>
      <c r="O428" s="43" t="s">
        <v>1145</v>
      </c>
      <c r="P428" s="43" t="s">
        <v>1146</v>
      </c>
      <c r="Q428" s="43" t="s">
        <v>1147</v>
      </c>
    </row>
    <row r="429" ht="15.75" customHeight="1">
      <c r="A429" s="43" t="s">
        <v>1682</v>
      </c>
      <c r="B429" s="43" t="s">
        <v>605</v>
      </c>
      <c r="C429" s="43" t="s">
        <v>497</v>
      </c>
      <c r="D429" s="43" t="s">
        <v>912</v>
      </c>
      <c r="E429" s="43" t="s">
        <v>836</v>
      </c>
      <c r="F429" s="43" t="s">
        <v>798</v>
      </c>
      <c r="G429" s="44">
        <v>2023.0</v>
      </c>
      <c r="H429" s="44">
        <v>0.1134</v>
      </c>
      <c r="I429" s="44">
        <v>0.1327</v>
      </c>
      <c r="J429" s="44">
        <v>2.0</v>
      </c>
      <c r="K429" s="44">
        <v>1.0</v>
      </c>
      <c r="L429" s="44">
        <v>1.0</v>
      </c>
      <c r="M429" s="66">
        <v>1.2704</v>
      </c>
      <c r="N429" s="67" t="s">
        <v>764</v>
      </c>
      <c r="O429" s="43" t="s">
        <v>1145</v>
      </c>
      <c r="P429" s="43" t="s">
        <v>1146</v>
      </c>
      <c r="Q429" s="43" t="s">
        <v>1147</v>
      </c>
    </row>
    <row r="430" ht="15.75" customHeight="1">
      <c r="A430" s="43" t="s">
        <v>1684</v>
      </c>
      <c r="B430" s="43" t="s">
        <v>605</v>
      </c>
      <c r="C430" s="43" t="s">
        <v>279</v>
      </c>
      <c r="D430" s="43" t="s">
        <v>956</v>
      </c>
      <c r="E430" s="43" t="s">
        <v>817</v>
      </c>
      <c r="F430" s="43" t="s">
        <v>798</v>
      </c>
      <c r="G430" s="44">
        <v>2023.0</v>
      </c>
      <c r="H430" s="44">
        <v>0.2105</v>
      </c>
      <c r="I430" s="44">
        <v>0.2688</v>
      </c>
      <c r="J430" s="44">
        <v>3.0</v>
      </c>
      <c r="K430" s="44">
        <v>3.0</v>
      </c>
      <c r="L430" s="44">
        <v>1.0</v>
      </c>
      <c r="M430" s="66">
        <v>1.0109</v>
      </c>
      <c r="N430" s="67" t="s">
        <v>764</v>
      </c>
      <c r="O430" s="43" t="s">
        <v>1145</v>
      </c>
      <c r="P430" s="43" t="s">
        <v>1146</v>
      </c>
      <c r="Q430" s="43" t="s">
        <v>1147</v>
      </c>
    </row>
    <row r="431" ht="15.75" customHeight="1">
      <c r="A431" s="43" t="s">
        <v>1686</v>
      </c>
      <c r="B431" s="43" t="s">
        <v>581</v>
      </c>
      <c r="C431" s="43" t="s">
        <v>489</v>
      </c>
      <c r="D431" s="43" t="s">
        <v>721</v>
      </c>
      <c r="E431" s="43" t="s">
        <v>842</v>
      </c>
      <c r="F431" s="43" t="s">
        <v>751</v>
      </c>
      <c r="G431" s="44">
        <v>2024.0</v>
      </c>
      <c r="H431" s="44">
        <v>0.6719</v>
      </c>
      <c r="I431" s="44">
        <v>0.7948</v>
      </c>
      <c r="J431" s="44">
        <v>8.0</v>
      </c>
      <c r="K431" s="44">
        <v>5.0</v>
      </c>
      <c r="L431" s="44">
        <v>1.0</v>
      </c>
      <c r="M431" s="66">
        <v>55.49</v>
      </c>
      <c r="N431" s="67" t="s">
        <v>764</v>
      </c>
      <c r="O431" s="43" t="s">
        <v>1145</v>
      </c>
      <c r="P431" s="43" t="s">
        <v>1146</v>
      </c>
      <c r="Q431" s="43" t="s">
        <v>1147</v>
      </c>
    </row>
    <row r="432" ht="15.75" customHeight="1">
      <c r="A432" s="43" t="s">
        <v>1688</v>
      </c>
      <c r="B432" s="43" t="s">
        <v>577</v>
      </c>
      <c r="C432" s="43" t="s">
        <v>326</v>
      </c>
      <c r="D432" s="43" t="s">
        <v>658</v>
      </c>
      <c r="E432" s="43" t="s">
        <v>836</v>
      </c>
      <c r="F432" s="43" t="s">
        <v>798</v>
      </c>
      <c r="G432" s="44">
        <v>2023.0</v>
      </c>
      <c r="H432" s="44">
        <v>0.4049</v>
      </c>
      <c r="I432" s="44">
        <v>0.4499</v>
      </c>
      <c r="J432" s="44">
        <v>2.0</v>
      </c>
      <c r="K432" s="44">
        <v>1.0</v>
      </c>
      <c r="L432" s="44">
        <v>1.0</v>
      </c>
      <c r="M432" s="66">
        <v>3.7853</v>
      </c>
      <c r="N432" s="67" t="s">
        <v>764</v>
      </c>
      <c r="O432" s="43" t="s">
        <v>1145</v>
      </c>
      <c r="P432" s="43" t="s">
        <v>1146</v>
      </c>
      <c r="Q432" s="43" t="s">
        <v>1147</v>
      </c>
    </row>
    <row r="433" ht="15.75" customHeight="1">
      <c r="A433" s="43" t="s">
        <v>1690</v>
      </c>
      <c r="B433" s="43" t="s">
        <v>581</v>
      </c>
      <c r="C433" s="43" t="s">
        <v>491</v>
      </c>
      <c r="D433" s="43" t="s">
        <v>777</v>
      </c>
      <c r="E433" s="43" t="s">
        <v>817</v>
      </c>
      <c r="F433" s="43" t="s">
        <v>798</v>
      </c>
      <c r="G433" s="44">
        <v>2023.0</v>
      </c>
      <c r="H433" s="44">
        <v>0.0875</v>
      </c>
      <c r="I433" s="44">
        <v>0.0974</v>
      </c>
      <c r="J433" s="44">
        <v>2.0</v>
      </c>
      <c r="K433" s="44">
        <v>2.0</v>
      </c>
      <c r="L433" s="44">
        <v>1.0</v>
      </c>
      <c r="M433" s="66">
        <v>0.6814</v>
      </c>
      <c r="N433" s="67" t="s">
        <v>764</v>
      </c>
      <c r="O433" s="43" t="s">
        <v>1145</v>
      </c>
      <c r="P433" s="43" t="s">
        <v>1146</v>
      </c>
      <c r="Q433" s="43" t="s">
        <v>1147</v>
      </c>
    </row>
    <row r="434" ht="15.75" customHeight="1">
      <c r="A434" s="43" t="s">
        <v>1692</v>
      </c>
      <c r="B434" s="43" t="s">
        <v>605</v>
      </c>
      <c r="C434" s="43" t="s">
        <v>408</v>
      </c>
      <c r="D434" s="43" t="s">
        <v>847</v>
      </c>
      <c r="E434" s="43" t="s">
        <v>797</v>
      </c>
      <c r="F434" s="43" t="s">
        <v>798</v>
      </c>
      <c r="G434" s="44">
        <v>2023.0</v>
      </c>
      <c r="H434" s="44">
        <v>0.0743</v>
      </c>
      <c r="I434" s="44">
        <v>0.0891</v>
      </c>
      <c r="J434" s="44">
        <v>3.0</v>
      </c>
      <c r="K434" s="44">
        <v>2.0</v>
      </c>
      <c r="L434" s="44">
        <v>1.0</v>
      </c>
      <c r="M434" s="66">
        <v>0.2632</v>
      </c>
      <c r="N434" s="67" t="s">
        <v>764</v>
      </c>
      <c r="O434" s="43" t="s">
        <v>1145</v>
      </c>
      <c r="P434" s="43" t="s">
        <v>1146</v>
      </c>
      <c r="Q434" s="43" t="s">
        <v>1147</v>
      </c>
    </row>
    <row r="435" ht="15.75" customHeight="1">
      <c r="A435" s="43" t="s">
        <v>1694</v>
      </c>
      <c r="B435" s="43" t="s">
        <v>577</v>
      </c>
      <c r="C435" s="43" t="s">
        <v>487</v>
      </c>
      <c r="D435" s="43" t="s">
        <v>677</v>
      </c>
      <c r="E435" s="43" t="s">
        <v>842</v>
      </c>
      <c r="F435" s="43" t="s">
        <v>751</v>
      </c>
      <c r="G435" s="44">
        <v>2024.0</v>
      </c>
      <c r="H435" s="44">
        <v>1.3245</v>
      </c>
      <c r="I435" s="44">
        <v>1.6937</v>
      </c>
      <c r="J435" s="44">
        <v>10.0</v>
      </c>
      <c r="K435" s="44">
        <v>6.0</v>
      </c>
      <c r="L435" s="44">
        <v>1.0</v>
      </c>
      <c r="M435" s="66">
        <v>101.3</v>
      </c>
      <c r="N435" s="67" t="s">
        <v>764</v>
      </c>
      <c r="O435" s="43" t="s">
        <v>1145</v>
      </c>
      <c r="P435" s="43" t="s">
        <v>1146</v>
      </c>
      <c r="Q435" s="43" t="s">
        <v>1147</v>
      </c>
    </row>
    <row r="436" ht="15.75" customHeight="1">
      <c r="A436" s="43" t="s">
        <v>1695</v>
      </c>
      <c r="B436" s="43" t="s">
        <v>603</v>
      </c>
      <c r="C436" s="43" t="s">
        <v>317</v>
      </c>
      <c r="D436" s="43" t="s">
        <v>917</v>
      </c>
      <c r="E436" s="43" t="s">
        <v>749</v>
      </c>
      <c r="F436" s="43" t="s">
        <v>751</v>
      </c>
      <c r="G436" s="44">
        <v>2024.0</v>
      </c>
      <c r="H436" s="44">
        <v>0.0101</v>
      </c>
      <c r="I436" s="44">
        <v>0.0116</v>
      </c>
      <c r="J436" s="44">
        <v>2.0</v>
      </c>
      <c r="K436" s="44">
        <v>1.0</v>
      </c>
      <c r="L436" s="44">
        <v>1.0</v>
      </c>
      <c r="M436" s="66">
        <v>0.81</v>
      </c>
      <c r="N436" s="67" t="s">
        <v>764</v>
      </c>
      <c r="O436" s="43" t="s">
        <v>1145</v>
      </c>
      <c r="P436" s="43" t="s">
        <v>1146</v>
      </c>
      <c r="Q436" s="43" t="s">
        <v>1147</v>
      </c>
    </row>
    <row r="437" ht="15.75" customHeight="1">
      <c r="A437" s="43" t="s">
        <v>1697</v>
      </c>
      <c r="B437" s="43" t="s">
        <v>581</v>
      </c>
      <c r="C437" s="43" t="s">
        <v>202</v>
      </c>
      <c r="D437" s="43" t="s">
        <v>803</v>
      </c>
      <c r="E437" s="43" t="s">
        <v>784</v>
      </c>
      <c r="F437" s="43" t="s">
        <v>751</v>
      </c>
      <c r="G437" s="44">
        <v>2024.0</v>
      </c>
      <c r="H437" s="44">
        <v>1.0659</v>
      </c>
      <c r="I437" s="44">
        <v>1.1987</v>
      </c>
      <c r="J437" s="44">
        <v>11.0</v>
      </c>
      <c r="K437" s="44">
        <v>6.0</v>
      </c>
      <c r="L437" s="44">
        <v>1.0</v>
      </c>
      <c r="M437" s="66">
        <v>112.22</v>
      </c>
      <c r="N437" s="67" t="s">
        <v>764</v>
      </c>
      <c r="O437" s="43" t="s">
        <v>1145</v>
      </c>
      <c r="P437" s="43" t="s">
        <v>1146</v>
      </c>
      <c r="Q437" s="43" t="s">
        <v>1147</v>
      </c>
    </row>
    <row r="438" ht="15.75" customHeight="1">
      <c r="A438" s="43" t="s">
        <v>1699</v>
      </c>
      <c r="B438" s="43" t="s">
        <v>581</v>
      </c>
      <c r="C438" s="43" t="s">
        <v>341</v>
      </c>
      <c r="D438" s="43" t="s">
        <v>783</v>
      </c>
      <c r="E438" s="43" t="s">
        <v>797</v>
      </c>
      <c r="F438" s="43" t="s">
        <v>798</v>
      </c>
      <c r="G438" s="44">
        <v>2023.0</v>
      </c>
      <c r="H438" s="44">
        <v>0.0567</v>
      </c>
      <c r="I438" s="44">
        <v>0.0658</v>
      </c>
      <c r="J438" s="44">
        <v>2.0</v>
      </c>
      <c r="K438" s="44">
        <v>2.0</v>
      </c>
      <c r="L438" s="44">
        <v>1.0</v>
      </c>
      <c r="M438" s="66">
        <v>0.2833</v>
      </c>
      <c r="N438" s="67" t="s">
        <v>764</v>
      </c>
      <c r="O438" s="43" t="s">
        <v>1145</v>
      </c>
      <c r="P438" s="43" t="s">
        <v>1146</v>
      </c>
      <c r="Q438" s="43" t="s">
        <v>1147</v>
      </c>
    </row>
    <row r="439" ht="15.75" customHeight="1">
      <c r="A439" s="43" t="s">
        <v>1701</v>
      </c>
      <c r="B439" s="43" t="s">
        <v>581</v>
      </c>
      <c r="C439" s="43" t="s">
        <v>341</v>
      </c>
      <c r="D439" s="43" t="s">
        <v>783</v>
      </c>
      <c r="E439" s="43" t="s">
        <v>749</v>
      </c>
      <c r="F439" s="43" t="s">
        <v>751</v>
      </c>
      <c r="G439" s="44">
        <v>2024.0</v>
      </c>
      <c r="H439" s="44">
        <v>0.0017</v>
      </c>
      <c r="I439" s="44">
        <v>0.002</v>
      </c>
      <c r="J439" s="44">
        <v>2.0</v>
      </c>
      <c r="K439" s="44">
        <v>1.0</v>
      </c>
      <c r="L439" s="44">
        <v>1.0</v>
      </c>
      <c r="M439" s="66">
        <v>0.11</v>
      </c>
      <c r="N439" s="67" t="s">
        <v>764</v>
      </c>
      <c r="O439" s="43" t="s">
        <v>1145</v>
      </c>
      <c r="P439" s="43" t="s">
        <v>1146</v>
      </c>
      <c r="Q439" s="43" t="s">
        <v>1147</v>
      </c>
    </row>
    <row r="440" ht="15.75" customHeight="1">
      <c r="A440" s="43" t="s">
        <v>1702</v>
      </c>
      <c r="B440" s="43" t="s">
        <v>577</v>
      </c>
      <c r="C440" s="43" t="s">
        <v>487</v>
      </c>
      <c r="D440" s="43" t="s">
        <v>677</v>
      </c>
      <c r="E440" s="43" t="s">
        <v>797</v>
      </c>
      <c r="F440" s="43" t="s">
        <v>798</v>
      </c>
      <c r="G440" s="44">
        <v>2023.0</v>
      </c>
      <c r="H440" s="44">
        <v>0.0306</v>
      </c>
      <c r="I440" s="44">
        <v>0.035</v>
      </c>
      <c r="J440" s="44">
        <v>2.0</v>
      </c>
      <c r="K440" s="44">
        <v>1.0</v>
      </c>
      <c r="L440" s="44">
        <v>1.0</v>
      </c>
      <c r="M440" s="66">
        <v>0.1176</v>
      </c>
      <c r="N440" s="67" t="s">
        <v>764</v>
      </c>
      <c r="O440" s="43" t="s">
        <v>1145</v>
      </c>
      <c r="P440" s="43" t="s">
        <v>1146</v>
      </c>
      <c r="Q440" s="43" t="s">
        <v>1147</v>
      </c>
    </row>
    <row r="441" ht="15.75" customHeight="1">
      <c r="A441" s="43" t="s">
        <v>1704</v>
      </c>
      <c r="B441" s="43" t="s">
        <v>577</v>
      </c>
      <c r="C441" s="43" t="s">
        <v>501</v>
      </c>
      <c r="D441" s="43" t="s">
        <v>691</v>
      </c>
      <c r="E441" s="43" t="s">
        <v>749</v>
      </c>
      <c r="F441" s="43" t="s">
        <v>751</v>
      </c>
      <c r="G441" s="44">
        <v>2024.0</v>
      </c>
      <c r="H441" s="44">
        <v>0.0026</v>
      </c>
      <c r="I441" s="44">
        <v>0.0031</v>
      </c>
      <c r="J441" s="44">
        <v>2.0</v>
      </c>
      <c r="K441" s="44">
        <v>1.0</v>
      </c>
      <c r="L441" s="44">
        <v>1.0</v>
      </c>
      <c r="M441" s="66">
        <v>0.19</v>
      </c>
      <c r="N441" s="67" t="s">
        <v>764</v>
      </c>
      <c r="O441" s="43" t="s">
        <v>1145</v>
      </c>
      <c r="P441" s="43" t="s">
        <v>1146</v>
      </c>
      <c r="Q441" s="43" t="s">
        <v>1147</v>
      </c>
    </row>
    <row r="442" ht="15.75" customHeight="1">
      <c r="A442" s="43" t="s">
        <v>1706</v>
      </c>
      <c r="B442" s="43" t="s">
        <v>581</v>
      </c>
      <c r="C442" s="43" t="s">
        <v>517</v>
      </c>
      <c r="D442" s="43" t="s">
        <v>763</v>
      </c>
      <c r="E442" s="43" t="s">
        <v>797</v>
      </c>
      <c r="F442" s="43" t="s">
        <v>798</v>
      </c>
      <c r="G442" s="44">
        <v>2023.0</v>
      </c>
      <c r="H442" s="44">
        <v>0.0681</v>
      </c>
      <c r="I442" s="44">
        <v>0.0798</v>
      </c>
      <c r="J442" s="44">
        <v>2.0</v>
      </c>
      <c r="K442" s="44">
        <v>2.0</v>
      </c>
      <c r="L442" s="44">
        <v>1.0</v>
      </c>
      <c r="M442" s="66">
        <v>0.3875</v>
      </c>
      <c r="N442" s="67" t="s">
        <v>764</v>
      </c>
      <c r="O442" s="43" t="s">
        <v>1145</v>
      </c>
      <c r="P442" s="43" t="s">
        <v>1146</v>
      </c>
      <c r="Q442" s="43" t="s">
        <v>1147</v>
      </c>
    </row>
    <row r="443" ht="15.75" customHeight="1">
      <c r="A443" s="43" t="s">
        <v>1707</v>
      </c>
      <c r="B443" s="43" t="s">
        <v>596</v>
      </c>
      <c r="C443" s="43" t="s">
        <v>312</v>
      </c>
      <c r="D443" s="43" t="s">
        <v>857</v>
      </c>
      <c r="E443" s="43" t="s">
        <v>797</v>
      </c>
      <c r="F443" s="43" t="s">
        <v>798</v>
      </c>
      <c r="G443" s="44">
        <v>2023.0</v>
      </c>
      <c r="H443" s="44">
        <v>0.0457</v>
      </c>
      <c r="I443" s="44">
        <v>0.0544</v>
      </c>
      <c r="J443" s="44">
        <v>2.0</v>
      </c>
      <c r="K443" s="44">
        <v>1.0</v>
      </c>
      <c r="L443" s="44">
        <v>1.0</v>
      </c>
      <c r="M443" s="66">
        <v>0.2253</v>
      </c>
      <c r="N443" s="67" t="s">
        <v>764</v>
      </c>
      <c r="O443" s="43" t="s">
        <v>1145</v>
      </c>
      <c r="P443" s="43" t="s">
        <v>1146</v>
      </c>
      <c r="Q443" s="43" t="s">
        <v>1147</v>
      </c>
    </row>
    <row r="444" ht="15.75" customHeight="1">
      <c r="A444" s="43" t="s">
        <v>1709</v>
      </c>
      <c r="B444" s="43" t="s">
        <v>581</v>
      </c>
      <c r="C444" s="43" t="s">
        <v>378</v>
      </c>
      <c r="D444" s="43" t="s">
        <v>718</v>
      </c>
      <c r="E444" s="43" t="s">
        <v>797</v>
      </c>
      <c r="F444" s="43" t="s">
        <v>798</v>
      </c>
      <c r="G444" s="44">
        <v>2023.0</v>
      </c>
      <c r="H444" s="44">
        <v>0.0244</v>
      </c>
      <c r="I444" s="44">
        <v>0.0327</v>
      </c>
      <c r="J444" s="44">
        <v>3.0</v>
      </c>
      <c r="K444" s="44">
        <v>3.0</v>
      </c>
      <c r="L444" s="44">
        <v>1.0</v>
      </c>
      <c r="M444" s="66">
        <v>0.0958</v>
      </c>
      <c r="N444" s="67" t="s">
        <v>764</v>
      </c>
      <c r="O444" s="43" t="s">
        <v>1145</v>
      </c>
      <c r="P444" s="43" t="s">
        <v>1146</v>
      </c>
      <c r="Q444" s="43" t="s">
        <v>1147</v>
      </c>
    </row>
    <row r="445" ht="15.75" customHeight="1">
      <c r="A445" s="43" t="s">
        <v>1711</v>
      </c>
      <c r="B445" s="43" t="s">
        <v>577</v>
      </c>
      <c r="C445" s="43" t="s">
        <v>286</v>
      </c>
      <c r="D445" s="43" t="s">
        <v>644</v>
      </c>
      <c r="E445" s="43" t="s">
        <v>784</v>
      </c>
      <c r="F445" s="43" t="s">
        <v>751</v>
      </c>
      <c r="G445" s="44">
        <v>2024.0</v>
      </c>
      <c r="H445" s="44">
        <v>1.1246</v>
      </c>
      <c r="I445" s="44">
        <v>1.444</v>
      </c>
      <c r="J445" s="44">
        <v>13.0</v>
      </c>
      <c r="K445" s="44">
        <v>10.0</v>
      </c>
      <c r="L445" s="44">
        <v>2.0</v>
      </c>
      <c r="M445" s="66">
        <v>84.21</v>
      </c>
      <c r="N445" s="67" t="s">
        <v>764</v>
      </c>
      <c r="O445" s="43" t="s">
        <v>1145</v>
      </c>
      <c r="P445" s="43" t="s">
        <v>1146</v>
      </c>
      <c r="Q445" s="43" t="s">
        <v>1147</v>
      </c>
    </row>
    <row r="446" ht="15.75" customHeight="1">
      <c r="A446" s="43" t="s">
        <v>1712</v>
      </c>
      <c r="B446" s="43" t="s">
        <v>577</v>
      </c>
      <c r="C446" s="43" t="s">
        <v>501</v>
      </c>
      <c r="D446" s="43" t="s">
        <v>691</v>
      </c>
      <c r="E446" s="43" t="s">
        <v>797</v>
      </c>
      <c r="F446" s="43" t="s">
        <v>798</v>
      </c>
      <c r="G446" s="44">
        <v>2023.0</v>
      </c>
      <c r="H446" s="44">
        <v>0.0474</v>
      </c>
      <c r="I446" s="44">
        <v>0.0545</v>
      </c>
      <c r="J446" s="44">
        <v>3.0</v>
      </c>
      <c r="K446" s="44">
        <v>2.0</v>
      </c>
      <c r="L446" s="44">
        <v>1.0</v>
      </c>
      <c r="M446" s="66">
        <v>0.2937</v>
      </c>
      <c r="N446" s="67" t="s">
        <v>764</v>
      </c>
      <c r="O446" s="43" t="s">
        <v>1145</v>
      </c>
      <c r="P446" s="43" t="s">
        <v>1146</v>
      </c>
      <c r="Q446" s="43" t="s">
        <v>1147</v>
      </c>
    </row>
    <row r="447" ht="15.75" customHeight="1">
      <c r="A447" s="43" t="s">
        <v>1716</v>
      </c>
      <c r="B447" s="43" t="s">
        <v>581</v>
      </c>
      <c r="C447" s="43" t="s">
        <v>515</v>
      </c>
      <c r="D447" s="43" t="s">
        <v>709</v>
      </c>
      <c r="E447" s="43" t="s">
        <v>797</v>
      </c>
      <c r="F447" s="43" t="s">
        <v>798</v>
      </c>
      <c r="G447" s="44">
        <v>2023.0</v>
      </c>
      <c r="H447" s="44">
        <v>0.147</v>
      </c>
      <c r="I447" s="44">
        <v>0.1705</v>
      </c>
      <c r="J447" s="44">
        <v>3.0</v>
      </c>
      <c r="K447" s="44">
        <v>2.0</v>
      </c>
      <c r="L447" s="44">
        <v>1.0</v>
      </c>
      <c r="M447" s="66">
        <v>0.7394</v>
      </c>
      <c r="N447" s="67" t="s">
        <v>764</v>
      </c>
      <c r="O447" s="43" t="s">
        <v>1145</v>
      </c>
      <c r="P447" s="43" t="s">
        <v>1146</v>
      </c>
      <c r="Q447" s="43" t="s">
        <v>1147</v>
      </c>
    </row>
    <row r="448" ht="15.75" customHeight="1">
      <c r="A448" s="43" t="s">
        <v>1718</v>
      </c>
      <c r="B448" s="43" t="s">
        <v>581</v>
      </c>
      <c r="C448" s="43" t="s">
        <v>505</v>
      </c>
      <c r="D448" s="43" t="s">
        <v>799</v>
      </c>
      <c r="E448" s="43" t="s">
        <v>817</v>
      </c>
      <c r="F448" s="43" t="s">
        <v>798</v>
      </c>
      <c r="G448" s="44">
        <v>2023.0</v>
      </c>
      <c r="H448" s="44">
        <v>0.1585</v>
      </c>
      <c r="I448" s="44">
        <v>0.2003</v>
      </c>
      <c r="J448" s="44">
        <v>2.0</v>
      </c>
      <c r="K448" s="44">
        <v>1.0</v>
      </c>
      <c r="L448" s="44">
        <v>1.0</v>
      </c>
      <c r="M448" s="66">
        <v>0.934</v>
      </c>
      <c r="N448" s="67" t="s">
        <v>764</v>
      </c>
      <c r="O448" s="43" t="s">
        <v>1145</v>
      </c>
      <c r="P448" s="43" t="s">
        <v>1146</v>
      </c>
      <c r="Q448" s="43" t="s">
        <v>1147</v>
      </c>
    </row>
    <row r="449" ht="15.75" customHeight="1">
      <c r="A449" s="43" t="s">
        <v>1720</v>
      </c>
      <c r="B449" s="43" t="s">
        <v>581</v>
      </c>
      <c r="C449" s="43" t="s">
        <v>305</v>
      </c>
      <c r="D449" s="43" t="s">
        <v>788</v>
      </c>
      <c r="E449" s="43" t="s">
        <v>842</v>
      </c>
      <c r="F449" s="43" t="s">
        <v>751</v>
      </c>
      <c r="G449" s="44">
        <v>2024.0</v>
      </c>
      <c r="H449" s="44">
        <v>1.8316</v>
      </c>
      <c r="I449" s="44">
        <v>2.0789</v>
      </c>
      <c r="J449" s="44">
        <v>16.0</v>
      </c>
      <c r="K449" s="44">
        <v>9.0</v>
      </c>
      <c r="L449" s="44">
        <v>2.0</v>
      </c>
      <c r="M449" s="66">
        <v>137.0</v>
      </c>
      <c r="N449" s="67" t="s">
        <v>764</v>
      </c>
      <c r="O449" s="43" t="s">
        <v>1145</v>
      </c>
      <c r="P449" s="43" t="s">
        <v>1146</v>
      </c>
      <c r="Q449" s="43" t="s">
        <v>1147</v>
      </c>
    </row>
    <row r="450" ht="15.75" customHeight="1">
      <c r="A450" s="43" t="s">
        <v>1722</v>
      </c>
      <c r="B450" s="43" t="s">
        <v>596</v>
      </c>
      <c r="C450" s="43" t="s">
        <v>443</v>
      </c>
      <c r="D450" s="43" t="s">
        <v>808</v>
      </c>
      <c r="E450" s="43" t="s">
        <v>797</v>
      </c>
      <c r="F450" s="43" t="s">
        <v>798</v>
      </c>
      <c r="G450" s="44">
        <v>2023.0</v>
      </c>
      <c r="H450" s="44">
        <v>0.1141</v>
      </c>
      <c r="I450" s="44">
        <v>0.1539</v>
      </c>
      <c r="J450" s="44">
        <v>3.0</v>
      </c>
      <c r="K450" s="44">
        <v>2.0</v>
      </c>
      <c r="L450" s="44">
        <v>1.0</v>
      </c>
      <c r="M450" s="66">
        <v>0.3941</v>
      </c>
      <c r="N450" s="67" t="s">
        <v>764</v>
      </c>
      <c r="O450" s="43" t="s">
        <v>1145</v>
      </c>
      <c r="P450" s="43" t="s">
        <v>1146</v>
      </c>
      <c r="Q450" s="43" t="s">
        <v>1147</v>
      </c>
    </row>
    <row r="451" ht="15.75" customHeight="1">
      <c r="A451" s="43" t="s">
        <v>1724</v>
      </c>
      <c r="B451" s="43" t="s">
        <v>581</v>
      </c>
      <c r="C451" s="43" t="s">
        <v>104</v>
      </c>
      <c r="D451" s="43" t="s">
        <v>729</v>
      </c>
      <c r="E451" s="43" t="s">
        <v>784</v>
      </c>
      <c r="F451" s="43" t="s">
        <v>751</v>
      </c>
      <c r="G451" s="44">
        <v>2024.0</v>
      </c>
      <c r="H451" s="44">
        <v>1.5559</v>
      </c>
      <c r="I451" s="44">
        <v>1.7707</v>
      </c>
      <c r="J451" s="44">
        <v>19.0</v>
      </c>
      <c r="K451" s="44">
        <v>13.0</v>
      </c>
      <c r="L451" s="44">
        <v>2.0</v>
      </c>
      <c r="M451" s="66">
        <v>166.59</v>
      </c>
      <c r="N451" s="67" t="s">
        <v>764</v>
      </c>
      <c r="O451" s="43" t="s">
        <v>1145</v>
      </c>
      <c r="P451" s="43" t="s">
        <v>1146</v>
      </c>
      <c r="Q451" s="43" t="s">
        <v>1147</v>
      </c>
    </row>
    <row r="452" ht="15.75" customHeight="1">
      <c r="A452" s="43" t="s">
        <v>1726</v>
      </c>
      <c r="B452" s="43" t="s">
        <v>581</v>
      </c>
      <c r="C452" s="43" t="s">
        <v>503</v>
      </c>
      <c r="D452" s="43" t="s">
        <v>745</v>
      </c>
      <c r="E452" s="43" t="s">
        <v>797</v>
      </c>
      <c r="F452" s="43" t="s">
        <v>798</v>
      </c>
      <c r="G452" s="44">
        <v>2023.0</v>
      </c>
      <c r="H452" s="44">
        <v>0.1582</v>
      </c>
      <c r="I452" s="44">
        <v>0.1807</v>
      </c>
      <c r="J452" s="44">
        <v>4.0</v>
      </c>
      <c r="K452" s="44">
        <v>3.0</v>
      </c>
      <c r="L452" s="44">
        <v>1.0</v>
      </c>
      <c r="M452" s="66">
        <v>0.8543</v>
      </c>
      <c r="N452" s="67" t="s">
        <v>764</v>
      </c>
      <c r="O452" s="43" t="s">
        <v>1145</v>
      </c>
      <c r="P452" s="43" t="s">
        <v>1146</v>
      </c>
      <c r="Q452" s="43" t="s">
        <v>1147</v>
      </c>
    </row>
    <row r="453" ht="15.75" customHeight="1">
      <c r="A453" s="43" t="s">
        <v>1732</v>
      </c>
      <c r="B453" s="43" t="s">
        <v>581</v>
      </c>
      <c r="C453" s="43" t="s">
        <v>123</v>
      </c>
      <c r="D453" s="43" t="s">
        <v>782</v>
      </c>
      <c r="E453" s="43" t="s">
        <v>797</v>
      </c>
      <c r="F453" s="43" t="s">
        <v>798</v>
      </c>
      <c r="G453" s="44">
        <v>2023.0</v>
      </c>
      <c r="H453" s="44">
        <v>0.0286</v>
      </c>
      <c r="I453" s="44">
        <v>0.0354</v>
      </c>
      <c r="J453" s="44">
        <v>2.0</v>
      </c>
      <c r="K453" s="44">
        <v>1.0</v>
      </c>
      <c r="L453" s="44">
        <v>1.0</v>
      </c>
      <c r="M453" s="66">
        <v>0.1638</v>
      </c>
      <c r="N453" s="67" t="s">
        <v>764</v>
      </c>
      <c r="O453" s="43" t="s">
        <v>1145</v>
      </c>
      <c r="P453" s="43" t="s">
        <v>1146</v>
      </c>
      <c r="Q453" s="43" t="s">
        <v>1147</v>
      </c>
    </row>
    <row r="454" ht="15.75" customHeight="1">
      <c r="A454" s="43" t="s">
        <v>1734</v>
      </c>
      <c r="B454" s="43" t="s">
        <v>577</v>
      </c>
      <c r="C454" s="43" t="s">
        <v>185</v>
      </c>
      <c r="D454" s="43" t="s">
        <v>695</v>
      </c>
      <c r="E454" s="43" t="s">
        <v>817</v>
      </c>
      <c r="F454" s="43" t="s">
        <v>798</v>
      </c>
      <c r="G454" s="44">
        <v>2023.0</v>
      </c>
      <c r="H454" s="44">
        <v>0.1809</v>
      </c>
      <c r="I454" s="44">
        <v>0.2274</v>
      </c>
      <c r="J454" s="44">
        <v>2.0</v>
      </c>
      <c r="K454" s="44">
        <v>2.0</v>
      </c>
      <c r="L454" s="44">
        <v>1.0</v>
      </c>
      <c r="M454" s="66">
        <v>0.9619</v>
      </c>
      <c r="N454" s="67" t="s">
        <v>764</v>
      </c>
      <c r="O454" s="43" t="s">
        <v>1145</v>
      </c>
      <c r="P454" s="43" t="s">
        <v>1146</v>
      </c>
      <c r="Q454" s="43" t="s">
        <v>1147</v>
      </c>
    </row>
    <row r="455" ht="15.75" customHeight="1">
      <c r="A455" s="43" t="s">
        <v>1735</v>
      </c>
      <c r="B455" s="43" t="s">
        <v>577</v>
      </c>
      <c r="C455" s="43" t="s">
        <v>229</v>
      </c>
      <c r="D455" s="43" t="s">
        <v>630</v>
      </c>
      <c r="E455" s="43" t="s">
        <v>797</v>
      </c>
      <c r="F455" s="43" t="s">
        <v>798</v>
      </c>
      <c r="G455" s="44">
        <v>2023.0</v>
      </c>
      <c r="H455" s="44">
        <v>0.0545</v>
      </c>
      <c r="I455" s="44">
        <v>0.0626</v>
      </c>
      <c r="J455" s="44">
        <v>2.0</v>
      </c>
      <c r="K455" s="44">
        <v>1.0</v>
      </c>
      <c r="L455" s="44">
        <v>1.0</v>
      </c>
      <c r="M455" s="66">
        <v>0.2687</v>
      </c>
      <c r="N455" s="67" t="s">
        <v>764</v>
      </c>
      <c r="O455" s="43" t="s">
        <v>1145</v>
      </c>
      <c r="P455" s="43" t="s">
        <v>1146</v>
      </c>
      <c r="Q455" s="43" t="s">
        <v>1147</v>
      </c>
    </row>
    <row r="456" ht="15.75" customHeight="1">
      <c r="A456" s="43" t="s">
        <v>1736</v>
      </c>
      <c r="B456" s="43" t="s">
        <v>596</v>
      </c>
      <c r="C456" s="43" t="s">
        <v>493</v>
      </c>
      <c r="D456" s="43" t="s">
        <v>823</v>
      </c>
      <c r="E456" s="43" t="s">
        <v>842</v>
      </c>
      <c r="F456" s="43" t="s">
        <v>751</v>
      </c>
      <c r="G456" s="44">
        <v>2024.0</v>
      </c>
      <c r="H456" s="44">
        <v>0.392</v>
      </c>
      <c r="I456" s="44">
        <v>0.5032</v>
      </c>
      <c r="J456" s="44">
        <v>5.0</v>
      </c>
      <c r="K456" s="44">
        <v>3.0</v>
      </c>
      <c r="L456" s="44">
        <v>1.0</v>
      </c>
      <c r="M456" s="66">
        <v>36.93</v>
      </c>
      <c r="N456" s="67" t="s">
        <v>764</v>
      </c>
      <c r="O456" s="43" t="s">
        <v>1145</v>
      </c>
      <c r="P456" s="43" t="s">
        <v>1146</v>
      </c>
      <c r="Q456" s="43" t="s">
        <v>1147</v>
      </c>
    </row>
    <row r="457" ht="15.75" customHeight="1">
      <c r="A457" s="43" t="s">
        <v>1737</v>
      </c>
      <c r="B457" s="43" t="s">
        <v>605</v>
      </c>
      <c r="C457" s="43" t="s">
        <v>354</v>
      </c>
      <c r="D457" s="43" t="s">
        <v>905</v>
      </c>
      <c r="E457" s="43" t="s">
        <v>749</v>
      </c>
      <c r="F457" s="43" t="s">
        <v>751</v>
      </c>
      <c r="G457" s="44">
        <v>2024.0</v>
      </c>
      <c r="H457" s="44">
        <v>0.0233</v>
      </c>
      <c r="I457" s="44">
        <v>0.0296</v>
      </c>
      <c r="J457" s="44">
        <v>2.0</v>
      </c>
      <c r="K457" s="44">
        <v>1.0</v>
      </c>
      <c r="L457" s="44">
        <v>1.0</v>
      </c>
      <c r="M457" s="66">
        <v>2.23</v>
      </c>
      <c r="N457" s="67" t="s">
        <v>764</v>
      </c>
      <c r="O457" s="43" t="s">
        <v>1145</v>
      </c>
      <c r="P457" s="43" t="s">
        <v>1146</v>
      </c>
      <c r="Q457" s="43" t="s">
        <v>1147</v>
      </c>
    </row>
    <row r="458" ht="15.75" customHeight="1">
      <c r="A458" s="43" t="s">
        <v>1739</v>
      </c>
      <c r="B458" s="43" t="s">
        <v>577</v>
      </c>
      <c r="C458" s="43" t="s">
        <v>328</v>
      </c>
      <c r="D458" s="43" t="s">
        <v>699</v>
      </c>
      <c r="E458" s="43" t="s">
        <v>836</v>
      </c>
      <c r="F458" s="43" t="s">
        <v>798</v>
      </c>
      <c r="G458" s="44">
        <v>2023.0</v>
      </c>
      <c r="H458" s="44">
        <v>0.2865</v>
      </c>
      <c r="I458" s="44">
        <v>0.3221</v>
      </c>
      <c r="J458" s="44">
        <v>2.0</v>
      </c>
      <c r="K458" s="44">
        <v>2.0</v>
      </c>
      <c r="L458" s="44">
        <v>1.0</v>
      </c>
      <c r="M458" s="66">
        <v>2.3069</v>
      </c>
      <c r="N458" s="67" t="s">
        <v>764</v>
      </c>
      <c r="O458" s="43" t="s">
        <v>1145</v>
      </c>
      <c r="P458" s="43" t="s">
        <v>1146</v>
      </c>
      <c r="Q458" s="43" t="s">
        <v>1147</v>
      </c>
    </row>
    <row r="459" ht="15.75" customHeight="1">
      <c r="A459" s="43" t="s">
        <v>1740</v>
      </c>
      <c r="B459" s="43" t="s">
        <v>581</v>
      </c>
      <c r="C459" s="43" t="s">
        <v>378</v>
      </c>
      <c r="D459" s="43" t="s">
        <v>718</v>
      </c>
      <c r="E459" s="43" t="s">
        <v>842</v>
      </c>
      <c r="F459" s="43" t="s">
        <v>751</v>
      </c>
      <c r="G459" s="44">
        <v>2024.0</v>
      </c>
      <c r="H459" s="44">
        <v>0.7175</v>
      </c>
      <c r="I459" s="44">
        <v>0.9231</v>
      </c>
      <c r="J459" s="44">
        <v>10.0</v>
      </c>
      <c r="K459" s="44">
        <v>5.0</v>
      </c>
      <c r="L459" s="44">
        <v>1.0</v>
      </c>
      <c r="M459" s="66">
        <v>79.45</v>
      </c>
      <c r="N459" s="67" t="s">
        <v>764</v>
      </c>
      <c r="O459" s="43" t="s">
        <v>1145</v>
      </c>
      <c r="P459" s="43" t="s">
        <v>1146</v>
      </c>
      <c r="Q459" s="43" t="s">
        <v>1147</v>
      </c>
    </row>
    <row r="460" ht="15.75" customHeight="1">
      <c r="A460" s="43" t="s">
        <v>1742</v>
      </c>
      <c r="B460" s="43" t="s">
        <v>577</v>
      </c>
      <c r="C460" s="43" t="s">
        <v>363</v>
      </c>
      <c r="D460" s="43" t="s">
        <v>634</v>
      </c>
      <c r="E460" s="43" t="s">
        <v>817</v>
      </c>
      <c r="F460" s="43" t="s">
        <v>798</v>
      </c>
      <c r="G460" s="44">
        <v>2023.0</v>
      </c>
      <c r="H460" s="44">
        <v>0.2314</v>
      </c>
      <c r="I460" s="44">
        <v>0.3054</v>
      </c>
      <c r="J460" s="44">
        <v>2.0</v>
      </c>
      <c r="K460" s="44">
        <v>1.0</v>
      </c>
      <c r="L460" s="44">
        <v>1.0</v>
      </c>
      <c r="M460" s="66">
        <v>0.9695</v>
      </c>
      <c r="N460" s="67" t="s">
        <v>764</v>
      </c>
      <c r="O460" s="43" t="s">
        <v>1145</v>
      </c>
      <c r="P460" s="43" t="s">
        <v>1146</v>
      </c>
      <c r="Q460" s="43" t="s">
        <v>1147</v>
      </c>
    </row>
    <row r="461" ht="15.75" customHeight="1">
      <c r="A461" s="43" t="s">
        <v>1744</v>
      </c>
      <c r="B461" s="43" t="s">
        <v>577</v>
      </c>
      <c r="C461" s="43" t="s">
        <v>185</v>
      </c>
      <c r="D461" s="43" t="s">
        <v>695</v>
      </c>
      <c r="E461" s="43" t="s">
        <v>842</v>
      </c>
      <c r="F461" s="43" t="s">
        <v>751</v>
      </c>
      <c r="G461" s="44">
        <v>2024.0</v>
      </c>
      <c r="H461" s="44">
        <v>1.303</v>
      </c>
      <c r="I461" s="44">
        <v>1.409</v>
      </c>
      <c r="J461" s="44">
        <v>10.0</v>
      </c>
      <c r="K461" s="44">
        <v>7.0</v>
      </c>
      <c r="L461" s="44">
        <v>1.0</v>
      </c>
      <c r="M461" s="66">
        <v>77.33</v>
      </c>
      <c r="N461" s="67" t="s">
        <v>764</v>
      </c>
      <c r="O461" s="43" t="s">
        <v>1145</v>
      </c>
      <c r="P461" s="43" t="s">
        <v>1146</v>
      </c>
      <c r="Q461" s="43" t="s">
        <v>1147</v>
      </c>
    </row>
    <row r="462" ht="15.75" customHeight="1">
      <c r="A462" s="43" t="s">
        <v>1745</v>
      </c>
      <c r="B462" s="43" t="s">
        <v>581</v>
      </c>
      <c r="C462" s="43" t="s">
        <v>468</v>
      </c>
      <c r="D462" s="43" t="s">
        <v>703</v>
      </c>
      <c r="E462" s="43" t="s">
        <v>749</v>
      </c>
      <c r="F462" s="43" t="s">
        <v>751</v>
      </c>
      <c r="G462" s="44">
        <v>2024.0</v>
      </c>
      <c r="H462" s="44">
        <v>0.0094</v>
      </c>
      <c r="I462" s="44">
        <v>0.0126</v>
      </c>
      <c r="J462" s="44">
        <v>2.0</v>
      </c>
      <c r="K462" s="44">
        <v>1.0</v>
      </c>
      <c r="L462" s="44">
        <v>1.0</v>
      </c>
      <c r="M462" s="66">
        <v>0.59</v>
      </c>
      <c r="N462" s="67" t="s">
        <v>764</v>
      </c>
      <c r="O462" s="43" t="s">
        <v>1145</v>
      </c>
      <c r="P462" s="43" t="s">
        <v>1146</v>
      </c>
      <c r="Q462" s="43" t="s">
        <v>1147</v>
      </c>
    </row>
    <row r="463" ht="15.75" customHeight="1">
      <c r="A463" s="43" t="s">
        <v>1747</v>
      </c>
      <c r="B463" s="43" t="s">
        <v>577</v>
      </c>
      <c r="C463" s="43" t="s">
        <v>237</v>
      </c>
      <c r="D463" s="43" t="s">
        <v>669</v>
      </c>
      <c r="E463" s="43" t="s">
        <v>842</v>
      </c>
      <c r="F463" s="43" t="s">
        <v>751</v>
      </c>
      <c r="G463" s="44">
        <v>2024.0</v>
      </c>
      <c r="H463" s="44">
        <v>0.9577</v>
      </c>
      <c r="I463" s="44">
        <v>1.1208</v>
      </c>
      <c r="J463" s="44">
        <v>10.0</v>
      </c>
      <c r="K463" s="44">
        <v>5.0</v>
      </c>
      <c r="L463" s="44">
        <v>1.0</v>
      </c>
      <c r="M463" s="66">
        <v>66.66</v>
      </c>
      <c r="N463" s="67" t="s">
        <v>764</v>
      </c>
      <c r="O463" s="43" t="s">
        <v>1145</v>
      </c>
      <c r="P463" s="43" t="s">
        <v>1146</v>
      </c>
      <c r="Q463" s="43" t="s">
        <v>1147</v>
      </c>
    </row>
    <row r="464" ht="15.75" customHeight="1">
      <c r="A464" s="43" t="s">
        <v>1749</v>
      </c>
      <c r="B464" s="43" t="s">
        <v>605</v>
      </c>
      <c r="C464" s="43" t="s">
        <v>279</v>
      </c>
      <c r="D464" s="43" t="s">
        <v>956</v>
      </c>
      <c r="E464" s="43" t="s">
        <v>784</v>
      </c>
      <c r="F464" s="43" t="s">
        <v>751</v>
      </c>
      <c r="G464" s="44">
        <v>2024.0</v>
      </c>
      <c r="H464" s="44">
        <v>0.34</v>
      </c>
      <c r="I464" s="44">
        <v>0.4286</v>
      </c>
      <c r="J464" s="44">
        <v>5.0</v>
      </c>
      <c r="K464" s="44">
        <v>3.0</v>
      </c>
      <c r="L464" s="44">
        <v>1.0</v>
      </c>
      <c r="M464" s="66">
        <v>30.69</v>
      </c>
      <c r="N464" s="67" t="s">
        <v>764</v>
      </c>
      <c r="O464" s="43" t="s">
        <v>1145</v>
      </c>
      <c r="P464" s="43" t="s">
        <v>1146</v>
      </c>
      <c r="Q464" s="43" t="s">
        <v>1147</v>
      </c>
    </row>
    <row r="465" ht="15.75" customHeight="1">
      <c r="A465" s="43" t="s">
        <v>1751</v>
      </c>
      <c r="B465" s="43" t="s">
        <v>603</v>
      </c>
      <c r="C465" s="43" t="s">
        <v>521</v>
      </c>
      <c r="D465" s="43" t="s">
        <v>882</v>
      </c>
      <c r="E465" s="43" t="s">
        <v>842</v>
      </c>
      <c r="F465" s="43" t="s">
        <v>751</v>
      </c>
      <c r="G465" s="44">
        <v>2024.0</v>
      </c>
      <c r="H465" s="44">
        <v>0.3877</v>
      </c>
      <c r="I465" s="44">
        <v>0.4871</v>
      </c>
      <c r="J465" s="44">
        <v>5.0</v>
      </c>
      <c r="K465" s="44">
        <v>4.0</v>
      </c>
      <c r="L465" s="44">
        <v>1.0</v>
      </c>
      <c r="M465" s="66">
        <v>22.78</v>
      </c>
      <c r="N465" s="67" t="s">
        <v>764</v>
      </c>
      <c r="O465" s="43" t="s">
        <v>1145</v>
      </c>
      <c r="P465" s="43" t="s">
        <v>1146</v>
      </c>
      <c r="Q465" s="43" t="s">
        <v>1147</v>
      </c>
    </row>
    <row r="466" ht="15.75" customHeight="1">
      <c r="A466" s="43" t="s">
        <v>1753</v>
      </c>
      <c r="B466" s="43" t="s">
        <v>581</v>
      </c>
      <c r="C466" s="43" t="s">
        <v>477</v>
      </c>
      <c r="D466" s="43" t="s">
        <v>759</v>
      </c>
      <c r="E466" s="43" t="s">
        <v>842</v>
      </c>
      <c r="F466" s="43" t="s">
        <v>751</v>
      </c>
      <c r="G466" s="44">
        <v>2024.0</v>
      </c>
      <c r="H466" s="44">
        <v>1.6894</v>
      </c>
      <c r="I466" s="44">
        <v>1.8565</v>
      </c>
      <c r="J466" s="44">
        <v>19.0</v>
      </c>
      <c r="K466" s="44">
        <v>9.0</v>
      </c>
      <c r="L466" s="44">
        <v>2.0</v>
      </c>
      <c r="M466" s="66">
        <v>220.94</v>
      </c>
      <c r="N466" s="67" t="s">
        <v>764</v>
      </c>
      <c r="O466" s="43" t="s">
        <v>1145</v>
      </c>
      <c r="P466" s="43" t="s">
        <v>1146</v>
      </c>
      <c r="Q466" s="43" t="s">
        <v>1147</v>
      </c>
    </row>
    <row r="467" ht="15.75" customHeight="1">
      <c r="A467" s="43" t="s">
        <v>1754</v>
      </c>
      <c r="B467" s="43" t="s">
        <v>603</v>
      </c>
      <c r="C467" s="43" t="s">
        <v>317</v>
      </c>
      <c r="D467" s="43" t="s">
        <v>917</v>
      </c>
      <c r="E467" s="43" t="s">
        <v>784</v>
      </c>
      <c r="F467" s="43" t="s">
        <v>751</v>
      </c>
      <c r="G467" s="44">
        <v>2024.0</v>
      </c>
      <c r="H467" s="44">
        <v>0.2653</v>
      </c>
      <c r="I467" s="44">
        <v>0.3505</v>
      </c>
      <c r="J467" s="44">
        <v>2.0</v>
      </c>
      <c r="K467" s="44">
        <v>1.0</v>
      </c>
      <c r="L467" s="44">
        <v>1.0</v>
      </c>
      <c r="M467" s="66">
        <v>26.39</v>
      </c>
      <c r="N467" s="67" t="s">
        <v>764</v>
      </c>
      <c r="O467" s="43" t="s">
        <v>1145</v>
      </c>
      <c r="P467" s="43" t="s">
        <v>1146</v>
      </c>
      <c r="Q467" s="43" t="s">
        <v>1147</v>
      </c>
    </row>
    <row r="468" ht="15.75" customHeight="1">
      <c r="A468" s="43" t="s">
        <v>1756</v>
      </c>
      <c r="B468" s="43" t="s">
        <v>605</v>
      </c>
      <c r="C468" s="43" t="s">
        <v>221</v>
      </c>
      <c r="D468" s="43" t="s">
        <v>841</v>
      </c>
      <c r="E468" s="43" t="s">
        <v>749</v>
      </c>
      <c r="F468" s="43" t="s">
        <v>751</v>
      </c>
      <c r="G468" s="44">
        <v>2024.0</v>
      </c>
      <c r="H468" s="44">
        <v>0.0087</v>
      </c>
      <c r="I468" s="44">
        <v>0.0116</v>
      </c>
      <c r="J468" s="44">
        <v>2.0</v>
      </c>
      <c r="K468" s="44">
        <v>2.0</v>
      </c>
      <c r="L468" s="44">
        <v>1.0</v>
      </c>
      <c r="M468" s="66">
        <v>0.68</v>
      </c>
      <c r="N468" s="67" t="s">
        <v>764</v>
      </c>
      <c r="O468" s="43" t="s">
        <v>1145</v>
      </c>
      <c r="P468" s="43" t="s">
        <v>1146</v>
      </c>
      <c r="Q468" s="43" t="s">
        <v>1147</v>
      </c>
    </row>
    <row r="469" ht="15.75" customHeight="1">
      <c r="A469" s="43" t="s">
        <v>1758</v>
      </c>
      <c r="B469" s="43" t="s">
        <v>603</v>
      </c>
      <c r="C469" s="43" t="s">
        <v>401</v>
      </c>
      <c r="D469" s="43" t="s">
        <v>895</v>
      </c>
      <c r="E469" s="43" t="s">
        <v>817</v>
      </c>
      <c r="F469" s="43" t="s">
        <v>798</v>
      </c>
      <c r="G469" s="44">
        <v>2023.0</v>
      </c>
      <c r="H469" s="44">
        <v>0.1096</v>
      </c>
      <c r="I469" s="44">
        <v>0.1231</v>
      </c>
      <c r="J469" s="44">
        <v>2.0</v>
      </c>
      <c r="K469" s="44">
        <v>2.0</v>
      </c>
      <c r="L469" s="44">
        <v>1.0</v>
      </c>
      <c r="M469" s="66">
        <v>0.7776</v>
      </c>
      <c r="N469" s="67" t="s">
        <v>764</v>
      </c>
      <c r="O469" s="43" t="s">
        <v>1145</v>
      </c>
      <c r="P469" s="43" t="s">
        <v>1146</v>
      </c>
      <c r="Q469" s="43" t="s">
        <v>1147</v>
      </c>
    </row>
    <row r="470" ht="15.75" customHeight="1">
      <c r="A470" s="43" t="s">
        <v>1759</v>
      </c>
      <c r="B470" s="43" t="s">
        <v>603</v>
      </c>
      <c r="C470" s="43" t="s">
        <v>146</v>
      </c>
      <c r="D470" s="43" t="s">
        <v>906</v>
      </c>
      <c r="E470" s="43" t="s">
        <v>817</v>
      </c>
      <c r="F470" s="43" t="s">
        <v>798</v>
      </c>
      <c r="G470" s="44">
        <v>2023.0</v>
      </c>
      <c r="H470" s="44">
        <v>0.0333</v>
      </c>
      <c r="I470" s="44">
        <v>0.0412</v>
      </c>
      <c r="J470" s="44">
        <v>2.0</v>
      </c>
      <c r="K470" s="44">
        <v>1.0</v>
      </c>
      <c r="L470" s="44">
        <v>1.0</v>
      </c>
      <c r="M470" s="66">
        <v>0.1729</v>
      </c>
      <c r="N470" s="67" t="s">
        <v>764</v>
      </c>
      <c r="O470" s="43" t="s">
        <v>1145</v>
      </c>
      <c r="P470" s="43" t="s">
        <v>1146</v>
      </c>
      <c r="Q470" s="43" t="s">
        <v>1147</v>
      </c>
    </row>
    <row r="471" ht="15.75" customHeight="1">
      <c r="A471" s="43" t="s">
        <v>1761</v>
      </c>
      <c r="B471" s="43" t="s">
        <v>577</v>
      </c>
      <c r="C471" s="43" t="s">
        <v>463</v>
      </c>
      <c r="D471" s="43" t="s">
        <v>662</v>
      </c>
      <c r="E471" s="43" t="s">
        <v>836</v>
      </c>
      <c r="F471" s="43" t="s">
        <v>798</v>
      </c>
      <c r="G471" s="44">
        <v>2023.0</v>
      </c>
      <c r="H471" s="44">
        <v>0.3274</v>
      </c>
      <c r="I471" s="44">
        <v>0.3964</v>
      </c>
      <c r="J471" s="44">
        <v>3.0</v>
      </c>
      <c r="K471" s="44">
        <v>2.0</v>
      </c>
      <c r="L471" s="44">
        <v>1.0</v>
      </c>
      <c r="M471" s="66">
        <v>4.0266</v>
      </c>
      <c r="N471" s="67" t="s">
        <v>764</v>
      </c>
      <c r="O471" s="43" t="s">
        <v>1145</v>
      </c>
      <c r="P471" s="43" t="s">
        <v>1146</v>
      </c>
      <c r="Q471" s="43" t="s">
        <v>1147</v>
      </c>
    </row>
    <row r="472" ht="15.75" customHeight="1">
      <c r="A472" s="43" t="s">
        <v>1763</v>
      </c>
      <c r="B472" s="43" t="s">
        <v>605</v>
      </c>
      <c r="C472" s="43" t="s">
        <v>483</v>
      </c>
      <c r="D472" s="43" t="s">
        <v>803</v>
      </c>
      <c r="E472" s="43" t="s">
        <v>749</v>
      </c>
      <c r="F472" s="43" t="s">
        <v>751</v>
      </c>
      <c r="G472" s="44">
        <v>2024.0</v>
      </c>
      <c r="H472" s="44">
        <v>0.0102</v>
      </c>
      <c r="I472" s="44">
        <v>0.0122</v>
      </c>
      <c r="J472" s="44">
        <v>2.0</v>
      </c>
      <c r="K472" s="44">
        <v>2.0</v>
      </c>
      <c r="L472" s="44">
        <v>1.0</v>
      </c>
      <c r="M472" s="66">
        <v>0.84</v>
      </c>
      <c r="N472" s="67" t="s">
        <v>764</v>
      </c>
      <c r="O472" s="43" t="s">
        <v>1145</v>
      </c>
      <c r="P472" s="43" t="s">
        <v>1146</v>
      </c>
      <c r="Q472" s="43" t="s">
        <v>1147</v>
      </c>
    </row>
    <row r="473" ht="15.75" customHeight="1">
      <c r="A473" s="43" t="s">
        <v>1764</v>
      </c>
      <c r="B473" s="43" t="s">
        <v>577</v>
      </c>
      <c r="C473" s="43" t="s">
        <v>328</v>
      </c>
      <c r="D473" s="43" t="s">
        <v>699</v>
      </c>
      <c r="E473" s="43" t="s">
        <v>797</v>
      </c>
      <c r="F473" s="43" t="s">
        <v>798</v>
      </c>
      <c r="G473" s="44">
        <v>2023.0</v>
      </c>
      <c r="H473" s="44">
        <v>0.0529</v>
      </c>
      <c r="I473" s="44">
        <v>0.0616</v>
      </c>
      <c r="J473" s="44">
        <v>2.0</v>
      </c>
      <c r="K473" s="44">
        <v>2.0</v>
      </c>
      <c r="L473" s="44">
        <v>1.0</v>
      </c>
      <c r="M473" s="66">
        <v>0.3567</v>
      </c>
      <c r="N473" s="67" t="s">
        <v>764</v>
      </c>
      <c r="O473" s="43" t="s">
        <v>1145</v>
      </c>
      <c r="P473" s="43" t="s">
        <v>1146</v>
      </c>
      <c r="Q473" s="43" t="s">
        <v>1147</v>
      </c>
    </row>
    <row r="474" ht="15.75" customHeight="1">
      <c r="A474" s="43" t="s">
        <v>1767</v>
      </c>
      <c r="B474" s="43" t="s">
        <v>577</v>
      </c>
      <c r="C474" s="43" t="s">
        <v>513</v>
      </c>
      <c r="D474" s="43" t="s">
        <v>666</v>
      </c>
      <c r="E474" s="43" t="s">
        <v>784</v>
      </c>
      <c r="F474" s="43" t="s">
        <v>751</v>
      </c>
      <c r="G474" s="44">
        <v>2024.0</v>
      </c>
      <c r="H474" s="44">
        <v>0.4211</v>
      </c>
      <c r="I474" s="44">
        <v>0.5197</v>
      </c>
      <c r="J474" s="44">
        <v>3.0</v>
      </c>
      <c r="K474" s="44">
        <v>2.0</v>
      </c>
      <c r="L474" s="44">
        <v>1.0</v>
      </c>
      <c r="M474" s="66">
        <v>39.99</v>
      </c>
      <c r="N474" s="67" t="s">
        <v>764</v>
      </c>
      <c r="O474" s="43" t="s">
        <v>1145</v>
      </c>
      <c r="P474" s="43" t="s">
        <v>1146</v>
      </c>
      <c r="Q474" s="43" t="s">
        <v>1147</v>
      </c>
    </row>
    <row r="475" ht="15.75" customHeight="1">
      <c r="A475" s="43" t="s">
        <v>1769</v>
      </c>
      <c r="B475" s="43" t="s">
        <v>577</v>
      </c>
      <c r="C475" s="43" t="s">
        <v>328</v>
      </c>
      <c r="D475" s="43" t="s">
        <v>699</v>
      </c>
      <c r="E475" s="43" t="s">
        <v>749</v>
      </c>
      <c r="F475" s="43" t="s">
        <v>751</v>
      </c>
      <c r="G475" s="44">
        <v>2024.0</v>
      </c>
      <c r="H475" s="44">
        <v>0.0119</v>
      </c>
      <c r="I475" s="44">
        <v>0.0156</v>
      </c>
      <c r="J475" s="44">
        <v>2.0</v>
      </c>
      <c r="K475" s="44">
        <v>1.0</v>
      </c>
      <c r="L475" s="44">
        <v>1.0</v>
      </c>
      <c r="M475" s="66">
        <v>0.72</v>
      </c>
      <c r="N475" s="67" t="s">
        <v>764</v>
      </c>
      <c r="O475" s="43" t="s">
        <v>1145</v>
      </c>
      <c r="P475" s="43" t="s">
        <v>1146</v>
      </c>
      <c r="Q475" s="43" t="s">
        <v>1147</v>
      </c>
    </row>
    <row r="476" ht="15.75" customHeight="1">
      <c r="A476" s="43" t="s">
        <v>1770</v>
      </c>
      <c r="B476" s="43" t="s">
        <v>577</v>
      </c>
      <c r="C476" s="43" t="s">
        <v>513</v>
      </c>
      <c r="D476" s="43" t="s">
        <v>666</v>
      </c>
      <c r="E476" s="43" t="s">
        <v>797</v>
      </c>
      <c r="F476" s="43" t="s">
        <v>798</v>
      </c>
      <c r="G476" s="44">
        <v>2023.0</v>
      </c>
      <c r="H476" s="44">
        <v>0.0475</v>
      </c>
      <c r="I476" s="44">
        <v>0.0596</v>
      </c>
      <c r="J476" s="44">
        <v>2.0</v>
      </c>
      <c r="K476" s="44">
        <v>1.0</v>
      </c>
      <c r="L476" s="44">
        <v>1.0</v>
      </c>
      <c r="M476" s="66">
        <v>0.1943</v>
      </c>
      <c r="N476" s="67" t="s">
        <v>764</v>
      </c>
      <c r="O476" s="43" t="s">
        <v>1145</v>
      </c>
      <c r="P476" s="43" t="s">
        <v>1146</v>
      </c>
      <c r="Q476" s="43" t="s">
        <v>1147</v>
      </c>
    </row>
    <row r="477" ht="15.75" customHeight="1">
      <c r="A477" s="43" t="s">
        <v>1772</v>
      </c>
      <c r="B477" s="43" t="s">
        <v>581</v>
      </c>
      <c r="C477" s="43" t="s">
        <v>491</v>
      </c>
      <c r="D477" s="43" t="s">
        <v>777</v>
      </c>
      <c r="E477" s="43" t="s">
        <v>842</v>
      </c>
      <c r="F477" s="43" t="s">
        <v>751</v>
      </c>
      <c r="G477" s="44">
        <v>2024.0</v>
      </c>
      <c r="H477" s="44">
        <v>0.4679</v>
      </c>
      <c r="I477" s="44">
        <v>0.6047</v>
      </c>
      <c r="J477" s="44">
        <v>4.0</v>
      </c>
      <c r="K477" s="44">
        <v>3.0</v>
      </c>
      <c r="L477" s="44">
        <v>1.0</v>
      </c>
      <c r="M477" s="66">
        <v>44.43</v>
      </c>
      <c r="N477" s="67" t="s">
        <v>764</v>
      </c>
      <c r="O477" s="43" t="s">
        <v>1145</v>
      </c>
      <c r="P477" s="43" t="s">
        <v>1146</v>
      </c>
      <c r="Q477" s="43" t="s">
        <v>1147</v>
      </c>
    </row>
    <row r="478" ht="15.75" customHeight="1">
      <c r="A478" s="43" t="s">
        <v>1774</v>
      </c>
      <c r="B478" s="43" t="s">
        <v>603</v>
      </c>
      <c r="C478" s="43" t="s">
        <v>495</v>
      </c>
      <c r="D478" s="43" t="s">
        <v>900</v>
      </c>
      <c r="E478" s="43" t="s">
        <v>797</v>
      </c>
      <c r="F478" s="43" t="s">
        <v>798</v>
      </c>
      <c r="G478" s="44">
        <v>2023.0</v>
      </c>
      <c r="H478" s="44">
        <v>0.0634</v>
      </c>
      <c r="I478" s="44">
        <v>0.0774</v>
      </c>
      <c r="J478" s="44">
        <v>2.0</v>
      </c>
      <c r="K478" s="44">
        <v>2.0</v>
      </c>
      <c r="L478" s="44">
        <v>1.0</v>
      </c>
      <c r="M478" s="66">
        <v>0.3452</v>
      </c>
      <c r="N478" s="67" t="s">
        <v>764</v>
      </c>
      <c r="O478" s="43" t="s">
        <v>1145</v>
      </c>
      <c r="P478" s="43" t="s">
        <v>1146</v>
      </c>
      <c r="Q478" s="43" t="s">
        <v>1147</v>
      </c>
    </row>
    <row r="479" ht="15.75" customHeight="1">
      <c r="A479" s="43" t="s">
        <v>1776</v>
      </c>
      <c r="B479" s="43" t="s">
        <v>577</v>
      </c>
      <c r="C479" s="43" t="s">
        <v>372</v>
      </c>
      <c r="D479" s="43" t="s">
        <v>673</v>
      </c>
      <c r="E479" s="43" t="s">
        <v>749</v>
      </c>
      <c r="F479" s="43" t="s">
        <v>751</v>
      </c>
      <c r="G479" s="44">
        <v>2024.0</v>
      </c>
      <c r="H479" s="44">
        <v>0.0097</v>
      </c>
      <c r="I479" s="44">
        <v>0.0105</v>
      </c>
      <c r="J479" s="44">
        <v>2.0</v>
      </c>
      <c r="K479" s="44">
        <v>1.0</v>
      </c>
      <c r="L479" s="44">
        <v>1.0</v>
      </c>
      <c r="M479" s="66">
        <v>0.97</v>
      </c>
      <c r="N479" s="67" t="s">
        <v>764</v>
      </c>
      <c r="O479" s="43" t="s">
        <v>1145</v>
      </c>
      <c r="P479" s="43" t="s">
        <v>1146</v>
      </c>
      <c r="Q479" s="43" t="s">
        <v>1147</v>
      </c>
    </row>
    <row r="480" ht="15.75" customHeight="1">
      <c r="A480" s="43" t="s">
        <v>1778</v>
      </c>
      <c r="B480" s="43" t="s">
        <v>577</v>
      </c>
      <c r="C480" s="43" t="s">
        <v>78</v>
      </c>
      <c r="D480" s="43" t="s">
        <v>680</v>
      </c>
      <c r="E480" s="43" t="s">
        <v>784</v>
      </c>
      <c r="F480" s="43" t="s">
        <v>751</v>
      </c>
      <c r="G480" s="44">
        <v>2024.0</v>
      </c>
      <c r="H480" s="44">
        <v>0.848</v>
      </c>
      <c r="I480" s="44">
        <v>1.0525</v>
      </c>
      <c r="J480" s="44">
        <v>11.0</v>
      </c>
      <c r="K480" s="44">
        <v>10.0</v>
      </c>
      <c r="L480" s="44">
        <v>1.0</v>
      </c>
      <c r="M480" s="66">
        <v>104.1</v>
      </c>
      <c r="N480" s="67" t="s">
        <v>764</v>
      </c>
      <c r="O480" s="43" t="s">
        <v>1145</v>
      </c>
      <c r="P480" s="43" t="s">
        <v>1146</v>
      </c>
      <c r="Q480" s="43" t="s">
        <v>1147</v>
      </c>
    </row>
    <row r="481" ht="15.75" customHeight="1">
      <c r="A481" s="43" t="s">
        <v>1780</v>
      </c>
      <c r="B481" s="43" t="s">
        <v>603</v>
      </c>
      <c r="C481" s="43" t="s">
        <v>495</v>
      </c>
      <c r="D481" s="43" t="s">
        <v>900</v>
      </c>
      <c r="E481" s="43" t="s">
        <v>784</v>
      </c>
      <c r="F481" s="43" t="s">
        <v>751</v>
      </c>
      <c r="G481" s="44">
        <v>2024.0</v>
      </c>
      <c r="H481" s="44">
        <v>1.0452</v>
      </c>
      <c r="I481" s="44">
        <v>1.171</v>
      </c>
      <c r="J481" s="44">
        <v>8.0</v>
      </c>
      <c r="K481" s="44">
        <v>5.0</v>
      </c>
      <c r="L481" s="44">
        <v>1.0</v>
      </c>
      <c r="M481" s="66">
        <v>95.22</v>
      </c>
      <c r="N481" s="67" t="s">
        <v>764</v>
      </c>
      <c r="O481" s="43" t="s">
        <v>1145</v>
      </c>
      <c r="P481" s="43" t="s">
        <v>1146</v>
      </c>
      <c r="Q481" s="43" t="s">
        <v>1147</v>
      </c>
    </row>
    <row r="482" ht="15.75" customHeight="1">
      <c r="A482" s="43" t="s">
        <v>1781</v>
      </c>
      <c r="B482" s="43" t="s">
        <v>596</v>
      </c>
      <c r="C482" s="43" t="s">
        <v>312</v>
      </c>
      <c r="D482" s="43" t="s">
        <v>857</v>
      </c>
      <c r="E482" s="43" t="s">
        <v>749</v>
      </c>
      <c r="F482" s="43" t="s">
        <v>751</v>
      </c>
      <c r="G482" s="44">
        <v>2024.0</v>
      </c>
      <c r="H482" s="44">
        <v>0.0072</v>
      </c>
      <c r="I482" s="44">
        <v>0.0085</v>
      </c>
      <c r="J482" s="44">
        <v>2.0</v>
      </c>
      <c r="K482" s="44">
        <v>2.0</v>
      </c>
      <c r="L482" s="44">
        <v>1.0</v>
      </c>
      <c r="M482" s="66">
        <v>0.69</v>
      </c>
      <c r="N482" s="67" t="s">
        <v>764</v>
      </c>
      <c r="O482" s="43" t="s">
        <v>1145</v>
      </c>
      <c r="P482" s="43" t="s">
        <v>1146</v>
      </c>
      <c r="Q482" s="43" t="s">
        <v>1147</v>
      </c>
    </row>
    <row r="483" ht="15.75" customHeight="1">
      <c r="A483" s="43" t="s">
        <v>1783</v>
      </c>
      <c r="B483" s="43" t="s">
        <v>581</v>
      </c>
      <c r="C483" s="43" t="s">
        <v>491</v>
      </c>
      <c r="D483" s="43" t="s">
        <v>777</v>
      </c>
      <c r="E483" s="43" t="s">
        <v>749</v>
      </c>
      <c r="F483" s="43" t="s">
        <v>751</v>
      </c>
      <c r="G483" s="44">
        <v>2024.0</v>
      </c>
      <c r="H483" s="44">
        <v>0.0071</v>
      </c>
      <c r="I483" s="44">
        <v>0.0089</v>
      </c>
      <c r="J483" s="44">
        <v>2.0</v>
      </c>
      <c r="K483" s="44">
        <v>1.0</v>
      </c>
      <c r="L483" s="44">
        <v>1.0</v>
      </c>
      <c r="M483" s="66">
        <v>0.44</v>
      </c>
      <c r="N483" s="67" t="s">
        <v>764</v>
      </c>
      <c r="O483" s="43" t="s">
        <v>1145</v>
      </c>
      <c r="P483" s="43" t="s">
        <v>1146</v>
      </c>
      <c r="Q483" s="43" t="s">
        <v>1147</v>
      </c>
    </row>
    <row r="484" ht="15.75" customHeight="1">
      <c r="A484" s="43" t="s">
        <v>1785</v>
      </c>
      <c r="B484" s="43" t="s">
        <v>577</v>
      </c>
      <c r="C484" s="43" t="s">
        <v>286</v>
      </c>
      <c r="D484" s="43" t="s">
        <v>644</v>
      </c>
      <c r="E484" s="43" t="s">
        <v>817</v>
      </c>
      <c r="F484" s="43" t="s">
        <v>798</v>
      </c>
      <c r="G484" s="44">
        <v>2023.0</v>
      </c>
      <c r="H484" s="44">
        <v>0.0672</v>
      </c>
      <c r="I484" s="44">
        <v>0.087</v>
      </c>
      <c r="J484" s="44">
        <v>3.0</v>
      </c>
      <c r="K484" s="44">
        <v>3.0</v>
      </c>
      <c r="L484" s="44">
        <v>1.0</v>
      </c>
      <c r="M484" s="66">
        <v>0.2229</v>
      </c>
      <c r="N484" s="67" t="s">
        <v>764</v>
      </c>
      <c r="O484" s="43" t="s">
        <v>1145</v>
      </c>
      <c r="P484" s="43" t="s">
        <v>1146</v>
      </c>
      <c r="Q484" s="43" t="s">
        <v>1147</v>
      </c>
    </row>
    <row r="485" ht="15.75" customHeight="1">
      <c r="A485" s="43" t="s">
        <v>1787</v>
      </c>
      <c r="B485" s="43" t="s">
        <v>577</v>
      </c>
      <c r="C485" s="43" t="s">
        <v>511</v>
      </c>
      <c r="D485" s="43" t="s">
        <v>626</v>
      </c>
      <c r="E485" s="43" t="s">
        <v>836</v>
      </c>
      <c r="F485" s="43" t="s">
        <v>798</v>
      </c>
      <c r="G485" s="44">
        <v>2023.0</v>
      </c>
      <c r="H485" s="44">
        <v>0.0669</v>
      </c>
      <c r="I485" s="44">
        <v>0.0748</v>
      </c>
      <c r="J485" s="44">
        <v>2.0</v>
      </c>
      <c r="K485" s="44">
        <v>2.0</v>
      </c>
      <c r="L485" s="44">
        <v>1.0</v>
      </c>
      <c r="M485" s="66">
        <v>0.7235</v>
      </c>
      <c r="N485" s="67" t="s">
        <v>764</v>
      </c>
      <c r="O485" s="43" t="s">
        <v>1145</v>
      </c>
      <c r="P485" s="43" t="s">
        <v>1146</v>
      </c>
      <c r="Q485" s="43" t="s">
        <v>1147</v>
      </c>
    </row>
    <row r="486" ht="15.75" customHeight="1">
      <c r="A486" s="43" t="s">
        <v>1788</v>
      </c>
      <c r="B486" s="43" t="s">
        <v>581</v>
      </c>
      <c r="C486" s="43" t="s">
        <v>299</v>
      </c>
      <c r="D486" s="43" t="s">
        <v>736</v>
      </c>
      <c r="E486" s="43" t="s">
        <v>826</v>
      </c>
      <c r="F486" s="43" t="s">
        <v>751</v>
      </c>
      <c r="G486" s="44">
        <v>2024.0</v>
      </c>
      <c r="H486" s="44">
        <v>0.9035</v>
      </c>
      <c r="I486" s="44">
        <v>1.1035</v>
      </c>
      <c r="J486" s="44">
        <v>9.0</v>
      </c>
      <c r="K486" s="44">
        <v>7.0</v>
      </c>
      <c r="L486" s="44">
        <v>1.0</v>
      </c>
      <c r="M486" s="66">
        <v>81.93</v>
      </c>
      <c r="N486" s="67" t="s">
        <v>764</v>
      </c>
      <c r="O486" s="43" t="s">
        <v>1145</v>
      </c>
      <c r="P486" s="43" t="s">
        <v>1146</v>
      </c>
      <c r="Q486" s="43" t="s">
        <v>1147</v>
      </c>
    </row>
    <row r="487" ht="15.75" customHeight="1">
      <c r="A487" s="43" t="s">
        <v>1790</v>
      </c>
      <c r="B487" s="43" t="s">
        <v>596</v>
      </c>
      <c r="C487" s="43" t="s">
        <v>136</v>
      </c>
      <c r="D487" s="43" t="s">
        <v>852</v>
      </c>
      <c r="E487" s="43" t="s">
        <v>784</v>
      </c>
      <c r="F487" s="43" t="s">
        <v>751</v>
      </c>
      <c r="G487" s="44">
        <v>2024.0</v>
      </c>
      <c r="H487" s="44">
        <v>0.6373</v>
      </c>
      <c r="I487" s="44">
        <v>0.7419</v>
      </c>
      <c r="J487" s="44">
        <v>7.0</v>
      </c>
      <c r="K487" s="44">
        <v>5.0</v>
      </c>
      <c r="L487" s="44">
        <v>1.0</v>
      </c>
      <c r="M487" s="66">
        <v>69.43</v>
      </c>
      <c r="N487" s="67" t="s">
        <v>764</v>
      </c>
      <c r="O487" s="43" t="s">
        <v>1145</v>
      </c>
      <c r="P487" s="43" t="s">
        <v>1146</v>
      </c>
      <c r="Q487" s="43" t="s">
        <v>1147</v>
      </c>
    </row>
    <row r="488" ht="15.75" customHeight="1">
      <c r="A488" s="43" t="s">
        <v>1792</v>
      </c>
      <c r="B488" s="43" t="s">
        <v>596</v>
      </c>
      <c r="C488" s="43" t="s">
        <v>346</v>
      </c>
      <c r="D488" s="43" t="s">
        <v>873</v>
      </c>
      <c r="E488" s="43" t="s">
        <v>842</v>
      </c>
      <c r="F488" s="43" t="s">
        <v>751</v>
      </c>
      <c r="G488" s="44">
        <v>2024.0</v>
      </c>
      <c r="H488" s="44">
        <v>0.3032</v>
      </c>
      <c r="I488" s="44">
        <v>0.39</v>
      </c>
      <c r="J488" s="44">
        <v>2.0</v>
      </c>
      <c r="K488" s="44">
        <v>1.0</v>
      </c>
      <c r="L488" s="44">
        <v>1.0</v>
      </c>
      <c r="M488" s="66">
        <v>28.38</v>
      </c>
      <c r="N488" s="67" t="s">
        <v>764</v>
      </c>
      <c r="O488" s="43" t="s">
        <v>1145</v>
      </c>
      <c r="P488" s="43" t="s">
        <v>1146</v>
      </c>
      <c r="Q488" s="43" t="s">
        <v>1147</v>
      </c>
    </row>
    <row r="489" ht="15.75" customHeight="1">
      <c r="A489" s="43" t="s">
        <v>1794</v>
      </c>
      <c r="B489" s="43" t="s">
        <v>605</v>
      </c>
      <c r="C489" s="43" t="s">
        <v>279</v>
      </c>
      <c r="D489" s="43" t="s">
        <v>956</v>
      </c>
      <c r="E489" s="43" t="s">
        <v>749</v>
      </c>
      <c r="F489" s="43" t="s">
        <v>751</v>
      </c>
      <c r="G489" s="44">
        <v>2024.0</v>
      </c>
      <c r="H489" s="44">
        <v>0.0097</v>
      </c>
      <c r="I489" s="44">
        <v>0.0119</v>
      </c>
      <c r="J489" s="44">
        <v>3.0</v>
      </c>
      <c r="K489" s="44">
        <v>3.0</v>
      </c>
      <c r="L489" s="44">
        <v>1.0</v>
      </c>
      <c r="M489" s="66">
        <v>0.81</v>
      </c>
      <c r="N489" s="67" t="s">
        <v>764</v>
      </c>
      <c r="O489" s="43" t="s">
        <v>1145</v>
      </c>
      <c r="P489" s="43" t="s">
        <v>1146</v>
      </c>
      <c r="Q489" s="43" t="s">
        <v>1147</v>
      </c>
    </row>
    <row r="490" ht="15.75" customHeight="1">
      <c r="A490" s="43" t="s">
        <v>1795</v>
      </c>
      <c r="B490" s="43" t="s">
        <v>577</v>
      </c>
      <c r="C490" s="43" t="s">
        <v>286</v>
      </c>
      <c r="D490" s="43" t="s">
        <v>644</v>
      </c>
      <c r="E490" s="43" t="s">
        <v>842</v>
      </c>
      <c r="F490" s="43" t="s">
        <v>751</v>
      </c>
      <c r="G490" s="44">
        <v>2024.0</v>
      </c>
      <c r="H490" s="44">
        <v>0.9154</v>
      </c>
      <c r="I490" s="44">
        <v>0.9923</v>
      </c>
      <c r="J490" s="44">
        <v>8.0</v>
      </c>
      <c r="K490" s="44">
        <v>4.0</v>
      </c>
      <c r="L490" s="44">
        <v>1.0</v>
      </c>
      <c r="M490" s="66">
        <v>75.54</v>
      </c>
      <c r="N490" s="67" t="s">
        <v>764</v>
      </c>
      <c r="O490" s="43" t="s">
        <v>1145</v>
      </c>
      <c r="P490" s="43" t="s">
        <v>1146</v>
      </c>
      <c r="Q490" s="43" t="s">
        <v>1147</v>
      </c>
    </row>
    <row r="491" ht="15.75" customHeight="1">
      <c r="A491" s="43" t="s">
        <v>1796</v>
      </c>
      <c r="B491" s="43" t="s">
        <v>577</v>
      </c>
      <c r="C491" s="43" t="s">
        <v>422</v>
      </c>
      <c r="D491" s="43" t="s">
        <v>688</v>
      </c>
      <c r="E491" s="43" t="s">
        <v>797</v>
      </c>
      <c r="F491" s="43" t="s">
        <v>798</v>
      </c>
      <c r="G491" s="44">
        <v>2023.0</v>
      </c>
      <c r="H491" s="44">
        <v>0.0294</v>
      </c>
      <c r="I491" s="44">
        <v>0.0358</v>
      </c>
      <c r="J491" s="44">
        <v>2.0</v>
      </c>
      <c r="K491" s="44">
        <v>1.0</v>
      </c>
      <c r="L491" s="44">
        <v>1.0</v>
      </c>
      <c r="M491" s="66">
        <v>0.1637</v>
      </c>
      <c r="N491" s="67" t="s">
        <v>764</v>
      </c>
      <c r="O491" s="43" t="s">
        <v>1145</v>
      </c>
      <c r="P491" s="43" t="s">
        <v>1146</v>
      </c>
      <c r="Q491" s="43" t="s">
        <v>1147</v>
      </c>
    </row>
    <row r="492" ht="15.75" customHeight="1">
      <c r="A492" s="43" t="s">
        <v>1797</v>
      </c>
      <c r="B492" s="43" t="s">
        <v>577</v>
      </c>
      <c r="C492" s="43" t="s">
        <v>372</v>
      </c>
      <c r="D492" s="43" t="s">
        <v>673</v>
      </c>
      <c r="E492" s="43" t="s">
        <v>842</v>
      </c>
      <c r="F492" s="43" t="s">
        <v>751</v>
      </c>
      <c r="G492" s="44">
        <v>2024.0</v>
      </c>
      <c r="H492" s="44">
        <v>0.3282</v>
      </c>
      <c r="I492" s="44">
        <v>0.4188</v>
      </c>
      <c r="J492" s="44">
        <v>4.0</v>
      </c>
      <c r="K492" s="44">
        <v>3.0</v>
      </c>
      <c r="L492" s="44">
        <v>1.0</v>
      </c>
      <c r="M492" s="66">
        <v>22.63</v>
      </c>
      <c r="N492" s="67" t="s">
        <v>764</v>
      </c>
      <c r="O492" s="43" t="s">
        <v>1145</v>
      </c>
      <c r="P492" s="43" t="s">
        <v>1146</v>
      </c>
      <c r="Q492" s="43" t="s">
        <v>1147</v>
      </c>
    </row>
    <row r="493" ht="15.75" customHeight="1">
      <c r="A493" s="43" t="s">
        <v>1798</v>
      </c>
      <c r="B493" s="43" t="s">
        <v>581</v>
      </c>
      <c r="C493" s="43" t="s">
        <v>503</v>
      </c>
      <c r="D493" s="43" t="s">
        <v>745</v>
      </c>
      <c r="E493" s="43" t="s">
        <v>749</v>
      </c>
      <c r="F493" s="43" t="s">
        <v>751</v>
      </c>
      <c r="G493" s="44">
        <v>2024.0</v>
      </c>
      <c r="H493" s="44">
        <v>0.0247</v>
      </c>
      <c r="I493" s="44">
        <v>0.0331</v>
      </c>
      <c r="J493" s="44">
        <v>2.0</v>
      </c>
      <c r="K493" s="44">
        <v>2.0</v>
      </c>
      <c r="L493" s="44">
        <v>1.0</v>
      </c>
      <c r="M493" s="66">
        <v>2.02</v>
      </c>
      <c r="N493" s="67" t="s">
        <v>764</v>
      </c>
      <c r="O493" s="43" t="s">
        <v>1145</v>
      </c>
      <c r="P493" s="43" t="s">
        <v>1146</v>
      </c>
      <c r="Q493" s="43" t="s">
        <v>1147</v>
      </c>
    </row>
    <row r="494" ht="15.75" customHeight="1">
      <c r="A494" s="43" t="s">
        <v>1800</v>
      </c>
      <c r="B494" s="43" t="s">
        <v>581</v>
      </c>
      <c r="C494" s="43" t="s">
        <v>489</v>
      </c>
      <c r="D494" s="43" t="s">
        <v>721</v>
      </c>
      <c r="E494" s="43" t="s">
        <v>784</v>
      </c>
      <c r="F494" s="43" t="s">
        <v>751</v>
      </c>
      <c r="G494" s="44">
        <v>2024.0</v>
      </c>
      <c r="H494" s="44">
        <v>0.1168</v>
      </c>
      <c r="I494" s="44">
        <v>0.1495</v>
      </c>
      <c r="J494" s="44">
        <v>2.0</v>
      </c>
      <c r="K494" s="44">
        <v>2.0</v>
      </c>
      <c r="L494" s="44">
        <v>1.0</v>
      </c>
      <c r="M494" s="66">
        <v>15.5</v>
      </c>
      <c r="N494" s="67" t="s">
        <v>764</v>
      </c>
      <c r="O494" s="43" t="s">
        <v>1145</v>
      </c>
      <c r="P494" s="43" t="s">
        <v>1146</v>
      </c>
      <c r="Q494" s="43" t="s">
        <v>1147</v>
      </c>
    </row>
    <row r="495" ht="15.75" customHeight="1">
      <c r="A495" s="43" t="s">
        <v>1802</v>
      </c>
      <c r="B495" s="43" t="s">
        <v>605</v>
      </c>
      <c r="C495" s="43" t="s">
        <v>483</v>
      </c>
      <c r="D495" s="43" t="s">
        <v>803</v>
      </c>
      <c r="E495" s="43" t="s">
        <v>817</v>
      </c>
      <c r="F495" s="43" t="s">
        <v>798</v>
      </c>
      <c r="G495" s="44">
        <v>2023.0</v>
      </c>
      <c r="H495" s="44">
        <v>0.0794</v>
      </c>
      <c r="I495" s="44">
        <v>0.1027</v>
      </c>
      <c r="J495" s="44">
        <v>4.0</v>
      </c>
      <c r="K495" s="44">
        <v>3.0</v>
      </c>
      <c r="L495" s="44">
        <v>1.0</v>
      </c>
      <c r="M495" s="66">
        <v>0.4145</v>
      </c>
      <c r="N495" s="67" t="s">
        <v>764</v>
      </c>
      <c r="O495" s="43" t="s">
        <v>1145</v>
      </c>
      <c r="P495" s="43" t="s">
        <v>1146</v>
      </c>
      <c r="Q495" s="43" t="s">
        <v>1147</v>
      </c>
    </row>
    <row r="496" ht="15.75" customHeight="1">
      <c r="A496" s="43" t="s">
        <v>1803</v>
      </c>
      <c r="B496" s="43" t="s">
        <v>605</v>
      </c>
      <c r="C496" s="43" t="s">
        <v>279</v>
      </c>
      <c r="D496" s="43" t="s">
        <v>956</v>
      </c>
      <c r="E496" s="43" t="s">
        <v>842</v>
      </c>
      <c r="F496" s="43" t="s">
        <v>751</v>
      </c>
      <c r="G496" s="44">
        <v>2024.0</v>
      </c>
      <c r="H496" s="44">
        <v>0.3259</v>
      </c>
      <c r="I496" s="44">
        <v>0.4233</v>
      </c>
      <c r="J496" s="44">
        <v>5.0</v>
      </c>
      <c r="K496" s="44">
        <v>3.0</v>
      </c>
      <c r="L496" s="44">
        <v>1.0</v>
      </c>
      <c r="M496" s="66">
        <v>25.15</v>
      </c>
      <c r="N496" s="67" t="s">
        <v>764</v>
      </c>
      <c r="O496" s="43" t="s">
        <v>1145</v>
      </c>
      <c r="P496" s="43" t="s">
        <v>1146</v>
      </c>
      <c r="Q496" s="43" t="s">
        <v>1147</v>
      </c>
    </row>
    <row r="497" ht="15.75" customHeight="1">
      <c r="A497" s="43" t="s">
        <v>1805</v>
      </c>
      <c r="B497" s="43" t="s">
        <v>581</v>
      </c>
      <c r="C497" s="43" t="s">
        <v>436</v>
      </c>
      <c r="D497" s="43" t="s">
        <v>793</v>
      </c>
      <c r="E497" s="43" t="s">
        <v>749</v>
      </c>
      <c r="F497" s="43" t="s">
        <v>751</v>
      </c>
      <c r="G497" s="44">
        <v>2024.0</v>
      </c>
      <c r="H497" s="44">
        <v>0.0125</v>
      </c>
      <c r="I497" s="44">
        <v>0.0158</v>
      </c>
      <c r="J497" s="44">
        <v>2.0</v>
      </c>
      <c r="K497" s="44">
        <v>2.0</v>
      </c>
      <c r="L497" s="44">
        <v>1.0</v>
      </c>
      <c r="M497" s="66">
        <v>0.9</v>
      </c>
      <c r="N497" s="67" t="s">
        <v>764</v>
      </c>
      <c r="O497" s="43" t="s">
        <v>1145</v>
      </c>
      <c r="P497" s="43" t="s">
        <v>1146</v>
      </c>
      <c r="Q497" s="43" t="s">
        <v>1147</v>
      </c>
    </row>
    <row r="498" ht="15.75" customHeight="1">
      <c r="A498" s="43" t="s">
        <v>1807</v>
      </c>
      <c r="B498" s="43" t="s">
        <v>581</v>
      </c>
      <c r="C498" s="43" t="s">
        <v>123</v>
      </c>
      <c r="D498" s="43" t="s">
        <v>782</v>
      </c>
      <c r="E498" s="43" t="s">
        <v>842</v>
      </c>
      <c r="F498" s="43" t="s">
        <v>751</v>
      </c>
      <c r="G498" s="44">
        <v>2024.0</v>
      </c>
      <c r="H498" s="44">
        <v>1.707</v>
      </c>
      <c r="I498" s="44">
        <v>1.8748</v>
      </c>
      <c r="J498" s="44">
        <v>15.0</v>
      </c>
      <c r="K498" s="44">
        <v>11.0</v>
      </c>
      <c r="L498" s="44">
        <v>2.0</v>
      </c>
      <c r="M498" s="66">
        <v>147.24</v>
      </c>
      <c r="N498" s="67" t="s">
        <v>764</v>
      </c>
      <c r="O498" s="43" t="s">
        <v>1145</v>
      </c>
      <c r="P498" s="43" t="s">
        <v>1146</v>
      </c>
      <c r="Q498" s="43" t="s">
        <v>1147</v>
      </c>
    </row>
    <row r="499" ht="15.75" customHeight="1">
      <c r="A499" s="43" t="s">
        <v>1809</v>
      </c>
      <c r="B499" s="43" t="s">
        <v>596</v>
      </c>
      <c r="C499" s="43" t="s">
        <v>507</v>
      </c>
      <c r="D499" s="43" t="s">
        <v>864</v>
      </c>
      <c r="E499" s="43" t="s">
        <v>817</v>
      </c>
      <c r="F499" s="43" t="s">
        <v>798</v>
      </c>
      <c r="G499" s="44">
        <v>2023.0</v>
      </c>
      <c r="H499" s="44">
        <v>0.0303</v>
      </c>
      <c r="I499" s="44">
        <v>0.0349</v>
      </c>
      <c r="J499" s="44">
        <v>2.0</v>
      </c>
      <c r="K499" s="44">
        <v>1.0</v>
      </c>
      <c r="L499" s="44">
        <v>1.0</v>
      </c>
      <c r="M499" s="66">
        <v>0.207</v>
      </c>
      <c r="N499" s="67" t="s">
        <v>764</v>
      </c>
      <c r="O499" s="43" t="s">
        <v>1145</v>
      </c>
      <c r="P499" s="43" t="s">
        <v>1146</v>
      </c>
      <c r="Q499" s="43" t="s">
        <v>1147</v>
      </c>
    </row>
    <row r="500" ht="15.75" customHeight="1">
      <c r="A500" s="43" t="s">
        <v>1810</v>
      </c>
      <c r="B500" s="43" t="s">
        <v>577</v>
      </c>
      <c r="C500" s="43" t="s">
        <v>457</v>
      </c>
      <c r="D500" s="43" t="s">
        <v>621</v>
      </c>
      <c r="E500" s="43" t="s">
        <v>797</v>
      </c>
      <c r="F500" s="43" t="s">
        <v>798</v>
      </c>
      <c r="G500" s="44">
        <v>2023.0</v>
      </c>
      <c r="H500" s="44">
        <v>0.0872</v>
      </c>
      <c r="I500" s="44">
        <v>0.0993</v>
      </c>
      <c r="J500" s="44">
        <v>2.0</v>
      </c>
      <c r="K500" s="44">
        <v>1.0</v>
      </c>
      <c r="L500" s="44">
        <v>1.0</v>
      </c>
      <c r="M500" s="66">
        <v>0.4239</v>
      </c>
      <c r="N500" s="67" t="s">
        <v>764</v>
      </c>
      <c r="O500" s="43" t="s">
        <v>1145</v>
      </c>
      <c r="P500" s="43" t="s">
        <v>1146</v>
      </c>
      <c r="Q500" s="43" t="s">
        <v>1147</v>
      </c>
    </row>
    <row r="501" ht="15.75" customHeight="1">
      <c r="A501" s="43" t="s">
        <v>1812</v>
      </c>
      <c r="B501" s="43" t="s">
        <v>581</v>
      </c>
      <c r="C501" s="43" t="s">
        <v>430</v>
      </c>
      <c r="D501" s="43" t="s">
        <v>741</v>
      </c>
      <c r="E501" s="43" t="s">
        <v>817</v>
      </c>
      <c r="F501" s="43" t="s">
        <v>798</v>
      </c>
      <c r="G501" s="44">
        <v>2023.0</v>
      </c>
      <c r="H501" s="44">
        <v>0.0388</v>
      </c>
      <c r="I501" s="44">
        <v>0.0444</v>
      </c>
      <c r="J501" s="44">
        <v>2.0</v>
      </c>
      <c r="K501" s="44">
        <v>2.0</v>
      </c>
      <c r="L501" s="44">
        <v>1.0</v>
      </c>
      <c r="M501" s="66">
        <v>0.1771</v>
      </c>
      <c r="N501" s="67" t="s">
        <v>764</v>
      </c>
      <c r="O501" s="43" t="s">
        <v>1145</v>
      </c>
      <c r="P501" s="43" t="s">
        <v>1146</v>
      </c>
      <c r="Q501" s="43" t="s">
        <v>1147</v>
      </c>
    </row>
    <row r="502" ht="15.75" customHeight="1">
      <c r="A502" s="43" t="s">
        <v>1814</v>
      </c>
      <c r="B502" s="43" t="s">
        <v>581</v>
      </c>
      <c r="C502" s="43" t="s">
        <v>436</v>
      </c>
      <c r="D502" s="43" t="s">
        <v>793</v>
      </c>
      <c r="E502" s="43" t="s">
        <v>817</v>
      </c>
      <c r="F502" s="43" t="s">
        <v>798</v>
      </c>
      <c r="G502" s="44">
        <v>2023.0</v>
      </c>
      <c r="H502" s="44">
        <v>0.0337</v>
      </c>
      <c r="I502" s="44">
        <v>0.0454</v>
      </c>
      <c r="J502" s="44">
        <v>2.0</v>
      </c>
      <c r="K502" s="44">
        <v>1.0</v>
      </c>
      <c r="L502" s="44">
        <v>1.0</v>
      </c>
      <c r="M502" s="66">
        <v>0.1553</v>
      </c>
      <c r="N502" s="67" t="s">
        <v>764</v>
      </c>
      <c r="O502" s="43" t="s">
        <v>1145</v>
      </c>
      <c r="P502" s="43" t="s">
        <v>1146</v>
      </c>
      <c r="Q502" s="43" t="s">
        <v>1147</v>
      </c>
    </row>
    <row r="503" ht="15.75" customHeight="1">
      <c r="A503" s="43" t="s">
        <v>1816</v>
      </c>
      <c r="B503" s="43" t="s">
        <v>577</v>
      </c>
      <c r="C503" s="43" t="s">
        <v>237</v>
      </c>
      <c r="D503" s="43" t="s">
        <v>669</v>
      </c>
      <c r="E503" s="43" t="s">
        <v>836</v>
      </c>
      <c r="F503" s="43" t="s">
        <v>798</v>
      </c>
      <c r="G503" s="44">
        <v>2023.0</v>
      </c>
      <c r="H503" s="44">
        <v>0.1524</v>
      </c>
      <c r="I503" s="44">
        <v>0.1888</v>
      </c>
      <c r="J503" s="44">
        <v>3.0</v>
      </c>
      <c r="K503" s="44">
        <v>2.0</v>
      </c>
      <c r="L503" s="44">
        <v>1.0</v>
      </c>
      <c r="M503" s="66">
        <v>1.8631</v>
      </c>
      <c r="N503" s="67" t="s">
        <v>764</v>
      </c>
      <c r="O503" s="43" t="s">
        <v>1145</v>
      </c>
      <c r="P503" s="43" t="s">
        <v>1146</v>
      </c>
      <c r="Q503" s="43" t="s">
        <v>1147</v>
      </c>
    </row>
    <row r="504" ht="15.75" customHeight="1">
      <c r="A504" s="43" t="s">
        <v>1818</v>
      </c>
      <c r="B504" s="43" t="s">
        <v>596</v>
      </c>
      <c r="C504" s="43" t="s">
        <v>507</v>
      </c>
      <c r="D504" s="43" t="s">
        <v>864</v>
      </c>
      <c r="E504" s="43" t="s">
        <v>749</v>
      </c>
      <c r="F504" s="43" t="s">
        <v>751</v>
      </c>
      <c r="G504" s="44">
        <v>2024.0</v>
      </c>
      <c r="H504" s="44">
        <v>0.0048</v>
      </c>
      <c r="I504" s="44">
        <v>0.0054</v>
      </c>
      <c r="J504" s="44">
        <v>2.0</v>
      </c>
      <c r="K504" s="44">
        <v>2.0</v>
      </c>
      <c r="L504" s="44">
        <v>1.0</v>
      </c>
      <c r="M504" s="66">
        <v>0.41</v>
      </c>
      <c r="N504" s="67" t="s">
        <v>764</v>
      </c>
      <c r="O504" s="43" t="s">
        <v>1145</v>
      </c>
      <c r="P504" s="43" t="s">
        <v>1146</v>
      </c>
      <c r="Q504" s="43" t="s">
        <v>1147</v>
      </c>
    </row>
    <row r="505" ht="15.75" customHeight="1">
      <c r="A505" s="43" t="s">
        <v>1820</v>
      </c>
      <c r="B505" s="43" t="s">
        <v>577</v>
      </c>
      <c r="C505" s="43" t="s">
        <v>51</v>
      </c>
      <c r="D505" s="43" t="s">
        <v>641</v>
      </c>
      <c r="E505" s="43" t="s">
        <v>817</v>
      </c>
      <c r="F505" s="43" t="s">
        <v>798</v>
      </c>
      <c r="G505" s="44">
        <v>2023.0</v>
      </c>
      <c r="H505" s="44">
        <v>0.0882</v>
      </c>
      <c r="I505" s="44">
        <v>0.1086</v>
      </c>
      <c r="J505" s="44">
        <v>5.0</v>
      </c>
      <c r="K505" s="44">
        <v>4.0</v>
      </c>
      <c r="L505" s="44">
        <v>1.0</v>
      </c>
      <c r="M505" s="66">
        <v>0.4361</v>
      </c>
      <c r="N505" s="67" t="s">
        <v>764</v>
      </c>
      <c r="O505" s="43" t="s">
        <v>1145</v>
      </c>
      <c r="P505" s="43" t="s">
        <v>1146</v>
      </c>
      <c r="Q505" s="43" t="s">
        <v>1147</v>
      </c>
    </row>
    <row r="506" ht="15.75" customHeight="1">
      <c r="A506" s="43" t="s">
        <v>1822</v>
      </c>
      <c r="B506" s="43" t="s">
        <v>577</v>
      </c>
      <c r="C506" s="43" t="s">
        <v>499</v>
      </c>
      <c r="D506" s="43" t="s">
        <v>651</v>
      </c>
      <c r="E506" s="43" t="s">
        <v>817</v>
      </c>
      <c r="F506" s="43" t="s">
        <v>798</v>
      </c>
      <c r="G506" s="44">
        <v>2023.0</v>
      </c>
      <c r="H506" s="44">
        <v>0.0914</v>
      </c>
      <c r="I506" s="44">
        <v>0.1164</v>
      </c>
      <c r="J506" s="44">
        <v>2.0</v>
      </c>
      <c r="K506" s="44">
        <v>1.0</v>
      </c>
      <c r="L506" s="44">
        <v>1.0</v>
      </c>
      <c r="M506" s="66">
        <v>0.4024</v>
      </c>
      <c r="N506" s="67" t="s">
        <v>764</v>
      </c>
      <c r="O506" s="43" t="s">
        <v>1145</v>
      </c>
      <c r="P506" s="43" t="s">
        <v>1146</v>
      </c>
      <c r="Q506" s="43" t="s">
        <v>1147</v>
      </c>
    </row>
    <row r="507" ht="15.75" customHeight="1">
      <c r="A507" s="43" t="s">
        <v>1823</v>
      </c>
      <c r="B507" s="43" t="s">
        <v>577</v>
      </c>
      <c r="C507" s="43" t="s">
        <v>463</v>
      </c>
      <c r="D507" s="43" t="s">
        <v>662</v>
      </c>
      <c r="E507" s="43" t="s">
        <v>784</v>
      </c>
      <c r="F507" s="43" t="s">
        <v>751</v>
      </c>
      <c r="G507" s="44">
        <v>2024.0</v>
      </c>
      <c r="H507" s="44">
        <v>1.1912</v>
      </c>
      <c r="I507" s="44">
        <v>1.3891</v>
      </c>
      <c r="J507" s="44">
        <v>14.0</v>
      </c>
      <c r="K507" s="44">
        <v>9.0</v>
      </c>
      <c r="L507" s="44">
        <v>2.0</v>
      </c>
      <c r="M507" s="66">
        <v>97.95</v>
      </c>
      <c r="N507" s="67" t="s">
        <v>764</v>
      </c>
      <c r="O507" s="43" t="s">
        <v>1145</v>
      </c>
      <c r="P507" s="43" t="s">
        <v>1146</v>
      </c>
      <c r="Q507" s="43" t="s">
        <v>1147</v>
      </c>
    </row>
    <row r="508" ht="15.75" customHeight="1">
      <c r="A508" s="43" t="s">
        <v>1825</v>
      </c>
      <c r="B508" s="43" t="s">
        <v>581</v>
      </c>
      <c r="C508" s="43" t="s">
        <v>503</v>
      </c>
      <c r="D508" s="43" t="s">
        <v>745</v>
      </c>
      <c r="E508" s="43" t="s">
        <v>826</v>
      </c>
      <c r="F508" s="43" t="s">
        <v>751</v>
      </c>
      <c r="G508" s="44">
        <v>2024.0</v>
      </c>
      <c r="H508" s="44">
        <v>2.136</v>
      </c>
      <c r="I508" s="44">
        <v>2.5832</v>
      </c>
      <c r="J508" s="44">
        <v>19.0</v>
      </c>
      <c r="K508" s="44">
        <v>14.0</v>
      </c>
      <c r="L508" s="44">
        <v>2.0</v>
      </c>
      <c r="M508" s="66">
        <v>146.71</v>
      </c>
      <c r="N508" s="67" t="s">
        <v>764</v>
      </c>
      <c r="O508" s="43" t="s">
        <v>1145</v>
      </c>
      <c r="P508" s="43" t="s">
        <v>1146</v>
      </c>
      <c r="Q508" s="43" t="s">
        <v>1147</v>
      </c>
    </row>
    <row r="509" ht="15.75" customHeight="1">
      <c r="A509" s="43" t="s">
        <v>1827</v>
      </c>
      <c r="B509" s="43" t="s">
        <v>596</v>
      </c>
      <c r="C509" s="43" t="s">
        <v>211</v>
      </c>
      <c r="D509" s="43" t="s">
        <v>868</v>
      </c>
      <c r="E509" s="43" t="s">
        <v>784</v>
      </c>
      <c r="F509" s="43" t="s">
        <v>751</v>
      </c>
      <c r="G509" s="44">
        <v>2024.0</v>
      </c>
      <c r="H509" s="44">
        <v>1.9433</v>
      </c>
      <c r="I509" s="44">
        <v>2.4903</v>
      </c>
      <c r="J509" s="44">
        <v>18.0</v>
      </c>
      <c r="K509" s="44">
        <v>13.0</v>
      </c>
      <c r="L509" s="44">
        <v>2.0</v>
      </c>
      <c r="M509" s="66">
        <v>141.06</v>
      </c>
      <c r="N509" s="67" t="s">
        <v>764</v>
      </c>
      <c r="O509" s="43" t="s">
        <v>1145</v>
      </c>
      <c r="P509" s="43" t="s">
        <v>1146</v>
      </c>
      <c r="Q509" s="43" t="s">
        <v>1147</v>
      </c>
    </row>
    <row r="510" ht="15.75" customHeight="1">
      <c r="A510" s="43" t="s">
        <v>1829</v>
      </c>
      <c r="B510" s="43" t="s">
        <v>596</v>
      </c>
      <c r="C510" s="43" t="s">
        <v>392</v>
      </c>
      <c r="D510" s="43" t="s">
        <v>838</v>
      </c>
      <c r="E510" s="43" t="s">
        <v>817</v>
      </c>
      <c r="F510" s="43" t="s">
        <v>798</v>
      </c>
      <c r="G510" s="44">
        <v>2023.0</v>
      </c>
      <c r="H510" s="44">
        <v>0.1558</v>
      </c>
      <c r="I510" s="44">
        <v>0.1815</v>
      </c>
      <c r="J510" s="44">
        <v>4.0</v>
      </c>
      <c r="K510" s="44">
        <v>3.0</v>
      </c>
      <c r="L510" s="44">
        <v>1.0</v>
      </c>
      <c r="M510" s="66">
        <v>0.6898</v>
      </c>
      <c r="N510" s="67" t="s">
        <v>764</v>
      </c>
      <c r="O510" s="43" t="s">
        <v>1145</v>
      </c>
      <c r="P510" s="43" t="s">
        <v>1146</v>
      </c>
      <c r="Q510" s="43" t="s">
        <v>1147</v>
      </c>
    </row>
    <row r="511" ht="15.75" customHeight="1">
      <c r="A511" s="43" t="s">
        <v>1830</v>
      </c>
      <c r="B511" s="43" t="s">
        <v>577</v>
      </c>
      <c r="C511" s="43" t="s">
        <v>328</v>
      </c>
      <c r="D511" s="43" t="s">
        <v>699</v>
      </c>
      <c r="E511" s="43" t="s">
        <v>784</v>
      </c>
      <c r="F511" s="43" t="s">
        <v>751</v>
      </c>
      <c r="G511" s="44">
        <v>2024.0</v>
      </c>
      <c r="H511" s="44">
        <v>0.3725</v>
      </c>
      <c r="I511" s="44">
        <v>0.4385</v>
      </c>
      <c r="J511" s="44">
        <v>2.0</v>
      </c>
      <c r="K511" s="44">
        <v>1.0</v>
      </c>
      <c r="L511" s="44">
        <v>1.0</v>
      </c>
      <c r="M511" s="66">
        <v>33.17</v>
      </c>
      <c r="N511" s="67" t="s">
        <v>764</v>
      </c>
      <c r="O511" s="43" t="s">
        <v>1145</v>
      </c>
      <c r="P511" s="43" t="s">
        <v>1146</v>
      </c>
      <c r="Q511" s="43" t="s">
        <v>1147</v>
      </c>
    </row>
    <row r="512" ht="15.75" customHeight="1">
      <c r="A512" s="43" t="s">
        <v>1832</v>
      </c>
      <c r="B512" s="43" t="s">
        <v>577</v>
      </c>
      <c r="C512" s="43" t="s">
        <v>185</v>
      </c>
      <c r="D512" s="43" t="s">
        <v>695</v>
      </c>
      <c r="E512" s="43" t="s">
        <v>749</v>
      </c>
      <c r="F512" s="43" t="s">
        <v>751</v>
      </c>
      <c r="G512" s="44">
        <v>2024.0</v>
      </c>
      <c r="H512" s="44">
        <v>0.0206</v>
      </c>
      <c r="I512" s="44">
        <v>0.0273</v>
      </c>
      <c r="J512" s="44">
        <v>2.0</v>
      </c>
      <c r="K512" s="44">
        <v>2.0</v>
      </c>
      <c r="L512" s="44">
        <v>1.0</v>
      </c>
      <c r="M512" s="66">
        <v>1.88</v>
      </c>
      <c r="N512" s="67" t="s">
        <v>764</v>
      </c>
      <c r="O512" s="43" t="s">
        <v>1145</v>
      </c>
      <c r="P512" s="43" t="s">
        <v>1146</v>
      </c>
      <c r="Q512" s="43" t="s">
        <v>1147</v>
      </c>
    </row>
    <row r="513" ht="15.75" customHeight="1"/>
    <row r="514" ht="15.75" customHeight="1"/>
    <row r="515" ht="15.75" customHeight="1"/>
    <row r="516" ht="15.75" customHeight="1">
      <c r="A516" s="25" t="s">
        <v>2193</v>
      </c>
    </row>
    <row r="517" ht="15.75" customHeight="1">
      <c r="A517" s="85" t="s">
        <v>2194</v>
      </c>
    </row>
    <row r="518" ht="15.75" customHeight="1">
      <c r="A518" s="85" t="s">
        <v>2195</v>
      </c>
    </row>
    <row r="519" ht="15.75" customHeight="1">
      <c r="A519" s="85" t="s">
        <v>2196</v>
      </c>
    </row>
    <row r="520" ht="15.75" customHeight="1">
      <c r="A520" s="85" t="s">
        <v>2197</v>
      </c>
    </row>
    <row r="521" ht="15.75" customHeight="1">
      <c r="A521" s="85" t="s">
        <v>2198</v>
      </c>
    </row>
    <row r="522" ht="15.75" customHeight="1">
      <c r="A522" s="85" t="s">
        <v>2199</v>
      </c>
    </row>
    <row r="523" ht="15.75" customHeight="1">
      <c r="A523" s="85" t="s">
        <v>2200</v>
      </c>
    </row>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517"/>
    <hyperlink r:id="rId2" ref="A518"/>
    <hyperlink r:id="rId3" ref="A519"/>
    <hyperlink r:id="rId4" ref="A520"/>
    <hyperlink r:id="rId5" ref="A521"/>
    <hyperlink r:id="rId6" ref="A522"/>
    <hyperlink r:id="rId7" ref="A523"/>
  </hyperlinks>
  <drawing r:id="rId8"/>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38"/>
    <col customWidth="1" min="2" max="3" width="12.63"/>
    <col customWidth="1" min="4" max="4" width="18.13"/>
    <col customWidth="1" min="5" max="5" width="24.25"/>
    <col customWidth="1" min="6" max="6" width="22.63"/>
    <col customWidth="1" min="7" max="7" width="17.38"/>
    <col customWidth="1" min="9" max="9" width="19.38"/>
  </cols>
  <sheetData>
    <row r="1" ht="15.75" customHeight="1">
      <c r="A1" s="73" t="s">
        <v>712</v>
      </c>
      <c r="B1" s="73" t="s">
        <v>1862</v>
      </c>
      <c r="C1" s="73" t="s">
        <v>720</v>
      </c>
      <c r="D1" s="74" t="s">
        <v>727</v>
      </c>
      <c r="E1" s="74" t="s">
        <v>728</v>
      </c>
      <c r="F1" s="74" t="s">
        <v>731</v>
      </c>
      <c r="G1" s="74" t="s">
        <v>737</v>
      </c>
      <c r="H1" s="73" t="s">
        <v>1864</v>
      </c>
      <c r="I1" s="74" t="s">
        <v>1865</v>
      </c>
      <c r="J1" s="74" t="s">
        <v>1866</v>
      </c>
      <c r="K1" s="73" t="s">
        <v>1868</v>
      </c>
      <c r="L1" s="73" t="s">
        <v>1869</v>
      </c>
      <c r="M1" s="73" t="s">
        <v>27</v>
      </c>
      <c r="N1" s="73" t="s">
        <v>1137</v>
      </c>
    </row>
    <row r="2" ht="15.75" customHeight="1">
      <c r="A2" s="25" t="s">
        <v>1870</v>
      </c>
      <c r="B2" s="25" t="s">
        <v>1871</v>
      </c>
      <c r="C2" s="25" t="s">
        <v>749</v>
      </c>
      <c r="D2" s="75" t="s">
        <v>1872</v>
      </c>
      <c r="E2" s="75"/>
      <c r="F2" s="75">
        <v>15.0</v>
      </c>
      <c r="G2" s="75">
        <v>58.0</v>
      </c>
      <c r="H2" s="25" t="s">
        <v>764</v>
      </c>
      <c r="I2" s="75">
        <v>2024.0</v>
      </c>
      <c r="J2" s="75">
        <v>2023.0</v>
      </c>
      <c r="K2" s="25" t="s">
        <v>1874</v>
      </c>
      <c r="L2" s="25" t="s">
        <v>1875</v>
      </c>
      <c r="M2" s="25" t="s">
        <v>1876</v>
      </c>
    </row>
    <row r="3" ht="15.75" customHeight="1">
      <c r="A3" s="25" t="s">
        <v>1877</v>
      </c>
      <c r="B3" s="25" t="s">
        <v>1871</v>
      </c>
      <c r="C3" s="25" t="s">
        <v>784</v>
      </c>
      <c r="D3" s="75">
        <v>73.0</v>
      </c>
      <c r="E3" s="75"/>
      <c r="F3" s="75">
        <v>156.0</v>
      </c>
      <c r="G3" s="75">
        <v>6643.0</v>
      </c>
      <c r="H3" s="25" t="s">
        <v>764</v>
      </c>
      <c r="I3" s="75">
        <v>2024.0</v>
      </c>
      <c r="J3" s="75">
        <v>2023.0</v>
      </c>
      <c r="K3" s="25" t="s">
        <v>1874</v>
      </c>
      <c r="L3" s="25" t="s">
        <v>1875</v>
      </c>
      <c r="M3" s="25" t="s">
        <v>1876</v>
      </c>
    </row>
    <row r="4" ht="15.75" customHeight="1">
      <c r="A4" s="25" t="s">
        <v>1879</v>
      </c>
      <c r="B4" s="25" t="s">
        <v>1871</v>
      </c>
      <c r="C4" s="25" t="s">
        <v>826</v>
      </c>
      <c r="D4" s="75"/>
      <c r="E4" s="75"/>
      <c r="F4" s="75">
        <v>1096.0</v>
      </c>
      <c r="G4" s="75"/>
      <c r="H4" s="25" t="s">
        <v>764</v>
      </c>
      <c r="I4" s="75">
        <v>2024.0</v>
      </c>
      <c r="J4" s="75">
        <v>2023.0</v>
      </c>
      <c r="K4" s="25" t="s">
        <v>1874</v>
      </c>
      <c r="L4" s="25" t="s">
        <v>1875</v>
      </c>
      <c r="M4" s="25" t="s">
        <v>1876</v>
      </c>
      <c r="N4" s="25" t="s">
        <v>1881</v>
      </c>
    </row>
    <row r="5" ht="15.75" customHeight="1">
      <c r="A5" s="25" t="s">
        <v>1882</v>
      </c>
      <c r="B5" s="25" t="s">
        <v>1871</v>
      </c>
      <c r="C5" s="25" t="s">
        <v>842</v>
      </c>
      <c r="D5" s="75">
        <v>55.0</v>
      </c>
      <c r="E5" s="75"/>
      <c r="F5" s="75">
        <v>4.0</v>
      </c>
      <c r="G5" s="75">
        <v>4409.0</v>
      </c>
      <c r="H5" s="25" t="s">
        <v>764</v>
      </c>
      <c r="I5" s="75">
        <v>2024.0</v>
      </c>
      <c r="J5" s="75">
        <v>2023.0</v>
      </c>
      <c r="K5" s="25" t="s">
        <v>1874</v>
      </c>
      <c r="L5" s="25" t="s">
        <v>1875</v>
      </c>
      <c r="M5" s="25" t="s">
        <v>1876</v>
      </c>
    </row>
    <row r="6" ht="15.75" customHeight="1">
      <c r="A6" s="25" t="s">
        <v>1884</v>
      </c>
      <c r="B6" s="25" t="s">
        <v>1871</v>
      </c>
      <c r="C6" s="25" t="s">
        <v>1886</v>
      </c>
      <c r="D6" s="75"/>
      <c r="E6" s="75"/>
      <c r="F6" s="75"/>
      <c r="G6" s="75"/>
      <c r="H6" s="25" t="s">
        <v>764</v>
      </c>
      <c r="I6" s="75">
        <v>2024.0</v>
      </c>
      <c r="J6" s="75"/>
      <c r="K6" s="25" t="s">
        <v>1874</v>
      </c>
      <c r="M6" s="25" t="s">
        <v>1876</v>
      </c>
      <c r="N6" s="25" t="s">
        <v>1887</v>
      </c>
    </row>
    <row r="7" ht="15.75" customHeight="1">
      <c r="A7" s="25" t="s">
        <v>1888</v>
      </c>
      <c r="B7" s="25" t="s">
        <v>1871</v>
      </c>
      <c r="C7" s="25" t="s">
        <v>1890</v>
      </c>
      <c r="D7" s="75"/>
      <c r="E7" s="75"/>
      <c r="F7" s="75"/>
      <c r="G7" s="75"/>
      <c r="H7" s="25" t="s">
        <v>764</v>
      </c>
      <c r="I7" s="75">
        <v>2024.0</v>
      </c>
      <c r="J7" s="75"/>
      <c r="K7" s="25" t="s">
        <v>1874</v>
      </c>
      <c r="M7" s="25" t="s">
        <v>1876</v>
      </c>
      <c r="N7" s="25" t="s">
        <v>1887</v>
      </c>
    </row>
    <row r="8" ht="15.75" customHeight="1">
      <c r="A8" s="25" t="s">
        <v>1892</v>
      </c>
      <c r="B8" s="25" t="s">
        <v>1871</v>
      </c>
      <c r="C8" s="25" t="s">
        <v>1893</v>
      </c>
      <c r="D8" s="75"/>
      <c r="E8" s="75"/>
      <c r="F8" s="75"/>
      <c r="G8" s="75"/>
      <c r="H8" s="25" t="s">
        <v>764</v>
      </c>
      <c r="I8" s="75">
        <v>2024.0</v>
      </c>
      <c r="J8" s="75"/>
      <c r="K8" s="25" t="s">
        <v>1874</v>
      </c>
      <c r="M8" s="25" t="s">
        <v>1876</v>
      </c>
      <c r="N8" s="25" t="s">
        <v>1887</v>
      </c>
    </row>
    <row r="9" ht="15.75" customHeight="1">
      <c r="A9" s="25" t="s">
        <v>1894</v>
      </c>
      <c r="B9" s="25" t="s">
        <v>1871</v>
      </c>
      <c r="C9" s="25" t="s">
        <v>1896</v>
      </c>
      <c r="D9" s="75"/>
      <c r="E9" s="75"/>
      <c r="F9" s="75"/>
      <c r="G9" s="75"/>
      <c r="H9" s="25" t="s">
        <v>764</v>
      </c>
      <c r="I9" s="75">
        <v>2024.0</v>
      </c>
      <c r="J9" s="75"/>
      <c r="K9" s="25" t="s">
        <v>1874</v>
      </c>
      <c r="L9" s="25" t="s">
        <v>1875</v>
      </c>
      <c r="M9" s="25" t="s">
        <v>1876</v>
      </c>
      <c r="N9" s="25" t="s">
        <v>1898</v>
      </c>
    </row>
    <row r="10" ht="15.75" customHeight="1">
      <c r="A10" s="25" t="s">
        <v>1899</v>
      </c>
      <c r="B10" s="25" t="s">
        <v>1871</v>
      </c>
      <c r="C10" s="25" t="s">
        <v>1900</v>
      </c>
      <c r="D10" s="75"/>
      <c r="E10" s="75"/>
      <c r="F10" s="75"/>
      <c r="G10" s="75"/>
      <c r="H10" s="25" t="s">
        <v>764</v>
      </c>
      <c r="I10" s="75">
        <v>2024.0</v>
      </c>
      <c r="J10" s="75"/>
      <c r="K10" s="25" t="s">
        <v>1874</v>
      </c>
      <c r="M10" s="25" t="s">
        <v>1876</v>
      </c>
      <c r="N10" s="25" t="s">
        <v>1887</v>
      </c>
    </row>
    <row r="11" ht="15.75" customHeight="1">
      <c r="A11" s="25" t="s">
        <v>1902</v>
      </c>
      <c r="B11" s="25" t="s">
        <v>1871</v>
      </c>
      <c r="C11" s="25" t="s">
        <v>1903</v>
      </c>
      <c r="D11" s="75"/>
      <c r="E11" s="75"/>
      <c r="F11" s="75"/>
      <c r="G11" s="75"/>
      <c r="H11" s="25" t="s">
        <v>764</v>
      </c>
      <c r="I11" s="75">
        <v>2024.0</v>
      </c>
      <c r="J11" s="75"/>
      <c r="K11" s="25" t="s">
        <v>1874</v>
      </c>
      <c r="M11" s="25" t="s">
        <v>1876</v>
      </c>
      <c r="N11" s="25" t="s">
        <v>1887</v>
      </c>
    </row>
    <row r="12" ht="15.75" customHeight="1">
      <c r="A12" s="25" t="s">
        <v>1905</v>
      </c>
      <c r="B12" s="25" t="s">
        <v>1871</v>
      </c>
      <c r="C12" s="25" t="s">
        <v>836</v>
      </c>
      <c r="D12" s="75"/>
      <c r="E12" s="75"/>
      <c r="F12" s="75"/>
      <c r="G12" s="75">
        <v>19896.0</v>
      </c>
      <c r="H12" s="25" t="s">
        <v>60</v>
      </c>
      <c r="I12" s="75">
        <v>2023.0</v>
      </c>
      <c r="J12" s="75"/>
      <c r="K12" s="25" t="s">
        <v>1906</v>
      </c>
      <c r="M12" s="25" t="s">
        <v>1876</v>
      </c>
      <c r="N12" s="25" t="s">
        <v>1907</v>
      </c>
    </row>
    <row r="13" ht="15.75" customHeight="1">
      <c r="A13" s="25" t="s">
        <v>1909</v>
      </c>
      <c r="B13" s="25" t="s">
        <v>1871</v>
      </c>
      <c r="C13" s="25" t="s">
        <v>1910</v>
      </c>
      <c r="D13" s="75"/>
      <c r="E13" s="75"/>
      <c r="F13" s="75"/>
      <c r="G13" s="75"/>
      <c r="H13" s="25" t="s">
        <v>60</v>
      </c>
      <c r="I13" s="75">
        <v>2023.0</v>
      </c>
      <c r="J13" s="75"/>
      <c r="K13" s="25" t="s">
        <v>1906</v>
      </c>
      <c r="M13" s="25" t="s">
        <v>1876</v>
      </c>
      <c r="N13" s="25" t="s">
        <v>1887</v>
      </c>
    </row>
    <row r="14" ht="15.75" customHeight="1">
      <c r="A14" s="25" t="s">
        <v>1911</v>
      </c>
      <c r="B14" s="25" t="s">
        <v>1871</v>
      </c>
      <c r="C14" s="25" t="s">
        <v>797</v>
      </c>
      <c r="D14" s="75"/>
      <c r="E14" s="75"/>
      <c r="F14" s="75"/>
      <c r="G14" s="75">
        <v>2497.0</v>
      </c>
      <c r="H14" s="25" t="s">
        <v>60</v>
      </c>
      <c r="I14" s="75">
        <v>2023.0</v>
      </c>
      <c r="J14" s="75"/>
      <c r="K14" s="25" t="s">
        <v>1906</v>
      </c>
      <c r="M14" s="25" t="s">
        <v>1876</v>
      </c>
    </row>
    <row r="15" ht="15.75" customHeight="1">
      <c r="A15" s="25" t="s">
        <v>1913</v>
      </c>
      <c r="B15" s="25" t="s">
        <v>1871</v>
      </c>
      <c r="C15" s="25" t="s">
        <v>817</v>
      </c>
      <c r="D15" s="75"/>
      <c r="E15" s="75"/>
      <c r="F15" s="75">
        <v>1.0</v>
      </c>
      <c r="G15" s="75">
        <v>4429.0</v>
      </c>
      <c r="H15" s="25" t="s">
        <v>60</v>
      </c>
      <c r="I15" s="75">
        <v>2023.0</v>
      </c>
      <c r="J15" s="75">
        <v>2023.0</v>
      </c>
      <c r="K15" s="25" t="s">
        <v>1906</v>
      </c>
      <c r="L15" s="25" t="s">
        <v>1875</v>
      </c>
      <c r="M15" s="25" t="s">
        <v>1876</v>
      </c>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25"/>
    <col customWidth="1" min="2" max="6" width="12.63"/>
  </cols>
  <sheetData>
    <row r="1" ht="15.75" customHeight="1">
      <c r="A1" s="29" t="s">
        <v>558</v>
      </c>
      <c r="B1" s="29" t="s">
        <v>559</v>
      </c>
      <c r="C1" s="30" t="s">
        <v>560</v>
      </c>
      <c r="D1" s="30" t="s">
        <v>562</v>
      </c>
      <c r="E1" s="30" t="s">
        <v>563</v>
      </c>
      <c r="F1" s="30" t="s">
        <v>564</v>
      </c>
      <c r="G1" s="29" t="s">
        <v>565</v>
      </c>
      <c r="H1" s="29" t="s">
        <v>566</v>
      </c>
      <c r="I1" s="29" t="s">
        <v>567</v>
      </c>
      <c r="J1" s="29" t="s">
        <v>568</v>
      </c>
      <c r="K1" s="30" t="s">
        <v>569</v>
      </c>
      <c r="L1" s="30" t="s">
        <v>570</v>
      </c>
      <c r="M1" s="30" t="s">
        <v>572</v>
      </c>
      <c r="N1" s="30" t="s">
        <v>573</v>
      </c>
      <c r="O1" s="29" t="s">
        <v>574</v>
      </c>
      <c r="P1" s="29" t="s">
        <v>575</v>
      </c>
      <c r="Q1" s="29" t="s">
        <v>1981</v>
      </c>
      <c r="R1" s="29" t="s">
        <v>1982</v>
      </c>
      <c r="S1" s="7"/>
      <c r="T1" s="7"/>
      <c r="U1" s="7"/>
      <c r="V1" s="7"/>
      <c r="W1" s="7"/>
      <c r="X1" s="7"/>
      <c r="Y1" s="7"/>
      <c r="Z1" s="7"/>
    </row>
    <row r="2" ht="15.75" customHeight="1">
      <c r="A2" s="7" t="s">
        <v>576</v>
      </c>
      <c r="B2" s="7" t="s">
        <v>577</v>
      </c>
      <c r="C2" s="31">
        <v>847.0</v>
      </c>
      <c r="D2" s="31">
        <v>22.0</v>
      </c>
      <c r="E2" s="31">
        <v>44.0</v>
      </c>
      <c r="F2" s="31">
        <v>91.0</v>
      </c>
      <c r="G2" s="7" t="s">
        <v>579</v>
      </c>
      <c r="H2" s="7" t="s">
        <v>580</v>
      </c>
      <c r="I2" s="7" t="s">
        <v>581</v>
      </c>
      <c r="J2" s="7" t="s">
        <v>582</v>
      </c>
      <c r="K2" s="31" t="s">
        <v>583</v>
      </c>
      <c r="L2" s="31">
        <v>20.0</v>
      </c>
      <c r="M2" s="31">
        <v>27.0</v>
      </c>
      <c r="N2" s="31">
        <v>530.0</v>
      </c>
      <c r="O2" s="32" t="s">
        <v>584</v>
      </c>
      <c r="P2" s="76" t="s">
        <v>586</v>
      </c>
      <c r="Q2" s="7" t="s">
        <v>1987</v>
      </c>
      <c r="R2" s="7"/>
      <c r="S2" s="7"/>
      <c r="T2" s="7"/>
      <c r="U2" s="7"/>
      <c r="V2" s="7"/>
      <c r="W2" s="7"/>
      <c r="X2" s="7"/>
      <c r="Y2" s="7"/>
      <c r="Z2" s="7"/>
    </row>
    <row r="3" ht="15.75" customHeight="1">
      <c r="A3" s="7" t="s">
        <v>587</v>
      </c>
      <c r="B3" s="7" t="s">
        <v>581</v>
      </c>
      <c r="C3" s="31">
        <v>1456.0</v>
      </c>
      <c r="D3" s="31">
        <v>24.0</v>
      </c>
      <c r="E3" s="31">
        <v>50.0</v>
      </c>
      <c r="F3" s="31">
        <v>103.0</v>
      </c>
      <c r="G3" s="7" t="s">
        <v>588</v>
      </c>
      <c r="H3" s="7" t="s">
        <v>589</v>
      </c>
      <c r="I3" s="7" t="s">
        <v>590</v>
      </c>
      <c r="J3" s="7" t="s">
        <v>591</v>
      </c>
      <c r="K3" s="33">
        <v>46205.0</v>
      </c>
      <c r="L3" s="31">
        <v>17.0</v>
      </c>
      <c r="M3" s="31">
        <v>25.0</v>
      </c>
      <c r="N3" s="31">
        <v>528.0</v>
      </c>
      <c r="O3" s="76" t="s">
        <v>592</v>
      </c>
      <c r="P3" s="76" t="s">
        <v>594</v>
      </c>
      <c r="Q3" s="7" t="s">
        <v>1990</v>
      </c>
      <c r="R3" s="7"/>
      <c r="S3" s="7"/>
      <c r="T3" s="7"/>
      <c r="U3" s="7"/>
      <c r="V3" s="7"/>
      <c r="W3" s="7"/>
      <c r="X3" s="7"/>
      <c r="Y3" s="7"/>
      <c r="Z3" s="7"/>
    </row>
    <row r="4" ht="15.75" customHeight="1">
      <c r="A4" s="7" t="s">
        <v>595</v>
      </c>
      <c r="B4" s="7" t="s">
        <v>596</v>
      </c>
      <c r="C4" s="31">
        <v>795.0</v>
      </c>
      <c r="D4" s="31">
        <v>10.0</v>
      </c>
      <c r="E4" s="31">
        <v>20.0</v>
      </c>
      <c r="F4" s="31">
        <v>41.0</v>
      </c>
      <c r="G4" s="7" t="s">
        <v>597</v>
      </c>
      <c r="H4" s="7" t="s">
        <v>577</v>
      </c>
      <c r="I4" s="7" t="s">
        <v>598</v>
      </c>
      <c r="J4" s="7" t="s">
        <v>599</v>
      </c>
      <c r="K4" s="31">
        <v>3.0</v>
      </c>
      <c r="L4" s="31">
        <v>23.0</v>
      </c>
      <c r="M4" s="31">
        <v>30.0</v>
      </c>
      <c r="N4" s="31">
        <v>533.0</v>
      </c>
      <c r="O4" s="76" t="s">
        <v>600</v>
      </c>
      <c r="P4" s="76" t="s">
        <v>601</v>
      </c>
      <c r="Q4" s="7" t="s">
        <v>1993</v>
      </c>
      <c r="R4" s="7" t="s">
        <v>1994</v>
      </c>
      <c r="S4" s="7"/>
      <c r="T4" s="7"/>
      <c r="U4" s="7"/>
      <c r="V4" s="7"/>
      <c r="W4" s="7"/>
      <c r="X4" s="7"/>
      <c r="Y4" s="7"/>
      <c r="Z4" s="7"/>
    </row>
    <row r="5" ht="15.75" customHeight="1">
      <c r="A5" s="7" t="s">
        <v>602</v>
      </c>
      <c r="B5" s="7" t="s">
        <v>603</v>
      </c>
      <c r="C5" s="31">
        <v>875.0</v>
      </c>
      <c r="D5" s="31">
        <v>8.0</v>
      </c>
      <c r="E5" s="31">
        <v>16.0</v>
      </c>
      <c r="F5" s="31">
        <v>33.0</v>
      </c>
      <c r="G5" s="7" t="s">
        <v>597</v>
      </c>
      <c r="H5" s="7" t="s">
        <v>581</v>
      </c>
      <c r="I5" s="7" t="s">
        <v>605</v>
      </c>
      <c r="J5" s="7" t="s">
        <v>596</v>
      </c>
      <c r="K5" s="31">
        <v>7.0</v>
      </c>
      <c r="L5" s="31">
        <v>28.0</v>
      </c>
      <c r="M5" s="31">
        <v>32.0</v>
      </c>
      <c r="N5" s="31">
        <v>535.0</v>
      </c>
      <c r="O5" s="76" t="s">
        <v>606</v>
      </c>
      <c r="P5" s="76" t="s">
        <v>607</v>
      </c>
      <c r="Q5" s="7" t="s">
        <v>1997</v>
      </c>
      <c r="R5" s="7"/>
      <c r="S5" s="7"/>
      <c r="T5" s="7"/>
      <c r="U5" s="7"/>
      <c r="V5" s="7"/>
      <c r="W5" s="7"/>
      <c r="X5" s="7"/>
      <c r="Y5" s="7"/>
      <c r="Z5" s="7"/>
    </row>
    <row r="6" ht="15.75" customHeight="1">
      <c r="A6" s="7" t="s">
        <v>608</v>
      </c>
      <c r="B6" s="7" t="s">
        <v>605</v>
      </c>
      <c r="C6" s="31">
        <v>826.0</v>
      </c>
      <c r="D6" s="31">
        <v>9.0</v>
      </c>
      <c r="E6" s="31">
        <v>20.0</v>
      </c>
      <c r="F6" s="31">
        <v>40.0</v>
      </c>
      <c r="G6" s="7" t="s">
        <v>597</v>
      </c>
      <c r="H6" s="7" t="s">
        <v>581</v>
      </c>
      <c r="I6" s="7" t="s">
        <v>609</v>
      </c>
      <c r="J6" s="7" t="s">
        <v>603</v>
      </c>
      <c r="K6" s="31">
        <v>8.0</v>
      </c>
      <c r="L6" s="31">
        <v>21.0</v>
      </c>
      <c r="M6" s="31">
        <v>29.0</v>
      </c>
      <c r="N6" s="31">
        <v>530.0</v>
      </c>
      <c r="O6" s="76" t="s">
        <v>610</v>
      </c>
      <c r="P6" s="76" t="s">
        <v>611</v>
      </c>
      <c r="Q6" s="7" t="s">
        <v>2000</v>
      </c>
      <c r="R6" s="7"/>
      <c r="S6" s="7"/>
      <c r="T6" s="7"/>
      <c r="U6" s="7"/>
      <c r="V6" s="7"/>
      <c r="W6" s="7"/>
      <c r="X6" s="7"/>
      <c r="Y6" s="7"/>
      <c r="Z6" s="7"/>
    </row>
    <row r="7" ht="15.75" customHeight="1"/>
    <row r="8" ht="15.75" customHeight="1"/>
    <row r="9" ht="15.75" customHeight="1"/>
    <row r="10" ht="15.75" customHeight="1">
      <c r="A10" s="25" t="s">
        <v>2002</v>
      </c>
    </row>
    <row r="11" ht="15.75" customHeight="1">
      <c r="A11" s="25" t="s">
        <v>2003</v>
      </c>
    </row>
    <row r="12" ht="15.75" customHeight="1"/>
    <row r="13" ht="15.75" customHeight="1"/>
    <row r="14" ht="15.75" customHeight="1">
      <c r="A14" s="35" t="s">
        <v>2005</v>
      </c>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 customWidth="1" min="7" max="7" width="12.5"/>
    <col customWidth="1" min="9" max="10" width="21.75"/>
    <col customWidth="1" min="12" max="12" width="19.63"/>
    <col customWidth="1" min="13" max="13" width="19.25"/>
    <col customWidth="1" min="14" max="14" width="20.25"/>
    <col customWidth="1" min="15" max="15" width="18.63"/>
    <col customWidth="1" min="17" max="17" width="18.0"/>
    <col customWidth="1" min="18" max="18" width="32.13"/>
    <col customWidth="1" min="19" max="19" width="66.0"/>
  </cols>
  <sheetData>
    <row r="1" ht="15.75" customHeight="1">
      <c r="A1" s="29" t="s">
        <v>11</v>
      </c>
      <c r="B1" s="29" t="s">
        <v>558</v>
      </c>
      <c r="C1" s="29" t="s">
        <v>559</v>
      </c>
      <c r="D1" s="29" t="s">
        <v>618</v>
      </c>
      <c r="E1" s="30" t="s">
        <v>564</v>
      </c>
      <c r="F1" s="30" t="s">
        <v>563</v>
      </c>
      <c r="G1" s="36" t="s">
        <v>574</v>
      </c>
      <c r="H1" s="36" t="s">
        <v>575</v>
      </c>
      <c r="I1" s="29" t="s">
        <v>1981</v>
      </c>
      <c r="J1" s="29" t="s">
        <v>2108</v>
      </c>
      <c r="K1" s="29" t="s">
        <v>1982</v>
      </c>
      <c r="L1" s="77" t="s">
        <v>569</v>
      </c>
      <c r="M1" s="77" t="s">
        <v>570</v>
      </c>
      <c r="N1" s="77" t="s">
        <v>572</v>
      </c>
      <c r="O1" s="77" t="s">
        <v>573</v>
      </c>
      <c r="P1" s="78" t="s">
        <v>574</v>
      </c>
      <c r="Q1" s="78" t="s">
        <v>575</v>
      </c>
      <c r="R1" s="78" t="s">
        <v>1981</v>
      </c>
      <c r="S1" s="78" t="s">
        <v>1982</v>
      </c>
      <c r="T1" s="7"/>
      <c r="U1" s="7"/>
      <c r="V1" s="7"/>
      <c r="W1" s="7"/>
      <c r="X1" s="7"/>
      <c r="Y1" s="7"/>
      <c r="Z1" s="7"/>
      <c r="AA1" s="7"/>
    </row>
    <row r="2" ht="15.75" customHeight="1">
      <c r="A2" s="7" t="s">
        <v>457</v>
      </c>
      <c r="B2" s="7" t="s">
        <v>576</v>
      </c>
      <c r="C2" s="7" t="s">
        <v>577</v>
      </c>
      <c r="D2" s="7" t="s">
        <v>621</v>
      </c>
      <c r="E2" s="31">
        <v>5.0</v>
      </c>
      <c r="F2" s="31">
        <v>2.0</v>
      </c>
      <c r="G2" s="37" t="s">
        <v>623</v>
      </c>
      <c r="H2" s="37" t="s">
        <v>625</v>
      </c>
      <c r="I2" s="7" t="s">
        <v>1987</v>
      </c>
      <c r="J2" s="7" t="s">
        <v>2116</v>
      </c>
      <c r="K2" s="7"/>
      <c r="L2" s="79" t="s">
        <v>583</v>
      </c>
      <c r="M2" s="79">
        <v>20.0</v>
      </c>
      <c r="N2" s="79">
        <v>27.0</v>
      </c>
      <c r="O2" s="79">
        <v>530.0</v>
      </c>
      <c r="P2" s="80"/>
      <c r="Q2" s="80"/>
      <c r="R2" s="80" t="s">
        <v>1987</v>
      </c>
      <c r="S2" s="80"/>
      <c r="T2" s="7"/>
      <c r="U2" s="7"/>
      <c r="V2" s="7"/>
      <c r="W2" s="7"/>
      <c r="X2" s="7"/>
      <c r="Y2" s="7"/>
      <c r="Z2" s="7"/>
      <c r="AA2" s="7"/>
    </row>
    <row r="3" ht="15.75" customHeight="1">
      <c r="A3" s="7" t="s">
        <v>511</v>
      </c>
      <c r="B3" s="7" t="s">
        <v>576</v>
      </c>
      <c r="C3" s="7" t="s">
        <v>577</v>
      </c>
      <c r="D3" s="7" t="s">
        <v>626</v>
      </c>
      <c r="E3" s="31">
        <v>5.0</v>
      </c>
      <c r="F3" s="31">
        <v>2.0</v>
      </c>
      <c r="G3" s="37" t="s">
        <v>627</v>
      </c>
      <c r="H3" s="37" t="s">
        <v>628</v>
      </c>
      <c r="I3" s="7" t="s">
        <v>1987</v>
      </c>
      <c r="J3" s="7" t="s">
        <v>2116</v>
      </c>
      <c r="K3" s="7"/>
      <c r="L3" s="81">
        <v>46205.0</v>
      </c>
      <c r="M3" s="79">
        <v>17.0</v>
      </c>
      <c r="N3" s="79">
        <v>25.0</v>
      </c>
      <c r="O3" s="79">
        <v>528.0</v>
      </c>
      <c r="P3" s="80"/>
      <c r="Q3" s="80"/>
      <c r="R3" s="80" t="s">
        <v>1990</v>
      </c>
      <c r="S3" s="80"/>
      <c r="T3" s="7"/>
      <c r="U3" s="7"/>
      <c r="V3" s="7"/>
      <c r="W3" s="7"/>
      <c r="X3" s="7"/>
      <c r="Y3" s="7"/>
      <c r="Z3" s="7"/>
      <c r="AA3" s="7"/>
    </row>
    <row r="4" ht="15.75" customHeight="1">
      <c r="A4" s="7" t="s">
        <v>229</v>
      </c>
      <c r="B4" s="7" t="s">
        <v>576</v>
      </c>
      <c r="C4" s="7" t="s">
        <v>577</v>
      </c>
      <c r="D4" s="7" t="s">
        <v>630</v>
      </c>
      <c r="E4" s="31">
        <v>4.0</v>
      </c>
      <c r="F4" s="31">
        <v>2.0</v>
      </c>
      <c r="G4" s="37" t="s">
        <v>631</v>
      </c>
      <c r="H4" s="37" t="s">
        <v>632</v>
      </c>
      <c r="I4" s="7" t="s">
        <v>1987</v>
      </c>
      <c r="J4" s="7" t="s">
        <v>2116</v>
      </c>
      <c r="K4" s="7"/>
      <c r="L4" s="79">
        <v>3.0</v>
      </c>
      <c r="M4" s="79">
        <v>23.0</v>
      </c>
      <c r="N4" s="79">
        <v>30.0</v>
      </c>
      <c r="O4" s="79">
        <v>533.0</v>
      </c>
      <c r="P4" s="80"/>
      <c r="Q4" s="80"/>
      <c r="R4" s="80" t="s">
        <v>1993</v>
      </c>
      <c r="S4" s="80" t="s">
        <v>1994</v>
      </c>
      <c r="T4" s="7"/>
      <c r="U4" s="7"/>
      <c r="V4" s="7"/>
      <c r="W4" s="7"/>
      <c r="X4" s="7"/>
      <c r="Y4" s="7"/>
      <c r="Z4" s="7"/>
      <c r="AA4" s="7"/>
    </row>
    <row r="5" ht="15.75" customHeight="1">
      <c r="A5" s="7" t="s">
        <v>363</v>
      </c>
      <c r="B5" s="7" t="s">
        <v>576</v>
      </c>
      <c r="C5" s="7" t="s">
        <v>577</v>
      </c>
      <c r="D5" s="7" t="s">
        <v>634</v>
      </c>
      <c r="E5" s="31">
        <v>4.0</v>
      </c>
      <c r="F5" s="31">
        <v>2.0</v>
      </c>
      <c r="G5" s="37" t="s">
        <v>635</v>
      </c>
      <c r="H5" s="37" t="s">
        <v>636</v>
      </c>
      <c r="I5" s="7" t="s">
        <v>1987</v>
      </c>
      <c r="J5" s="7" t="s">
        <v>2116</v>
      </c>
      <c r="K5" s="7"/>
      <c r="L5" s="79">
        <v>7.0</v>
      </c>
      <c r="M5" s="79">
        <v>28.0</v>
      </c>
      <c r="N5" s="79">
        <v>32.0</v>
      </c>
      <c r="O5" s="79">
        <v>535.0</v>
      </c>
      <c r="P5" s="80"/>
      <c r="Q5" s="80"/>
      <c r="R5" s="80" t="s">
        <v>1997</v>
      </c>
      <c r="S5" s="80"/>
      <c r="T5" s="7"/>
      <c r="U5" s="7"/>
      <c r="V5" s="7"/>
      <c r="W5" s="7"/>
      <c r="X5" s="7"/>
      <c r="Y5" s="7"/>
      <c r="Z5" s="7"/>
      <c r="AA5" s="7"/>
    </row>
    <row r="6" ht="15.75" customHeight="1">
      <c r="A6" s="7" t="s">
        <v>485</v>
      </c>
      <c r="B6" s="7" t="s">
        <v>576</v>
      </c>
      <c r="C6" s="7" t="s">
        <v>577</v>
      </c>
      <c r="D6" s="7" t="s">
        <v>637</v>
      </c>
      <c r="E6" s="31">
        <v>4.0</v>
      </c>
      <c r="F6" s="31">
        <v>2.0</v>
      </c>
      <c r="G6" s="37" t="s">
        <v>639</v>
      </c>
      <c r="H6" s="37" t="s">
        <v>640</v>
      </c>
      <c r="I6" s="7" t="s">
        <v>1987</v>
      </c>
      <c r="J6" s="7" t="s">
        <v>2116</v>
      </c>
      <c r="K6" s="7"/>
      <c r="L6" s="79">
        <v>8.0</v>
      </c>
      <c r="M6" s="79">
        <v>21.0</v>
      </c>
      <c r="N6" s="79">
        <v>29.0</v>
      </c>
      <c r="O6" s="79">
        <v>530.0</v>
      </c>
      <c r="P6" s="80"/>
      <c r="Q6" s="80"/>
      <c r="R6" s="80" t="s">
        <v>2000</v>
      </c>
      <c r="S6" s="80"/>
      <c r="T6" s="7"/>
      <c r="U6" s="7"/>
      <c r="V6" s="7"/>
      <c r="W6" s="7"/>
      <c r="X6" s="7"/>
      <c r="Y6" s="7"/>
      <c r="Z6" s="7"/>
      <c r="AA6" s="7"/>
    </row>
    <row r="7" ht="15.75" customHeight="1">
      <c r="A7" s="7" t="s">
        <v>51</v>
      </c>
      <c r="B7" s="7" t="s">
        <v>576</v>
      </c>
      <c r="C7" s="7" t="s">
        <v>577</v>
      </c>
      <c r="D7" s="7" t="s">
        <v>641</v>
      </c>
      <c r="E7" s="31">
        <v>4.0</v>
      </c>
      <c r="F7" s="31">
        <v>2.0</v>
      </c>
      <c r="G7" s="37" t="s">
        <v>642</v>
      </c>
      <c r="H7" s="37" t="s">
        <v>636</v>
      </c>
      <c r="I7" s="7" t="s">
        <v>1987</v>
      </c>
      <c r="J7" s="7" t="s">
        <v>2116</v>
      </c>
      <c r="K7" s="7"/>
      <c r="L7" s="7"/>
      <c r="M7" s="7"/>
      <c r="N7" s="7"/>
      <c r="O7" s="7"/>
      <c r="P7" s="7"/>
      <c r="Q7" s="7"/>
      <c r="R7" s="7"/>
      <c r="S7" s="7"/>
      <c r="T7" s="7"/>
      <c r="U7" s="7"/>
      <c r="V7" s="7"/>
      <c r="W7" s="7"/>
      <c r="X7" s="7"/>
      <c r="Y7" s="7"/>
      <c r="Z7" s="7"/>
      <c r="AA7" s="7"/>
    </row>
    <row r="8" ht="15.75" customHeight="1">
      <c r="A8" s="7" t="s">
        <v>286</v>
      </c>
      <c r="B8" s="7" t="s">
        <v>576</v>
      </c>
      <c r="C8" s="7" t="s">
        <v>577</v>
      </c>
      <c r="D8" s="7" t="s">
        <v>644</v>
      </c>
      <c r="E8" s="31">
        <v>4.0</v>
      </c>
      <c r="F8" s="31">
        <v>2.0</v>
      </c>
      <c r="G8" s="37" t="s">
        <v>645</v>
      </c>
      <c r="H8" s="37" t="s">
        <v>646</v>
      </c>
      <c r="I8" s="7" t="s">
        <v>1987</v>
      </c>
      <c r="J8" s="7" t="s">
        <v>2116</v>
      </c>
      <c r="K8" s="7"/>
      <c r="L8" s="7"/>
      <c r="M8" s="7"/>
      <c r="N8" s="7"/>
      <c r="O8" s="7"/>
      <c r="P8" s="7"/>
      <c r="Q8" s="7"/>
      <c r="R8" s="7"/>
      <c r="S8" s="7"/>
      <c r="T8" s="7"/>
      <c r="U8" s="7"/>
      <c r="V8" s="7"/>
      <c r="W8" s="7"/>
      <c r="X8" s="7"/>
      <c r="Y8" s="7"/>
      <c r="Z8" s="7"/>
      <c r="AA8" s="7"/>
    </row>
    <row r="9" ht="15.75" customHeight="1">
      <c r="A9" s="7" t="s">
        <v>414</v>
      </c>
      <c r="B9" s="7" t="s">
        <v>576</v>
      </c>
      <c r="C9" s="7" t="s">
        <v>577</v>
      </c>
      <c r="D9" s="7" t="s">
        <v>647</v>
      </c>
      <c r="E9" s="31">
        <v>4.0</v>
      </c>
      <c r="F9" s="31">
        <v>2.0</v>
      </c>
      <c r="G9" s="37" t="s">
        <v>649</v>
      </c>
      <c r="H9" s="37" t="s">
        <v>650</v>
      </c>
      <c r="I9" s="7" t="s">
        <v>1987</v>
      </c>
      <c r="J9" s="7" t="s">
        <v>2116</v>
      </c>
      <c r="K9" s="7"/>
      <c r="L9" s="7"/>
      <c r="M9" s="7"/>
      <c r="N9" s="7"/>
      <c r="O9" s="7"/>
      <c r="P9" s="7"/>
      <c r="Q9" s="7"/>
      <c r="R9" s="7"/>
      <c r="S9" s="7"/>
      <c r="T9" s="7"/>
      <c r="U9" s="7"/>
      <c r="V9" s="7"/>
      <c r="W9" s="7"/>
      <c r="X9" s="7"/>
      <c r="Y9" s="7"/>
      <c r="Z9" s="7"/>
      <c r="AA9" s="7"/>
    </row>
    <row r="10" ht="15.75" customHeight="1">
      <c r="A10" s="7" t="s">
        <v>499</v>
      </c>
      <c r="B10" s="7" t="s">
        <v>576</v>
      </c>
      <c r="C10" s="7" t="s">
        <v>577</v>
      </c>
      <c r="D10" s="7" t="s">
        <v>651</v>
      </c>
      <c r="E10" s="31">
        <v>4.0</v>
      </c>
      <c r="F10" s="31">
        <v>2.0</v>
      </c>
      <c r="G10" s="37" t="s">
        <v>652</v>
      </c>
      <c r="H10" s="37" t="s">
        <v>653</v>
      </c>
      <c r="I10" s="7" t="s">
        <v>1987</v>
      </c>
      <c r="J10" s="7" t="s">
        <v>2116</v>
      </c>
      <c r="K10" s="7"/>
      <c r="L10" s="7"/>
      <c r="M10" s="7"/>
      <c r="N10" s="7"/>
      <c r="O10" s="7"/>
      <c r="P10" s="7"/>
      <c r="Q10" s="7"/>
      <c r="R10" s="7"/>
      <c r="S10" s="7"/>
      <c r="T10" s="7"/>
      <c r="U10" s="7"/>
      <c r="V10" s="7"/>
      <c r="W10" s="7"/>
      <c r="X10" s="7"/>
      <c r="Y10" s="7"/>
      <c r="Z10" s="7"/>
      <c r="AA10" s="7"/>
    </row>
    <row r="11" ht="15.75" customHeight="1">
      <c r="A11" s="7" t="s">
        <v>169</v>
      </c>
      <c r="B11" s="7" t="s">
        <v>576</v>
      </c>
      <c r="C11" s="7" t="s">
        <v>577</v>
      </c>
      <c r="D11" s="7" t="s">
        <v>655</v>
      </c>
      <c r="E11" s="31">
        <v>4.0</v>
      </c>
      <c r="F11" s="31">
        <v>2.0</v>
      </c>
      <c r="G11" s="37" t="s">
        <v>656</v>
      </c>
      <c r="H11" s="37" t="s">
        <v>657</v>
      </c>
      <c r="I11" s="7" t="s">
        <v>1987</v>
      </c>
      <c r="J11" s="7" t="s">
        <v>2116</v>
      </c>
      <c r="K11" s="7"/>
      <c r="L11" s="7"/>
      <c r="M11" s="7"/>
      <c r="N11" s="7"/>
      <c r="O11" s="7"/>
      <c r="P11" s="7"/>
      <c r="Q11" s="7"/>
      <c r="R11" s="7"/>
      <c r="S11" s="7"/>
      <c r="T11" s="7"/>
      <c r="U11" s="7"/>
      <c r="V11" s="7"/>
      <c r="W11" s="7"/>
      <c r="X11" s="7"/>
      <c r="Y11" s="7"/>
      <c r="Z11" s="7"/>
      <c r="AA11" s="7"/>
    </row>
    <row r="12" ht="15.75" customHeight="1">
      <c r="A12" s="7" t="s">
        <v>326</v>
      </c>
      <c r="B12" s="7" t="s">
        <v>576</v>
      </c>
      <c r="C12" s="7" t="s">
        <v>577</v>
      </c>
      <c r="D12" s="7" t="s">
        <v>658</v>
      </c>
      <c r="E12" s="31">
        <v>4.0</v>
      </c>
      <c r="F12" s="31">
        <v>2.0</v>
      </c>
      <c r="G12" s="37" t="s">
        <v>660</v>
      </c>
      <c r="H12" s="37" t="s">
        <v>661</v>
      </c>
      <c r="I12" s="7" t="s">
        <v>1987</v>
      </c>
      <c r="J12" s="7" t="s">
        <v>2116</v>
      </c>
      <c r="K12" s="7"/>
      <c r="L12" s="7"/>
      <c r="M12" s="7"/>
      <c r="N12" s="7"/>
      <c r="O12" s="7"/>
      <c r="P12" s="7"/>
      <c r="Q12" s="7"/>
      <c r="R12" s="7"/>
      <c r="S12" s="7"/>
      <c r="T12" s="7"/>
      <c r="U12" s="7"/>
      <c r="V12" s="7"/>
      <c r="W12" s="7"/>
      <c r="X12" s="7"/>
      <c r="Y12" s="7"/>
      <c r="Z12" s="7"/>
      <c r="AA12" s="7"/>
    </row>
    <row r="13" ht="15.75" customHeight="1">
      <c r="A13" s="7" t="s">
        <v>463</v>
      </c>
      <c r="B13" s="7" t="s">
        <v>576</v>
      </c>
      <c r="C13" s="7" t="s">
        <v>577</v>
      </c>
      <c r="D13" s="7" t="s">
        <v>662</v>
      </c>
      <c r="E13" s="31">
        <v>4.0</v>
      </c>
      <c r="F13" s="31">
        <v>2.0</v>
      </c>
      <c r="G13" s="37" t="s">
        <v>663</v>
      </c>
      <c r="H13" s="37" t="s">
        <v>664</v>
      </c>
      <c r="I13" s="7" t="s">
        <v>1987</v>
      </c>
      <c r="J13" s="7" t="s">
        <v>2116</v>
      </c>
      <c r="K13" s="7"/>
      <c r="L13" s="7"/>
      <c r="M13" s="7"/>
      <c r="N13" s="7"/>
      <c r="O13" s="7"/>
      <c r="P13" s="7"/>
      <c r="Q13" s="7"/>
      <c r="R13" s="7"/>
      <c r="S13" s="7"/>
      <c r="T13" s="7"/>
      <c r="U13" s="7"/>
      <c r="V13" s="7"/>
      <c r="W13" s="7"/>
      <c r="X13" s="7"/>
      <c r="Y13" s="7"/>
      <c r="Z13" s="7"/>
      <c r="AA13" s="7"/>
    </row>
    <row r="14" ht="15.75" customHeight="1">
      <c r="A14" s="7" t="s">
        <v>513</v>
      </c>
      <c r="B14" s="7" t="s">
        <v>576</v>
      </c>
      <c r="C14" s="7" t="s">
        <v>577</v>
      </c>
      <c r="D14" s="7" t="s">
        <v>666</v>
      </c>
      <c r="E14" s="31">
        <v>4.0</v>
      </c>
      <c r="F14" s="31">
        <v>2.0</v>
      </c>
      <c r="G14" s="37" t="s">
        <v>667</v>
      </c>
      <c r="H14" s="37" t="s">
        <v>668</v>
      </c>
      <c r="I14" s="7" t="s">
        <v>1987</v>
      </c>
      <c r="J14" s="7" t="s">
        <v>2116</v>
      </c>
      <c r="K14" s="7"/>
      <c r="L14" s="7"/>
      <c r="M14" s="7"/>
      <c r="N14" s="7"/>
      <c r="O14" s="7"/>
      <c r="P14" s="7"/>
      <c r="Q14" s="7"/>
      <c r="R14" s="7"/>
      <c r="S14" s="7"/>
      <c r="T14" s="7"/>
      <c r="U14" s="7"/>
      <c r="V14" s="7"/>
      <c r="W14" s="7"/>
      <c r="X14" s="7"/>
      <c r="Y14" s="7"/>
      <c r="Z14" s="7"/>
      <c r="AA14" s="7"/>
    </row>
    <row r="15" ht="15.75" customHeight="1">
      <c r="A15" s="7" t="s">
        <v>237</v>
      </c>
      <c r="B15" s="7" t="s">
        <v>576</v>
      </c>
      <c r="C15" s="7" t="s">
        <v>577</v>
      </c>
      <c r="D15" s="7" t="s">
        <v>669</v>
      </c>
      <c r="E15" s="31">
        <v>5.0</v>
      </c>
      <c r="F15" s="31">
        <v>2.0</v>
      </c>
      <c r="G15" s="37" t="s">
        <v>671</v>
      </c>
      <c r="H15" s="37" t="s">
        <v>672</v>
      </c>
      <c r="I15" s="7" t="s">
        <v>1987</v>
      </c>
      <c r="J15" s="7" t="s">
        <v>2116</v>
      </c>
      <c r="K15" s="7"/>
      <c r="L15" s="7"/>
      <c r="M15" s="7"/>
      <c r="N15" s="7"/>
      <c r="O15" s="7"/>
      <c r="P15" s="7"/>
      <c r="Q15" s="7"/>
      <c r="R15" s="7"/>
      <c r="S15" s="7"/>
      <c r="T15" s="7"/>
      <c r="U15" s="7"/>
      <c r="V15" s="7"/>
      <c r="W15" s="7"/>
      <c r="X15" s="7"/>
      <c r="Y15" s="7"/>
      <c r="Z15" s="7"/>
      <c r="AA15" s="7"/>
    </row>
    <row r="16" ht="15.75" customHeight="1">
      <c r="A16" s="7" t="s">
        <v>372</v>
      </c>
      <c r="B16" s="7" t="s">
        <v>576</v>
      </c>
      <c r="C16" s="7" t="s">
        <v>577</v>
      </c>
      <c r="D16" s="7" t="s">
        <v>673</v>
      </c>
      <c r="E16" s="31">
        <v>4.0</v>
      </c>
      <c r="F16" s="31">
        <v>2.0</v>
      </c>
      <c r="G16" s="37" t="s">
        <v>674</v>
      </c>
      <c r="H16" s="37" t="s">
        <v>675</v>
      </c>
      <c r="I16" s="7" t="s">
        <v>1987</v>
      </c>
      <c r="J16" s="7" t="s">
        <v>2116</v>
      </c>
      <c r="K16" s="7"/>
      <c r="L16" s="7"/>
      <c r="M16" s="7"/>
      <c r="N16" s="7"/>
      <c r="O16" s="7"/>
      <c r="P16" s="7"/>
      <c r="Q16" s="7"/>
      <c r="R16" s="7"/>
      <c r="S16" s="7"/>
      <c r="T16" s="7"/>
      <c r="U16" s="7"/>
      <c r="V16" s="7"/>
      <c r="W16" s="7"/>
      <c r="X16" s="7"/>
      <c r="Y16" s="7"/>
      <c r="Z16" s="7"/>
      <c r="AA16" s="7"/>
    </row>
    <row r="17" ht="15.75" customHeight="1">
      <c r="A17" s="7" t="s">
        <v>487</v>
      </c>
      <c r="B17" s="7" t="s">
        <v>576</v>
      </c>
      <c r="C17" s="7" t="s">
        <v>577</v>
      </c>
      <c r="D17" s="7" t="s">
        <v>677</v>
      </c>
      <c r="E17" s="31">
        <v>4.0</v>
      </c>
      <c r="F17" s="31">
        <v>2.0</v>
      </c>
      <c r="G17" s="37" t="s">
        <v>678</v>
      </c>
      <c r="H17" s="37" t="s">
        <v>679</v>
      </c>
      <c r="I17" s="7" t="s">
        <v>1987</v>
      </c>
      <c r="J17" s="7" t="s">
        <v>2116</v>
      </c>
      <c r="K17" s="7"/>
      <c r="L17" s="7"/>
      <c r="M17" s="7"/>
      <c r="N17" s="7"/>
      <c r="O17" s="7"/>
      <c r="P17" s="7"/>
      <c r="Q17" s="7"/>
      <c r="R17" s="7"/>
      <c r="S17" s="7"/>
      <c r="T17" s="7"/>
      <c r="U17" s="7"/>
      <c r="V17" s="7"/>
      <c r="W17" s="7"/>
      <c r="X17" s="7"/>
      <c r="Y17" s="7"/>
      <c r="Z17" s="7"/>
      <c r="AA17" s="7"/>
    </row>
    <row r="18" ht="15.75" customHeight="1">
      <c r="A18" s="7" t="s">
        <v>78</v>
      </c>
      <c r="B18" s="7" t="s">
        <v>576</v>
      </c>
      <c r="C18" s="7" t="s">
        <v>577</v>
      </c>
      <c r="D18" s="7" t="s">
        <v>680</v>
      </c>
      <c r="E18" s="31">
        <v>4.0</v>
      </c>
      <c r="F18" s="31">
        <v>2.0</v>
      </c>
      <c r="G18" s="37" t="s">
        <v>682</v>
      </c>
      <c r="H18" s="37" t="s">
        <v>683</v>
      </c>
      <c r="I18" s="7" t="s">
        <v>1987</v>
      </c>
      <c r="J18" s="7" t="s">
        <v>2116</v>
      </c>
      <c r="K18" s="7"/>
      <c r="L18" s="7"/>
      <c r="M18" s="7"/>
      <c r="N18" s="7"/>
      <c r="O18" s="7"/>
      <c r="P18" s="7"/>
      <c r="Q18" s="7"/>
      <c r="R18" s="7"/>
      <c r="S18" s="7"/>
      <c r="T18" s="7"/>
      <c r="U18" s="7"/>
      <c r="V18" s="7"/>
      <c r="W18" s="7"/>
      <c r="X18" s="7"/>
      <c r="Y18" s="7"/>
      <c r="Z18" s="7"/>
      <c r="AA18" s="7"/>
    </row>
    <row r="19" ht="15.75" customHeight="1">
      <c r="A19" s="7" t="s">
        <v>294</v>
      </c>
      <c r="B19" s="7" t="s">
        <v>576</v>
      </c>
      <c r="C19" s="7" t="s">
        <v>577</v>
      </c>
      <c r="D19" s="7" t="s">
        <v>684</v>
      </c>
      <c r="E19" s="31">
        <v>4.0</v>
      </c>
      <c r="F19" s="31">
        <v>2.0</v>
      </c>
      <c r="G19" s="37" t="s">
        <v>685</v>
      </c>
      <c r="H19" s="37" t="s">
        <v>686</v>
      </c>
      <c r="I19" s="7" t="s">
        <v>1987</v>
      </c>
      <c r="J19" s="7" t="s">
        <v>2116</v>
      </c>
      <c r="K19" s="7"/>
      <c r="L19" s="7"/>
      <c r="M19" s="7"/>
      <c r="N19" s="7"/>
      <c r="O19" s="7"/>
      <c r="P19" s="7"/>
      <c r="Q19" s="7"/>
      <c r="R19" s="7"/>
      <c r="S19" s="7"/>
      <c r="T19" s="7"/>
      <c r="U19" s="7"/>
      <c r="V19" s="7"/>
      <c r="W19" s="7"/>
      <c r="X19" s="7"/>
      <c r="Y19" s="7"/>
      <c r="Z19" s="7"/>
      <c r="AA19" s="7"/>
    </row>
    <row r="20" ht="15.75" customHeight="1">
      <c r="A20" s="7" t="s">
        <v>422</v>
      </c>
      <c r="B20" s="7" t="s">
        <v>576</v>
      </c>
      <c r="C20" s="7" t="s">
        <v>577</v>
      </c>
      <c r="D20" s="7" t="s">
        <v>688</v>
      </c>
      <c r="E20" s="31">
        <v>4.0</v>
      </c>
      <c r="F20" s="31">
        <v>2.0</v>
      </c>
      <c r="G20" s="37" t="s">
        <v>689</v>
      </c>
      <c r="H20" s="37" t="s">
        <v>690</v>
      </c>
      <c r="I20" s="7" t="s">
        <v>1987</v>
      </c>
      <c r="J20" s="7" t="s">
        <v>2116</v>
      </c>
      <c r="K20" s="7"/>
      <c r="L20" s="7"/>
      <c r="M20" s="7"/>
      <c r="N20" s="7"/>
      <c r="O20" s="7"/>
      <c r="P20" s="7"/>
      <c r="Q20" s="7"/>
      <c r="R20" s="7"/>
      <c r="S20" s="7"/>
      <c r="T20" s="7"/>
      <c r="U20" s="7"/>
      <c r="V20" s="7"/>
      <c r="W20" s="7"/>
      <c r="X20" s="7"/>
      <c r="Y20" s="7"/>
      <c r="Z20" s="7"/>
      <c r="AA20" s="7"/>
    </row>
    <row r="21" ht="15.75" customHeight="1">
      <c r="A21" s="7" t="s">
        <v>501</v>
      </c>
      <c r="B21" s="7" t="s">
        <v>576</v>
      </c>
      <c r="C21" s="7" t="s">
        <v>577</v>
      </c>
      <c r="D21" s="7" t="s">
        <v>691</v>
      </c>
      <c r="E21" s="31">
        <v>4.0</v>
      </c>
      <c r="F21" s="31">
        <v>2.0</v>
      </c>
      <c r="G21" s="37" t="s">
        <v>693</v>
      </c>
      <c r="H21" s="37" t="s">
        <v>694</v>
      </c>
      <c r="I21" s="7" t="s">
        <v>1987</v>
      </c>
      <c r="J21" s="7" t="s">
        <v>2116</v>
      </c>
      <c r="K21" s="7"/>
      <c r="L21" s="7"/>
      <c r="M21" s="7"/>
      <c r="N21" s="7"/>
      <c r="O21" s="7"/>
      <c r="P21" s="7"/>
      <c r="Q21" s="7"/>
      <c r="R21" s="7"/>
      <c r="S21" s="7"/>
      <c r="T21" s="7"/>
      <c r="U21" s="7"/>
      <c r="V21" s="7"/>
      <c r="W21" s="7"/>
      <c r="X21" s="7"/>
      <c r="Y21" s="7"/>
      <c r="Z21" s="7"/>
      <c r="AA21" s="7"/>
    </row>
    <row r="22" ht="15.75" customHeight="1">
      <c r="A22" s="7" t="s">
        <v>185</v>
      </c>
      <c r="B22" s="7" t="s">
        <v>576</v>
      </c>
      <c r="C22" s="7" t="s">
        <v>577</v>
      </c>
      <c r="D22" s="7" t="s">
        <v>695</v>
      </c>
      <c r="E22" s="31">
        <v>4.0</v>
      </c>
      <c r="F22" s="31">
        <v>2.0</v>
      </c>
      <c r="G22" s="37" t="s">
        <v>696</v>
      </c>
      <c r="H22" s="37" t="s">
        <v>697</v>
      </c>
      <c r="I22" s="7" t="s">
        <v>1987</v>
      </c>
      <c r="J22" s="7" t="s">
        <v>2116</v>
      </c>
      <c r="K22" s="7"/>
      <c r="L22" s="7"/>
      <c r="M22" s="7"/>
      <c r="N22" s="7"/>
      <c r="O22" s="7"/>
      <c r="P22" s="7"/>
      <c r="Q22" s="7"/>
      <c r="R22" s="7"/>
      <c r="S22" s="7"/>
      <c r="T22" s="7"/>
      <c r="U22" s="7"/>
      <c r="V22" s="7"/>
      <c r="W22" s="7"/>
      <c r="X22" s="7"/>
      <c r="Y22" s="7"/>
      <c r="Z22" s="7"/>
      <c r="AA22" s="7"/>
    </row>
    <row r="23" ht="15.75" customHeight="1">
      <c r="A23" s="7" t="s">
        <v>328</v>
      </c>
      <c r="B23" s="7" t="s">
        <v>576</v>
      </c>
      <c r="C23" s="7" t="s">
        <v>577</v>
      </c>
      <c r="D23" s="7" t="s">
        <v>699</v>
      </c>
      <c r="E23" s="31">
        <v>5.0</v>
      </c>
      <c r="F23" s="31">
        <v>2.0</v>
      </c>
      <c r="G23" s="37" t="s">
        <v>700</v>
      </c>
      <c r="H23" s="37" t="s">
        <v>701</v>
      </c>
      <c r="I23" s="7" t="s">
        <v>1987</v>
      </c>
      <c r="J23" s="7" t="s">
        <v>2116</v>
      </c>
      <c r="K23" s="7"/>
      <c r="L23" s="7"/>
      <c r="M23" s="7"/>
      <c r="N23" s="7"/>
      <c r="O23" s="7"/>
      <c r="P23" s="7"/>
      <c r="Q23" s="7"/>
      <c r="R23" s="7"/>
      <c r="S23" s="7"/>
      <c r="T23" s="7"/>
      <c r="U23" s="7"/>
      <c r="V23" s="7"/>
      <c r="W23" s="7"/>
      <c r="X23" s="7"/>
      <c r="Y23" s="7"/>
      <c r="Z23" s="7"/>
      <c r="AA23" s="7"/>
    </row>
    <row r="24" ht="15.75" customHeight="1">
      <c r="A24" s="38" t="s">
        <v>468</v>
      </c>
      <c r="B24" s="38" t="s">
        <v>587</v>
      </c>
      <c r="C24" s="38" t="s">
        <v>581</v>
      </c>
      <c r="D24" s="38" t="s">
        <v>703</v>
      </c>
      <c r="E24" s="39">
        <v>4.0</v>
      </c>
      <c r="F24" s="39">
        <v>1.0</v>
      </c>
      <c r="G24" s="40" t="s">
        <v>705</v>
      </c>
      <c r="H24" s="40" t="s">
        <v>707</v>
      </c>
      <c r="I24" s="38" t="s">
        <v>1990</v>
      </c>
      <c r="J24" s="7" t="s">
        <v>2116</v>
      </c>
      <c r="K24" s="38"/>
      <c r="L24" s="38"/>
      <c r="M24" s="38"/>
      <c r="N24" s="38"/>
      <c r="O24" s="38"/>
      <c r="P24" s="38"/>
      <c r="Q24" s="38"/>
      <c r="R24" s="38"/>
      <c r="S24" s="38"/>
      <c r="T24" s="38"/>
      <c r="U24" s="38"/>
      <c r="V24" s="38"/>
      <c r="W24" s="38"/>
      <c r="X24" s="38"/>
      <c r="Y24" s="38"/>
      <c r="Z24" s="38"/>
      <c r="AA24" s="38"/>
    </row>
    <row r="25" ht="15.75" customHeight="1">
      <c r="A25" s="7" t="s">
        <v>515</v>
      </c>
      <c r="B25" s="7" t="s">
        <v>587</v>
      </c>
      <c r="C25" s="7" t="s">
        <v>581</v>
      </c>
      <c r="D25" s="7" t="s">
        <v>709</v>
      </c>
      <c r="E25" s="31">
        <v>4.0</v>
      </c>
      <c r="F25" s="31">
        <v>2.0</v>
      </c>
      <c r="G25" s="37" t="s">
        <v>710</v>
      </c>
      <c r="H25" s="37" t="s">
        <v>711</v>
      </c>
      <c r="I25" s="7" t="s">
        <v>1990</v>
      </c>
      <c r="J25" s="7" t="s">
        <v>2116</v>
      </c>
      <c r="K25" s="7"/>
      <c r="L25" s="7"/>
      <c r="M25" s="7"/>
      <c r="N25" s="7"/>
      <c r="O25" s="7"/>
      <c r="P25" s="7"/>
      <c r="Q25" s="7"/>
      <c r="R25" s="7"/>
      <c r="S25" s="7"/>
      <c r="T25" s="7"/>
      <c r="U25" s="7"/>
      <c r="V25" s="7"/>
      <c r="W25" s="7"/>
      <c r="X25" s="7"/>
      <c r="Y25" s="7"/>
      <c r="Z25" s="7"/>
      <c r="AA25" s="7"/>
    </row>
    <row r="26" ht="15.75" customHeight="1">
      <c r="A26" s="7" t="s">
        <v>252</v>
      </c>
      <c r="B26" s="7" t="s">
        <v>587</v>
      </c>
      <c r="C26" s="7" t="s">
        <v>581</v>
      </c>
      <c r="D26" s="7" t="s">
        <v>714</v>
      </c>
      <c r="E26" s="31">
        <v>6.0</v>
      </c>
      <c r="F26" s="31">
        <v>2.0</v>
      </c>
      <c r="G26" s="37" t="s">
        <v>715</v>
      </c>
      <c r="H26" s="37" t="s">
        <v>716</v>
      </c>
      <c r="I26" s="7" t="s">
        <v>1990</v>
      </c>
      <c r="J26" s="7" t="s">
        <v>2116</v>
      </c>
      <c r="K26" s="7"/>
      <c r="L26" s="7"/>
      <c r="M26" s="7"/>
      <c r="N26" s="7"/>
      <c r="O26" s="7"/>
      <c r="P26" s="7"/>
      <c r="Q26" s="7"/>
      <c r="R26" s="7"/>
      <c r="S26" s="7"/>
      <c r="T26" s="7"/>
      <c r="U26" s="7"/>
      <c r="V26" s="7"/>
      <c r="W26" s="7"/>
      <c r="X26" s="7"/>
      <c r="Y26" s="7"/>
      <c r="Z26" s="7"/>
      <c r="AA26" s="7"/>
    </row>
    <row r="27" ht="15.75" customHeight="1">
      <c r="A27" s="7" t="s">
        <v>378</v>
      </c>
      <c r="B27" s="7" t="s">
        <v>587</v>
      </c>
      <c r="C27" s="7" t="s">
        <v>581</v>
      </c>
      <c r="D27" s="7" t="s">
        <v>718</v>
      </c>
      <c r="E27" s="31">
        <v>6.0</v>
      </c>
      <c r="F27" s="31">
        <v>3.0</v>
      </c>
      <c r="G27" s="37" t="s">
        <v>631</v>
      </c>
      <c r="H27" s="37" t="s">
        <v>719</v>
      </c>
      <c r="I27" s="7" t="s">
        <v>1990</v>
      </c>
      <c r="J27" s="7" t="s">
        <v>2116</v>
      </c>
      <c r="K27" s="7"/>
      <c r="L27" s="7"/>
      <c r="M27" s="7"/>
      <c r="N27" s="7"/>
      <c r="O27" s="7"/>
      <c r="P27" s="7"/>
      <c r="Q27" s="7"/>
      <c r="R27" s="7"/>
      <c r="S27" s="7"/>
      <c r="T27" s="7"/>
      <c r="U27" s="7"/>
      <c r="V27" s="7"/>
      <c r="W27" s="7"/>
      <c r="X27" s="7"/>
      <c r="Y27" s="7"/>
      <c r="Z27" s="7"/>
      <c r="AA27" s="7"/>
    </row>
    <row r="28" ht="15.75" customHeight="1">
      <c r="A28" s="7" t="s">
        <v>489</v>
      </c>
      <c r="B28" s="7" t="s">
        <v>587</v>
      </c>
      <c r="C28" s="7" t="s">
        <v>581</v>
      </c>
      <c r="D28" s="7" t="s">
        <v>721</v>
      </c>
      <c r="E28" s="31">
        <v>4.0</v>
      </c>
      <c r="F28" s="31">
        <v>2.0</v>
      </c>
      <c r="G28" s="37" t="s">
        <v>724</v>
      </c>
      <c r="H28" s="37" t="s">
        <v>726</v>
      </c>
      <c r="I28" s="7" t="s">
        <v>1990</v>
      </c>
      <c r="J28" s="7" t="s">
        <v>2116</v>
      </c>
      <c r="K28" s="7"/>
      <c r="L28" s="7"/>
      <c r="M28" s="7"/>
      <c r="N28" s="7"/>
      <c r="O28" s="7"/>
      <c r="P28" s="7"/>
      <c r="Q28" s="7"/>
      <c r="R28" s="7"/>
      <c r="S28" s="7"/>
      <c r="T28" s="7"/>
      <c r="U28" s="7"/>
      <c r="V28" s="7"/>
      <c r="W28" s="7"/>
      <c r="X28" s="7"/>
      <c r="Y28" s="7"/>
      <c r="Z28" s="7"/>
      <c r="AA28" s="7"/>
    </row>
    <row r="29" ht="15.75" customHeight="1">
      <c r="A29" s="7" t="s">
        <v>104</v>
      </c>
      <c r="B29" s="7" t="s">
        <v>587</v>
      </c>
      <c r="C29" s="7" t="s">
        <v>581</v>
      </c>
      <c r="D29" s="7" t="s">
        <v>729</v>
      </c>
      <c r="E29" s="31">
        <v>4.0</v>
      </c>
      <c r="F29" s="31">
        <v>2.0</v>
      </c>
      <c r="G29" s="37" t="s">
        <v>732</v>
      </c>
      <c r="H29" s="37" t="s">
        <v>733</v>
      </c>
      <c r="I29" s="7" t="s">
        <v>1990</v>
      </c>
      <c r="J29" s="7" t="s">
        <v>2116</v>
      </c>
      <c r="K29" s="7"/>
      <c r="L29" s="7"/>
      <c r="M29" s="7"/>
      <c r="N29" s="7"/>
      <c r="O29" s="7"/>
      <c r="P29" s="7"/>
      <c r="Q29" s="7"/>
      <c r="R29" s="7"/>
      <c r="S29" s="7"/>
      <c r="T29" s="7"/>
      <c r="U29" s="7"/>
      <c r="V29" s="7"/>
      <c r="W29" s="7"/>
      <c r="X29" s="7"/>
      <c r="Y29" s="7"/>
      <c r="Z29" s="7"/>
      <c r="AA29" s="7"/>
    </row>
    <row r="30" ht="15.75" customHeight="1">
      <c r="A30" s="7" t="s">
        <v>299</v>
      </c>
      <c r="B30" s="7" t="s">
        <v>587</v>
      </c>
      <c r="C30" s="7" t="s">
        <v>581</v>
      </c>
      <c r="D30" s="7" t="s">
        <v>736</v>
      </c>
      <c r="E30" s="31">
        <v>4.0</v>
      </c>
      <c r="F30" s="31">
        <v>2.0</v>
      </c>
      <c r="G30" s="37" t="s">
        <v>738</v>
      </c>
      <c r="H30" s="37" t="s">
        <v>739</v>
      </c>
      <c r="I30" s="7" t="s">
        <v>1990</v>
      </c>
      <c r="J30" s="7" t="s">
        <v>2116</v>
      </c>
      <c r="K30" s="7"/>
      <c r="L30" s="7"/>
      <c r="M30" s="7"/>
      <c r="N30" s="7"/>
      <c r="O30" s="7"/>
      <c r="P30" s="7"/>
      <c r="Q30" s="7"/>
      <c r="R30" s="7"/>
      <c r="S30" s="7"/>
      <c r="T30" s="7"/>
      <c r="U30" s="7"/>
      <c r="V30" s="7"/>
      <c r="W30" s="7"/>
      <c r="X30" s="7"/>
      <c r="Y30" s="7"/>
      <c r="Z30" s="7"/>
      <c r="AA30" s="7"/>
    </row>
    <row r="31" ht="15.75" customHeight="1">
      <c r="A31" s="7" t="s">
        <v>430</v>
      </c>
      <c r="B31" s="7" t="s">
        <v>587</v>
      </c>
      <c r="C31" s="7" t="s">
        <v>581</v>
      </c>
      <c r="D31" s="7" t="s">
        <v>741</v>
      </c>
      <c r="E31" s="31">
        <v>4.0</v>
      </c>
      <c r="F31" s="31">
        <v>2.0</v>
      </c>
      <c r="G31" s="37" t="s">
        <v>732</v>
      </c>
      <c r="H31" s="37" t="s">
        <v>743</v>
      </c>
      <c r="I31" s="7" t="s">
        <v>1990</v>
      </c>
      <c r="J31" s="7" t="s">
        <v>2116</v>
      </c>
      <c r="K31" s="7"/>
      <c r="L31" s="7"/>
      <c r="M31" s="7"/>
      <c r="N31" s="7"/>
      <c r="O31" s="7"/>
      <c r="P31" s="7"/>
      <c r="Q31" s="7"/>
      <c r="R31" s="7"/>
      <c r="S31" s="7"/>
      <c r="T31" s="7"/>
      <c r="U31" s="7"/>
      <c r="V31" s="7"/>
      <c r="W31" s="7"/>
      <c r="X31" s="7"/>
      <c r="Y31" s="7"/>
      <c r="Z31" s="7"/>
      <c r="AA31" s="7"/>
    </row>
    <row r="32" ht="15.75" customHeight="1">
      <c r="A32" s="7" t="s">
        <v>503</v>
      </c>
      <c r="B32" s="7" t="s">
        <v>587</v>
      </c>
      <c r="C32" s="7" t="s">
        <v>581</v>
      </c>
      <c r="D32" s="7" t="s">
        <v>745</v>
      </c>
      <c r="E32" s="31">
        <v>6.0</v>
      </c>
      <c r="F32" s="31">
        <v>3.0</v>
      </c>
      <c r="G32" s="37" t="s">
        <v>746</v>
      </c>
      <c r="H32" s="37" t="s">
        <v>716</v>
      </c>
      <c r="I32" s="7" t="s">
        <v>1990</v>
      </c>
      <c r="J32" s="7" t="s">
        <v>2116</v>
      </c>
      <c r="K32" s="7"/>
      <c r="L32" s="7"/>
      <c r="M32" s="7"/>
      <c r="N32" s="7"/>
      <c r="O32" s="7"/>
      <c r="P32" s="7"/>
      <c r="Q32" s="7"/>
      <c r="R32" s="7"/>
      <c r="S32" s="7"/>
      <c r="T32" s="7"/>
      <c r="U32" s="7"/>
      <c r="V32" s="7"/>
      <c r="W32" s="7"/>
      <c r="X32" s="7"/>
      <c r="Y32" s="7"/>
      <c r="Z32" s="7"/>
      <c r="AA32" s="7"/>
    </row>
    <row r="33" ht="15.75" customHeight="1">
      <c r="A33" s="7" t="s">
        <v>196</v>
      </c>
      <c r="B33" s="7" t="s">
        <v>587</v>
      </c>
      <c r="C33" s="7" t="s">
        <v>581</v>
      </c>
      <c r="D33" s="7" t="s">
        <v>750</v>
      </c>
      <c r="E33" s="31">
        <v>4.0</v>
      </c>
      <c r="F33" s="31">
        <v>2.0</v>
      </c>
      <c r="G33" s="37" t="s">
        <v>752</v>
      </c>
      <c r="H33" s="37" t="s">
        <v>753</v>
      </c>
      <c r="I33" s="7" t="s">
        <v>1990</v>
      </c>
      <c r="J33" s="7" t="s">
        <v>2116</v>
      </c>
      <c r="K33" s="7"/>
      <c r="L33" s="7"/>
      <c r="M33" s="7"/>
      <c r="N33" s="7"/>
      <c r="O33" s="7"/>
      <c r="P33" s="7"/>
      <c r="Q33" s="7"/>
      <c r="R33" s="7"/>
      <c r="S33" s="7"/>
      <c r="T33" s="7"/>
      <c r="U33" s="7"/>
      <c r="V33" s="7"/>
      <c r="W33" s="7"/>
      <c r="X33" s="7"/>
      <c r="Y33" s="7"/>
      <c r="Z33" s="7"/>
      <c r="AA33" s="7"/>
    </row>
    <row r="34" ht="15.75" customHeight="1">
      <c r="A34" s="7" t="s">
        <v>336</v>
      </c>
      <c r="B34" s="7" t="s">
        <v>587</v>
      </c>
      <c r="C34" s="7" t="s">
        <v>581</v>
      </c>
      <c r="D34" s="7" t="s">
        <v>755</v>
      </c>
      <c r="E34" s="31">
        <v>4.0</v>
      </c>
      <c r="F34" s="31">
        <v>2.0</v>
      </c>
      <c r="G34" s="37" t="s">
        <v>756</v>
      </c>
      <c r="H34" s="37" t="s">
        <v>757</v>
      </c>
      <c r="I34" s="7" t="s">
        <v>1990</v>
      </c>
      <c r="J34" s="7" t="s">
        <v>2116</v>
      </c>
      <c r="K34" s="7"/>
      <c r="L34" s="7"/>
      <c r="M34" s="7"/>
      <c r="N34" s="7"/>
      <c r="O34" s="7"/>
      <c r="P34" s="7"/>
      <c r="Q34" s="7"/>
      <c r="R34" s="7"/>
      <c r="S34" s="7"/>
      <c r="T34" s="7"/>
      <c r="U34" s="7"/>
      <c r="V34" s="7"/>
      <c r="W34" s="7"/>
      <c r="X34" s="7"/>
      <c r="Y34" s="7"/>
      <c r="Z34" s="7"/>
      <c r="AA34" s="7"/>
    </row>
    <row r="35" ht="15.75" customHeight="1">
      <c r="A35" s="7" t="s">
        <v>477</v>
      </c>
      <c r="B35" s="7" t="s">
        <v>587</v>
      </c>
      <c r="C35" s="7" t="s">
        <v>581</v>
      </c>
      <c r="D35" s="7" t="s">
        <v>759</v>
      </c>
      <c r="E35" s="31">
        <v>4.0</v>
      </c>
      <c r="F35" s="31">
        <v>2.0</v>
      </c>
      <c r="G35" s="37" t="s">
        <v>760</v>
      </c>
      <c r="H35" s="37" t="s">
        <v>762</v>
      </c>
      <c r="I35" s="7" t="s">
        <v>1990</v>
      </c>
      <c r="J35" s="7" t="s">
        <v>2116</v>
      </c>
      <c r="K35" s="7"/>
      <c r="L35" s="7"/>
      <c r="M35" s="7"/>
      <c r="N35" s="7"/>
      <c r="O35" s="7"/>
      <c r="P35" s="7"/>
      <c r="Q35" s="7"/>
      <c r="R35" s="7"/>
      <c r="S35" s="7"/>
      <c r="T35" s="7"/>
      <c r="U35" s="7"/>
      <c r="V35" s="7"/>
      <c r="W35" s="7"/>
      <c r="X35" s="7"/>
      <c r="Y35" s="7"/>
      <c r="Z35" s="7"/>
      <c r="AA35" s="7"/>
    </row>
    <row r="36" ht="15.75" customHeight="1">
      <c r="A36" s="7" t="s">
        <v>517</v>
      </c>
      <c r="B36" s="7" t="s">
        <v>587</v>
      </c>
      <c r="C36" s="7" t="s">
        <v>581</v>
      </c>
      <c r="D36" s="7" t="s">
        <v>763</v>
      </c>
      <c r="E36" s="31">
        <v>4.0</v>
      </c>
      <c r="F36" s="31">
        <v>2.0</v>
      </c>
      <c r="G36" s="37" t="s">
        <v>765</v>
      </c>
      <c r="H36" s="37" t="s">
        <v>766</v>
      </c>
      <c r="I36" s="7" t="s">
        <v>1990</v>
      </c>
      <c r="J36" s="7" t="s">
        <v>2116</v>
      </c>
      <c r="K36" s="7"/>
      <c r="L36" s="7"/>
      <c r="M36" s="7"/>
      <c r="N36" s="7"/>
      <c r="O36" s="7"/>
      <c r="P36" s="7"/>
      <c r="Q36" s="7"/>
      <c r="R36" s="7"/>
      <c r="S36" s="7"/>
      <c r="T36" s="7"/>
      <c r="U36" s="7"/>
      <c r="V36" s="7"/>
      <c r="W36" s="7"/>
      <c r="X36" s="7"/>
      <c r="Y36" s="7"/>
      <c r="Z36" s="7"/>
      <c r="AA36" s="7"/>
    </row>
    <row r="37" ht="15.75" customHeight="1">
      <c r="A37" s="7" t="s">
        <v>260</v>
      </c>
      <c r="B37" s="7" t="s">
        <v>587</v>
      </c>
      <c r="C37" s="7" t="s">
        <v>581</v>
      </c>
      <c r="D37" s="7" t="s">
        <v>769</v>
      </c>
      <c r="E37" s="31">
        <v>4.0</v>
      </c>
      <c r="F37" s="31">
        <v>2.0</v>
      </c>
      <c r="G37" s="37" t="s">
        <v>770</v>
      </c>
      <c r="H37" s="37" t="s">
        <v>771</v>
      </c>
      <c r="I37" s="7" t="s">
        <v>1990</v>
      </c>
      <c r="J37" s="7" t="s">
        <v>2116</v>
      </c>
      <c r="K37" s="7"/>
      <c r="L37" s="7"/>
      <c r="M37" s="7"/>
      <c r="N37" s="7"/>
      <c r="O37" s="7"/>
      <c r="P37" s="7"/>
      <c r="Q37" s="7"/>
      <c r="R37" s="7"/>
      <c r="S37" s="7"/>
      <c r="T37" s="7"/>
      <c r="U37" s="7"/>
      <c r="V37" s="7"/>
      <c r="W37" s="7"/>
      <c r="X37" s="7"/>
      <c r="Y37" s="7"/>
      <c r="Z37" s="7"/>
      <c r="AA37" s="7"/>
    </row>
    <row r="38" ht="15.75" customHeight="1">
      <c r="A38" s="7" t="s">
        <v>385</v>
      </c>
      <c r="B38" s="7" t="s">
        <v>587</v>
      </c>
      <c r="C38" s="7" t="s">
        <v>581</v>
      </c>
      <c r="D38" s="7" t="s">
        <v>773</v>
      </c>
      <c r="E38" s="31">
        <v>4.0</v>
      </c>
      <c r="F38" s="31">
        <v>2.0</v>
      </c>
      <c r="G38" s="37" t="s">
        <v>775</v>
      </c>
      <c r="H38" s="37" t="s">
        <v>776</v>
      </c>
      <c r="I38" s="7" t="s">
        <v>1990</v>
      </c>
      <c r="J38" s="7" t="s">
        <v>2116</v>
      </c>
      <c r="K38" s="7"/>
      <c r="L38" s="7"/>
      <c r="M38" s="7"/>
      <c r="N38" s="7"/>
      <c r="O38" s="7"/>
      <c r="P38" s="7"/>
      <c r="Q38" s="7"/>
      <c r="R38" s="7"/>
      <c r="S38" s="7"/>
      <c r="T38" s="7"/>
      <c r="U38" s="7"/>
      <c r="V38" s="7"/>
      <c r="W38" s="7"/>
      <c r="X38" s="7"/>
      <c r="Y38" s="7"/>
      <c r="Z38" s="7"/>
      <c r="AA38" s="7"/>
    </row>
    <row r="39" ht="15.75" customHeight="1">
      <c r="A39" s="7" t="s">
        <v>491</v>
      </c>
      <c r="B39" s="7" t="s">
        <v>587</v>
      </c>
      <c r="C39" s="7" t="s">
        <v>581</v>
      </c>
      <c r="D39" s="7" t="s">
        <v>777</v>
      </c>
      <c r="E39" s="31">
        <v>4.0</v>
      </c>
      <c r="F39" s="31">
        <v>2.0</v>
      </c>
      <c r="G39" s="37" t="s">
        <v>779</v>
      </c>
      <c r="H39" s="37" t="s">
        <v>780</v>
      </c>
      <c r="I39" s="7" t="s">
        <v>1990</v>
      </c>
      <c r="J39" s="7" t="s">
        <v>2116</v>
      </c>
      <c r="K39" s="7"/>
      <c r="L39" s="7"/>
      <c r="M39" s="7"/>
      <c r="N39" s="7"/>
      <c r="O39" s="7"/>
      <c r="P39" s="7"/>
      <c r="Q39" s="7"/>
      <c r="R39" s="7"/>
      <c r="S39" s="7"/>
      <c r="T39" s="7"/>
      <c r="U39" s="7"/>
      <c r="V39" s="7"/>
      <c r="W39" s="7"/>
      <c r="X39" s="7"/>
      <c r="Y39" s="7"/>
      <c r="Z39" s="7"/>
      <c r="AA39" s="7"/>
    </row>
    <row r="40" ht="15.75" customHeight="1">
      <c r="A40" s="7" t="s">
        <v>123</v>
      </c>
      <c r="B40" s="7" t="s">
        <v>587</v>
      </c>
      <c r="C40" s="7" t="s">
        <v>581</v>
      </c>
      <c r="D40" s="7" t="s">
        <v>782</v>
      </c>
      <c r="E40" s="31">
        <v>4.0</v>
      </c>
      <c r="F40" s="31">
        <v>2.0</v>
      </c>
      <c r="G40" s="37" t="s">
        <v>785</v>
      </c>
      <c r="H40" s="37" t="s">
        <v>786</v>
      </c>
      <c r="I40" s="7" t="s">
        <v>1990</v>
      </c>
      <c r="J40" s="7" t="s">
        <v>2116</v>
      </c>
      <c r="K40" s="7"/>
      <c r="L40" s="7"/>
      <c r="M40" s="7"/>
      <c r="N40" s="7"/>
      <c r="O40" s="7"/>
      <c r="P40" s="7"/>
      <c r="Q40" s="7"/>
      <c r="R40" s="7"/>
      <c r="S40" s="7"/>
      <c r="T40" s="7"/>
      <c r="U40" s="7"/>
      <c r="V40" s="7"/>
      <c r="W40" s="7"/>
      <c r="X40" s="7"/>
      <c r="Y40" s="7"/>
      <c r="Z40" s="7"/>
      <c r="AA40" s="7"/>
    </row>
    <row r="41" ht="15.75" customHeight="1">
      <c r="A41" s="7" t="s">
        <v>305</v>
      </c>
      <c r="B41" s="7" t="s">
        <v>587</v>
      </c>
      <c r="C41" s="7" t="s">
        <v>581</v>
      </c>
      <c r="D41" s="7" t="s">
        <v>788</v>
      </c>
      <c r="E41" s="31">
        <v>4.0</v>
      </c>
      <c r="F41" s="31">
        <v>2.0</v>
      </c>
      <c r="G41" s="37" t="s">
        <v>790</v>
      </c>
      <c r="H41" s="37" t="s">
        <v>791</v>
      </c>
      <c r="I41" s="7" t="s">
        <v>1990</v>
      </c>
      <c r="J41" s="7" t="s">
        <v>2116</v>
      </c>
      <c r="K41" s="7"/>
      <c r="L41" s="7"/>
      <c r="M41" s="7"/>
      <c r="N41" s="7"/>
      <c r="O41" s="7"/>
      <c r="P41" s="7"/>
      <c r="Q41" s="7"/>
      <c r="R41" s="7"/>
      <c r="S41" s="7"/>
      <c r="T41" s="7"/>
      <c r="U41" s="7"/>
      <c r="V41" s="7"/>
      <c r="W41" s="7"/>
      <c r="X41" s="7"/>
      <c r="Y41" s="7"/>
      <c r="Z41" s="7"/>
      <c r="AA41" s="7"/>
    </row>
    <row r="42" ht="15.75" customHeight="1">
      <c r="A42" s="7" t="s">
        <v>436</v>
      </c>
      <c r="B42" s="7" t="s">
        <v>587</v>
      </c>
      <c r="C42" s="7" t="s">
        <v>581</v>
      </c>
      <c r="D42" s="7" t="s">
        <v>793</v>
      </c>
      <c r="E42" s="31">
        <v>4.0</v>
      </c>
      <c r="F42" s="31">
        <v>2.0</v>
      </c>
      <c r="G42" s="37" t="s">
        <v>794</v>
      </c>
      <c r="H42" s="37" t="s">
        <v>796</v>
      </c>
      <c r="I42" s="7" t="s">
        <v>1990</v>
      </c>
      <c r="J42" s="7" t="s">
        <v>2116</v>
      </c>
      <c r="K42" s="7"/>
      <c r="L42" s="7"/>
      <c r="M42" s="7"/>
      <c r="N42" s="7"/>
      <c r="O42" s="7"/>
      <c r="P42" s="7"/>
      <c r="Q42" s="7"/>
      <c r="R42" s="7"/>
      <c r="S42" s="7"/>
      <c r="T42" s="7"/>
      <c r="U42" s="7"/>
      <c r="V42" s="7"/>
      <c r="W42" s="7"/>
      <c r="X42" s="7"/>
      <c r="Y42" s="7"/>
      <c r="Z42" s="7"/>
      <c r="AA42" s="7"/>
    </row>
    <row r="43" ht="15.75" customHeight="1">
      <c r="A43" s="7" t="s">
        <v>505</v>
      </c>
      <c r="B43" s="7" t="s">
        <v>587</v>
      </c>
      <c r="C43" s="7" t="s">
        <v>581</v>
      </c>
      <c r="D43" s="7" t="s">
        <v>799</v>
      </c>
      <c r="E43" s="31">
        <v>4.0</v>
      </c>
      <c r="F43" s="31">
        <v>2.0</v>
      </c>
      <c r="G43" s="37" t="s">
        <v>801</v>
      </c>
      <c r="H43" s="37" t="s">
        <v>802</v>
      </c>
      <c r="I43" s="7" t="s">
        <v>1990</v>
      </c>
      <c r="J43" s="7" t="s">
        <v>2116</v>
      </c>
      <c r="K43" s="7"/>
      <c r="L43" s="7"/>
      <c r="M43" s="7"/>
      <c r="N43" s="7"/>
      <c r="O43" s="7"/>
      <c r="P43" s="7"/>
      <c r="Q43" s="7"/>
      <c r="R43" s="7"/>
      <c r="S43" s="7"/>
      <c r="T43" s="7"/>
      <c r="U43" s="7"/>
      <c r="V43" s="7"/>
      <c r="W43" s="7"/>
      <c r="X43" s="7"/>
      <c r="Y43" s="7"/>
      <c r="Z43" s="7"/>
      <c r="AA43" s="7"/>
    </row>
    <row r="44" ht="15.75" customHeight="1">
      <c r="A44" s="7" t="s">
        <v>202</v>
      </c>
      <c r="B44" s="7" t="s">
        <v>587</v>
      </c>
      <c r="C44" s="7" t="s">
        <v>581</v>
      </c>
      <c r="D44" s="7" t="s">
        <v>803</v>
      </c>
      <c r="E44" s="31">
        <v>3.0</v>
      </c>
      <c r="F44" s="31">
        <v>1.0</v>
      </c>
      <c r="G44" s="37" t="s">
        <v>804</v>
      </c>
      <c r="H44" s="37" t="s">
        <v>805</v>
      </c>
      <c r="I44" s="7" t="s">
        <v>1990</v>
      </c>
      <c r="J44" s="7" t="s">
        <v>2116</v>
      </c>
      <c r="K44" s="7"/>
      <c r="L44" s="7"/>
      <c r="M44" s="7"/>
      <c r="N44" s="7"/>
      <c r="O44" s="7"/>
      <c r="P44" s="7"/>
      <c r="Q44" s="7"/>
      <c r="R44" s="7"/>
      <c r="S44" s="7"/>
      <c r="T44" s="7"/>
      <c r="U44" s="7"/>
      <c r="V44" s="7"/>
      <c r="W44" s="7"/>
      <c r="X44" s="7"/>
      <c r="Y44" s="7"/>
      <c r="Z44" s="7"/>
      <c r="AA44" s="7"/>
    </row>
    <row r="45" ht="15.75" customHeight="1">
      <c r="A45" s="7" t="s">
        <v>341</v>
      </c>
      <c r="B45" s="7" t="s">
        <v>587</v>
      </c>
      <c r="C45" s="7" t="s">
        <v>581</v>
      </c>
      <c r="D45" s="7" t="s">
        <v>783</v>
      </c>
      <c r="E45" s="31">
        <v>4.0</v>
      </c>
      <c r="F45" s="31">
        <v>2.0</v>
      </c>
      <c r="G45" s="37" t="s">
        <v>809</v>
      </c>
      <c r="H45" s="37" t="s">
        <v>739</v>
      </c>
      <c r="I45" s="7" t="s">
        <v>1990</v>
      </c>
      <c r="J45" s="7" t="s">
        <v>2116</v>
      </c>
      <c r="K45" s="7"/>
      <c r="L45" s="7"/>
      <c r="M45" s="7"/>
      <c r="N45" s="7"/>
      <c r="O45" s="7"/>
      <c r="P45" s="7"/>
      <c r="Q45" s="7"/>
      <c r="R45" s="7"/>
      <c r="S45" s="7"/>
      <c r="T45" s="7"/>
      <c r="U45" s="7"/>
      <c r="V45" s="7"/>
      <c r="W45" s="7"/>
      <c r="X45" s="7"/>
      <c r="Y45" s="7"/>
      <c r="Z45" s="7"/>
      <c r="AA45" s="7"/>
    </row>
    <row r="46" ht="15.75" customHeight="1">
      <c r="A46" s="7" t="s">
        <v>479</v>
      </c>
      <c r="B46" s="7" t="s">
        <v>587</v>
      </c>
      <c r="C46" s="7" t="s">
        <v>581</v>
      </c>
      <c r="D46" s="7" t="s">
        <v>811</v>
      </c>
      <c r="E46" s="31">
        <v>4.0</v>
      </c>
      <c r="F46" s="31">
        <v>2.0</v>
      </c>
      <c r="G46" s="37" t="s">
        <v>813</v>
      </c>
      <c r="H46" s="37" t="s">
        <v>814</v>
      </c>
      <c r="I46" s="7" t="s">
        <v>1990</v>
      </c>
      <c r="J46" s="7" t="s">
        <v>2116</v>
      </c>
      <c r="K46" s="7"/>
      <c r="L46" s="7"/>
      <c r="M46" s="7"/>
      <c r="N46" s="7"/>
      <c r="O46" s="7"/>
      <c r="P46" s="7"/>
      <c r="Q46" s="7"/>
      <c r="R46" s="7"/>
      <c r="S46" s="7"/>
      <c r="T46" s="7"/>
      <c r="U46" s="7"/>
      <c r="V46" s="7"/>
      <c r="W46" s="7"/>
      <c r="X46" s="7"/>
      <c r="Y46" s="7"/>
      <c r="Z46" s="7"/>
      <c r="AA46" s="7"/>
    </row>
    <row r="47" ht="15.75" customHeight="1">
      <c r="A47" s="47" t="s">
        <v>519</v>
      </c>
      <c r="B47" s="47" t="s">
        <v>587</v>
      </c>
      <c r="C47" s="47" t="s">
        <v>581</v>
      </c>
      <c r="D47" s="47" t="s">
        <v>748</v>
      </c>
      <c r="E47" s="48">
        <v>4.0</v>
      </c>
      <c r="F47" s="48">
        <v>2.0</v>
      </c>
      <c r="G47" s="37" t="s">
        <v>821</v>
      </c>
      <c r="H47" s="37" t="s">
        <v>822</v>
      </c>
      <c r="I47" s="47" t="s">
        <v>1990</v>
      </c>
      <c r="J47" s="7" t="s">
        <v>2116</v>
      </c>
      <c r="K47" s="47"/>
      <c r="L47" s="47"/>
      <c r="M47" s="47"/>
      <c r="N47" s="47"/>
      <c r="O47" s="47"/>
      <c r="P47" s="47"/>
      <c r="Q47" s="47"/>
      <c r="R47" s="47"/>
      <c r="S47" s="47"/>
      <c r="T47" s="47"/>
      <c r="U47" s="47"/>
      <c r="V47" s="47"/>
      <c r="W47" s="47"/>
      <c r="X47" s="47"/>
      <c r="Y47" s="47"/>
      <c r="Z47" s="47"/>
      <c r="AA47" s="47"/>
    </row>
    <row r="48" ht="15.75" customHeight="1">
      <c r="A48" s="49" t="s">
        <v>265</v>
      </c>
      <c r="B48" s="49" t="s">
        <v>595</v>
      </c>
      <c r="C48" s="49" t="s">
        <v>596</v>
      </c>
      <c r="D48" s="49" t="s">
        <v>829</v>
      </c>
      <c r="E48" s="50">
        <v>4.0</v>
      </c>
      <c r="F48" s="51">
        <v>2.0</v>
      </c>
      <c r="G48" s="52" t="s">
        <v>833</v>
      </c>
      <c r="H48" s="52" t="s">
        <v>791</v>
      </c>
      <c r="I48" s="83" t="s">
        <v>1993</v>
      </c>
      <c r="J48" s="7" t="s">
        <v>2116</v>
      </c>
      <c r="K48" s="49"/>
      <c r="L48" s="49"/>
      <c r="M48" s="49"/>
      <c r="N48" s="49"/>
      <c r="O48" s="49"/>
      <c r="P48" s="49"/>
      <c r="Q48" s="49"/>
      <c r="R48" s="49"/>
      <c r="S48" s="49"/>
      <c r="T48" s="49"/>
      <c r="U48" s="49"/>
      <c r="V48" s="49"/>
      <c r="W48" s="49"/>
      <c r="X48" s="49"/>
      <c r="Y48" s="49"/>
      <c r="Z48" s="49"/>
      <c r="AA48" s="49"/>
    </row>
    <row r="49" ht="15.75" customHeight="1">
      <c r="A49" s="7" t="s">
        <v>392</v>
      </c>
      <c r="B49" s="7" t="s">
        <v>595</v>
      </c>
      <c r="C49" s="7" t="s">
        <v>596</v>
      </c>
      <c r="D49" s="7" t="s">
        <v>838</v>
      </c>
      <c r="E49" s="31">
        <v>4.0</v>
      </c>
      <c r="F49" s="53">
        <v>2.0</v>
      </c>
      <c r="G49" s="54" t="s">
        <v>843</v>
      </c>
      <c r="H49" s="54" t="s">
        <v>844</v>
      </c>
      <c r="I49" s="84" t="s">
        <v>1993</v>
      </c>
      <c r="J49" s="7" t="s">
        <v>2116</v>
      </c>
      <c r="K49" s="7"/>
      <c r="L49" s="7"/>
      <c r="M49" s="7"/>
      <c r="N49" s="7"/>
      <c r="O49" s="7"/>
      <c r="P49" s="7"/>
      <c r="Q49" s="7"/>
      <c r="R49" s="7"/>
      <c r="S49" s="7"/>
      <c r="T49" s="7"/>
      <c r="U49" s="7"/>
      <c r="V49" s="7"/>
      <c r="W49" s="7"/>
      <c r="X49" s="7"/>
      <c r="Y49" s="7"/>
      <c r="Z49" s="7"/>
      <c r="AA49" s="7"/>
    </row>
    <row r="50" ht="15.75" customHeight="1">
      <c r="A50" s="7" t="s">
        <v>493</v>
      </c>
      <c r="B50" s="7" t="s">
        <v>595</v>
      </c>
      <c r="C50" s="7" t="s">
        <v>596</v>
      </c>
      <c r="D50" s="7" t="s">
        <v>823</v>
      </c>
      <c r="E50" s="31">
        <v>4.0</v>
      </c>
      <c r="F50" s="53">
        <v>2.0</v>
      </c>
      <c r="G50" s="54" t="s">
        <v>848</v>
      </c>
      <c r="H50" s="54" t="s">
        <v>849</v>
      </c>
      <c r="I50" s="84" t="s">
        <v>1993</v>
      </c>
      <c r="J50" s="7" t="s">
        <v>2116</v>
      </c>
      <c r="K50" s="7"/>
      <c r="L50" s="7"/>
      <c r="M50" s="7"/>
      <c r="N50" s="7"/>
      <c r="O50" s="7"/>
      <c r="P50" s="7"/>
      <c r="Q50" s="7"/>
      <c r="R50" s="7"/>
      <c r="S50" s="7"/>
      <c r="T50" s="7"/>
      <c r="U50" s="7"/>
      <c r="V50" s="7"/>
      <c r="W50" s="7"/>
      <c r="X50" s="7"/>
      <c r="Y50" s="7"/>
      <c r="Z50" s="7"/>
      <c r="AA50" s="7"/>
    </row>
    <row r="51" ht="15.75" customHeight="1">
      <c r="A51" s="7" t="s">
        <v>136</v>
      </c>
      <c r="B51" s="7" t="s">
        <v>595</v>
      </c>
      <c r="C51" s="7" t="s">
        <v>596</v>
      </c>
      <c r="D51" s="7" t="s">
        <v>852</v>
      </c>
      <c r="E51" s="31">
        <v>4.0</v>
      </c>
      <c r="F51" s="53">
        <v>2.0</v>
      </c>
      <c r="G51" s="54" t="s">
        <v>853</v>
      </c>
      <c r="H51" s="54" t="s">
        <v>854</v>
      </c>
      <c r="I51" s="84" t="s">
        <v>1993</v>
      </c>
      <c r="J51" s="7" t="s">
        <v>2116</v>
      </c>
      <c r="K51" s="7"/>
      <c r="L51" s="7"/>
      <c r="M51" s="7"/>
      <c r="N51" s="7"/>
      <c r="O51" s="7"/>
      <c r="P51" s="7"/>
      <c r="Q51" s="7"/>
      <c r="R51" s="7"/>
      <c r="S51" s="7"/>
      <c r="T51" s="7"/>
      <c r="U51" s="7"/>
      <c r="V51" s="7"/>
      <c r="W51" s="7"/>
      <c r="X51" s="7"/>
      <c r="Y51" s="7"/>
      <c r="Z51" s="7"/>
      <c r="AA51" s="7"/>
    </row>
    <row r="52" ht="15.75" customHeight="1">
      <c r="A52" s="7" t="s">
        <v>312</v>
      </c>
      <c r="B52" s="7" t="s">
        <v>595</v>
      </c>
      <c r="C52" s="7" t="s">
        <v>596</v>
      </c>
      <c r="D52" s="7" t="s">
        <v>857</v>
      </c>
      <c r="E52" s="31">
        <v>4.0</v>
      </c>
      <c r="F52" s="53">
        <v>2.0</v>
      </c>
      <c r="G52" s="54" t="s">
        <v>858</v>
      </c>
      <c r="H52" s="54" t="s">
        <v>859</v>
      </c>
      <c r="I52" s="84" t="s">
        <v>1993</v>
      </c>
      <c r="J52" s="7" t="s">
        <v>2116</v>
      </c>
      <c r="K52" s="7"/>
      <c r="L52" s="7"/>
      <c r="M52" s="7"/>
      <c r="N52" s="7"/>
      <c r="O52" s="7"/>
      <c r="P52" s="7"/>
      <c r="Q52" s="7"/>
      <c r="R52" s="7"/>
      <c r="S52" s="7"/>
      <c r="T52" s="7"/>
      <c r="U52" s="7"/>
      <c r="V52" s="7"/>
      <c r="W52" s="7"/>
      <c r="X52" s="7"/>
      <c r="Y52" s="7"/>
      <c r="Z52" s="7"/>
      <c r="AA52" s="7"/>
    </row>
    <row r="53" ht="15.75" customHeight="1">
      <c r="A53" s="7" t="s">
        <v>443</v>
      </c>
      <c r="B53" s="7" t="s">
        <v>595</v>
      </c>
      <c r="C53" s="7" t="s">
        <v>596</v>
      </c>
      <c r="D53" s="7" t="s">
        <v>808</v>
      </c>
      <c r="E53" s="31">
        <v>4.0</v>
      </c>
      <c r="F53" s="53">
        <v>2.0</v>
      </c>
      <c r="G53" s="54" t="s">
        <v>862</v>
      </c>
      <c r="H53" s="54" t="s">
        <v>863</v>
      </c>
      <c r="I53" s="84" t="s">
        <v>1993</v>
      </c>
      <c r="J53" s="7" t="s">
        <v>2116</v>
      </c>
      <c r="K53" s="7"/>
      <c r="L53" s="7"/>
      <c r="M53" s="7"/>
      <c r="N53" s="7"/>
      <c r="O53" s="7"/>
      <c r="P53" s="7"/>
      <c r="Q53" s="7"/>
      <c r="R53" s="7"/>
      <c r="S53" s="7"/>
      <c r="T53" s="7"/>
      <c r="U53" s="7"/>
      <c r="V53" s="7"/>
      <c r="W53" s="7"/>
      <c r="X53" s="7"/>
      <c r="Y53" s="7"/>
      <c r="Z53" s="7"/>
      <c r="AA53" s="7"/>
    </row>
    <row r="54" ht="15.75" customHeight="1">
      <c r="A54" s="7" t="s">
        <v>507</v>
      </c>
      <c r="B54" s="7" t="s">
        <v>595</v>
      </c>
      <c r="C54" s="7" t="s">
        <v>596</v>
      </c>
      <c r="D54" s="7" t="s">
        <v>864</v>
      </c>
      <c r="E54" s="31">
        <v>4.0</v>
      </c>
      <c r="F54" s="53">
        <v>2.0</v>
      </c>
      <c r="G54" s="54" t="s">
        <v>865</v>
      </c>
      <c r="H54" s="54" t="s">
        <v>866</v>
      </c>
      <c r="I54" s="84" t="s">
        <v>1993</v>
      </c>
      <c r="J54" s="7" t="s">
        <v>2116</v>
      </c>
      <c r="K54" s="7"/>
      <c r="L54" s="7"/>
      <c r="M54" s="7"/>
      <c r="N54" s="7"/>
      <c r="O54" s="7"/>
      <c r="P54" s="7"/>
      <c r="Q54" s="7"/>
      <c r="R54" s="7"/>
      <c r="S54" s="7"/>
      <c r="T54" s="7"/>
      <c r="U54" s="7"/>
      <c r="V54" s="7"/>
      <c r="W54" s="7"/>
      <c r="X54" s="7"/>
      <c r="Y54" s="7"/>
      <c r="Z54" s="7"/>
      <c r="AA54" s="7"/>
    </row>
    <row r="55" ht="15.75" customHeight="1">
      <c r="A55" s="7" t="s">
        <v>211</v>
      </c>
      <c r="B55" s="7" t="s">
        <v>595</v>
      </c>
      <c r="C55" s="7" t="s">
        <v>596</v>
      </c>
      <c r="D55" s="7" t="s">
        <v>868</v>
      </c>
      <c r="E55" s="31">
        <v>5.0</v>
      </c>
      <c r="F55" s="53">
        <v>2.0</v>
      </c>
      <c r="G55" s="54" t="s">
        <v>870</v>
      </c>
      <c r="H55" s="54" t="s">
        <v>871</v>
      </c>
      <c r="I55" s="84" t="s">
        <v>1993</v>
      </c>
      <c r="J55" s="7" t="s">
        <v>2116</v>
      </c>
      <c r="K55" s="7"/>
      <c r="L55" s="7"/>
      <c r="M55" s="7"/>
      <c r="N55" s="7"/>
      <c r="O55" s="7"/>
      <c r="P55" s="7"/>
      <c r="Q55" s="7"/>
      <c r="R55" s="7"/>
      <c r="S55" s="7"/>
      <c r="T55" s="7"/>
      <c r="U55" s="7"/>
      <c r="V55" s="7"/>
      <c r="W55" s="7"/>
      <c r="X55" s="7"/>
      <c r="Y55" s="7"/>
      <c r="Z55" s="7"/>
      <c r="AA55" s="7"/>
    </row>
    <row r="56" ht="15.75" customHeight="1">
      <c r="A56" s="7" t="s">
        <v>346</v>
      </c>
      <c r="B56" s="7" t="s">
        <v>595</v>
      </c>
      <c r="C56" s="7" t="s">
        <v>596</v>
      </c>
      <c r="D56" s="7" t="s">
        <v>873</v>
      </c>
      <c r="E56" s="31">
        <v>4.0</v>
      </c>
      <c r="F56" s="53">
        <v>2.0</v>
      </c>
      <c r="G56" s="54" t="s">
        <v>874</v>
      </c>
      <c r="H56" s="54" t="s">
        <v>876</v>
      </c>
      <c r="I56" s="84" t="s">
        <v>1993</v>
      </c>
      <c r="J56" s="7" t="s">
        <v>2116</v>
      </c>
      <c r="K56" s="7"/>
      <c r="L56" s="7"/>
      <c r="M56" s="7"/>
      <c r="N56" s="7"/>
      <c r="O56" s="7"/>
      <c r="P56" s="7"/>
      <c r="Q56" s="7"/>
      <c r="R56" s="7"/>
      <c r="S56" s="7"/>
      <c r="T56" s="7"/>
      <c r="U56" s="7"/>
      <c r="V56" s="7"/>
      <c r="W56" s="7"/>
      <c r="X56" s="7"/>
      <c r="Y56" s="7"/>
      <c r="Z56" s="7"/>
      <c r="AA56" s="7"/>
    </row>
    <row r="57" ht="15.75" customHeight="1">
      <c r="A57" s="7" t="s">
        <v>481</v>
      </c>
      <c r="B57" s="7" t="s">
        <v>595</v>
      </c>
      <c r="C57" s="7" t="s">
        <v>596</v>
      </c>
      <c r="D57" s="7" t="s">
        <v>774</v>
      </c>
      <c r="E57" s="31">
        <v>4.0</v>
      </c>
      <c r="F57" s="53">
        <v>2.0</v>
      </c>
      <c r="G57" s="54" t="s">
        <v>878</v>
      </c>
      <c r="H57" s="54" t="s">
        <v>871</v>
      </c>
      <c r="I57" s="84" t="s">
        <v>1993</v>
      </c>
      <c r="J57" s="7" t="s">
        <v>2116</v>
      </c>
      <c r="K57" s="7"/>
      <c r="L57" s="7"/>
      <c r="M57" s="7"/>
      <c r="N57" s="7"/>
      <c r="O57" s="7"/>
      <c r="P57" s="7"/>
      <c r="Q57" s="7"/>
      <c r="R57" s="7"/>
      <c r="S57" s="7"/>
      <c r="T57" s="7"/>
      <c r="U57" s="7"/>
      <c r="V57" s="7"/>
      <c r="W57" s="7"/>
      <c r="X57" s="7"/>
      <c r="Y57" s="7"/>
      <c r="Z57" s="7"/>
      <c r="AA57" s="7"/>
    </row>
    <row r="58" ht="15.75" customHeight="1">
      <c r="A58" s="56" t="s">
        <v>521</v>
      </c>
      <c r="B58" s="56" t="s">
        <v>602</v>
      </c>
      <c r="C58" s="56" t="s">
        <v>603</v>
      </c>
      <c r="D58" s="56" t="s">
        <v>882</v>
      </c>
      <c r="E58" s="57">
        <v>4.0</v>
      </c>
      <c r="F58" s="58">
        <v>2.0</v>
      </c>
      <c r="G58" s="59" t="s">
        <v>887</v>
      </c>
      <c r="H58" s="59" t="s">
        <v>889</v>
      </c>
      <c r="I58" s="86" t="s">
        <v>1997</v>
      </c>
      <c r="J58" s="7" t="s">
        <v>2116</v>
      </c>
      <c r="K58" s="56"/>
      <c r="L58" s="56"/>
      <c r="M58" s="56"/>
      <c r="N58" s="56"/>
      <c r="O58" s="56"/>
      <c r="P58" s="56"/>
      <c r="Q58" s="56"/>
      <c r="R58" s="56"/>
      <c r="S58" s="56"/>
      <c r="T58" s="56"/>
      <c r="U58" s="56"/>
      <c r="V58" s="56"/>
      <c r="W58" s="56"/>
      <c r="X58" s="56"/>
      <c r="Y58" s="56"/>
      <c r="Z58" s="56"/>
      <c r="AA58" s="56"/>
    </row>
    <row r="59" ht="15.75" customHeight="1">
      <c r="A59" s="7" t="s">
        <v>272</v>
      </c>
      <c r="B59" s="7" t="s">
        <v>602</v>
      </c>
      <c r="C59" s="7" t="s">
        <v>603</v>
      </c>
      <c r="D59" s="7" t="s">
        <v>891</v>
      </c>
      <c r="E59" s="31">
        <v>4.0</v>
      </c>
      <c r="F59" s="53">
        <v>2.0</v>
      </c>
      <c r="G59" s="37" t="s">
        <v>893</v>
      </c>
      <c r="H59" s="37" t="s">
        <v>894</v>
      </c>
      <c r="I59" s="84" t="s">
        <v>1997</v>
      </c>
      <c r="J59" s="7" t="s">
        <v>2116</v>
      </c>
      <c r="K59" s="7"/>
      <c r="L59" s="7"/>
      <c r="M59" s="7"/>
      <c r="N59" s="7"/>
      <c r="O59" s="7"/>
      <c r="P59" s="7"/>
      <c r="Q59" s="7"/>
      <c r="R59" s="7"/>
      <c r="S59" s="7"/>
      <c r="T59" s="7"/>
      <c r="U59" s="7"/>
      <c r="V59" s="7"/>
      <c r="W59" s="7"/>
      <c r="X59" s="7"/>
      <c r="Y59" s="7"/>
      <c r="Z59" s="7"/>
      <c r="AA59" s="7"/>
    </row>
    <row r="60" ht="15.75" customHeight="1">
      <c r="A60" s="7" t="s">
        <v>401</v>
      </c>
      <c r="B60" s="7" t="s">
        <v>602</v>
      </c>
      <c r="C60" s="7" t="s">
        <v>603</v>
      </c>
      <c r="D60" s="7" t="s">
        <v>895</v>
      </c>
      <c r="E60" s="31">
        <v>4.0</v>
      </c>
      <c r="F60" s="53">
        <v>2.0</v>
      </c>
      <c r="G60" s="37" t="s">
        <v>896</v>
      </c>
      <c r="H60" s="37" t="s">
        <v>898</v>
      </c>
      <c r="I60" s="84" t="s">
        <v>1997</v>
      </c>
      <c r="J60" s="7" t="s">
        <v>2116</v>
      </c>
      <c r="K60" s="7"/>
      <c r="L60" s="7"/>
      <c r="M60" s="7"/>
      <c r="N60" s="7"/>
      <c r="O60" s="7"/>
      <c r="P60" s="7"/>
      <c r="Q60" s="7"/>
      <c r="R60" s="7"/>
      <c r="S60" s="7"/>
      <c r="T60" s="7"/>
      <c r="U60" s="7"/>
      <c r="V60" s="7"/>
      <c r="W60" s="7"/>
      <c r="X60" s="7"/>
      <c r="Y60" s="7"/>
      <c r="Z60" s="7"/>
      <c r="AA60" s="7"/>
    </row>
    <row r="61" ht="15.75" customHeight="1">
      <c r="A61" s="7" t="s">
        <v>495</v>
      </c>
      <c r="B61" s="7" t="s">
        <v>602</v>
      </c>
      <c r="C61" s="7" t="s">
        <v>603</v>
      </c>
      <c r="D61" s="7" t="s">
        <v>900</v>
      </c>
      <c r="E61" s="31">
        <v>5.0</v>
      </c>
      <c r="F61" s="53">
        <v>2.0</v>
      </c>
      <c r="G61" s="37" t="s">
        <v>901</v>
      </c>
      <c r="H61" s="37" t="s">
        <v>902</v>
      </c>
      <c r="I61" s="84" t="s">
        <v>1997</v>
      </c>
      <c r="J61" s="7" t="s">
        <v>2116</v>
      </c>
      <c r="K61" s="7"/>
      <c r="L61" s="7"/>
      <c r="M61" s="7"/>
      <c r="N61" s="7"/>
      <c r="O61" s="7"/>
      <c r="P61" s="7"/>
      <c r="Q61" s="7"/>
      <c r="R61" s="7"/>
      <c r="S61" s="7"/>
      <c r="T61" s="7"/>
      <c r="U61" s="7"/>
      <c r="V61" s="7"/>
      <c r="W61" s="7"/>
      <c r="X61" s="7"/>
      <c r="Y61" s="7"/>
      <c r="Z61" s="7"/>
      <c r="AA61" s="7"/>
    </row>
    <row r="62" ht="15.75" customHeight="1">
      <c r="A62" s="7" t="s">
        <v>146</v>
      </c>
      <c r="B62" s="7" t="s">
        <v>602</v>
      </c>
      <c r="C62" s="7" t="s">
        <v>603</v>
      </c>
      <c r="D62" s="7" t="s">
        <v>906</v>
      </c>
      <c r="E62" s="31">
        <v>4.0</v>
      </c>
      <c r="F62" s="53">
        <v>2.0</v>
      </c>
      <c r="G62" s="37" t="s">
        <v>907</v>
      </c>
      <c r="H62" s="37" t="s">
        <v>908</v>
      </c>
      <c r="I62" s="84" t="s">
        <v>1997</v>
      </c>
      <c r="J62" s="7" t="s">
        <v>2116</v>
      </c>
      <c r="K62" s="7"/>
      <c r="L62" s="7"/>
      <c r="M62" s="7"/>
      <c r="N62" s="7"/>
      <c r="O62" s="7"/>
      <c r="P62" s="7"/>
      <c r="Q62" s="7"/>
      <c r="R62" s="7"/>
      <c r="S62" s="7"/>
      <c r="T62" s="7"/>
      <c r="U62" s="7"/>
      <c r="V62" s="7"/>
      <c r="W62" s="7"/>
      <c r="X62" s="7"/>
      <c r="Y62" s="7"/>
      <c r="Z62" s="7"/>
      <c r="AA62" s="7"/>
    </row>
    <row r="63" ht="15.75" customHeight="1">
      <c r="A63" s="7" t="s">
        <v>317</v>
      </c>
      <c r="B63" s="7" t="s">
        <v>602</v>
      </c>
      <c r="C63" s="7" t="s">
        <v>603</v>
      </c>
      <c r="D63" s="7" t="s">
        <v>917</v>
      </c>
      <c r="E63" s="31">
        <v>4.0</v>
      </c>
      <c r="F63" s="53">
        <v>2.0</v>
      </c>
      <c r="G63" s="37" t="s">
        <v>919</v>
      </c>
      <c r="H63" s="37" t="s">
        <v>920</v>
      </c>
      <c r="I63" s="84" t="s">
        <v>1997</v>
      </c>
      <c r="J63" s="7" t="s">
        <v>2116</v>
      </c>
      <c r="K63" s="7"/>
      <c r="L63" s="7"/>
      <c r="M63" s="7"/>
      <c r="N63" s="7"/>
      <c r="O63" s="7"/>
      <c r="P63" s="7"/>
      <c r="Q63" s="7"/>
      <c r="R63" s="7"/>
      <c r="S63" s="7"/>
      <c r="T63" s="7"/>
      <c r="U63" s="7"/>
      <c r="V63" s="7"/>
      <c r="W63" s="7"/>
      <c r="X63" s="7"/>
      <c r="Y63" s="7"/>
      <c r="Z63" s="7"/>
      <c r="AA63" s="7"/>
    </row>
    <row r="64" ht="15.75" customHeight="1">
      <c r="A64" s="7" t="s">
        <v>449</v>
      </c>
      <c r="B64" s="7" t="s">
        <v>602</v>
      </c>
      <c r="C64" s="7" t="s">
        <v>603</v>
      </c>
      <c r="D64" s="7" t="s">
        <v>830</v>
      </c>
      <c r="E64" s="31">
        <v>4.0</v>
      </c>
      <c r="F64" s="53">
        <v>2.0</v>
      </c>
      <c r="G64" s="37" t="s">
        <v>922</v>
      </c>
      <c r="H64" s="60" t="s">
        <v>925</v>
      </c>
      <c r="I64" s="84" t="s">
        <v>1997</v>
      </c>
      <c r="J64" s="7" t="s">
        <v>2116</v>
      </c>
      <c r="K64" s="7"/>
      <c r="L64" s="7"/>
      <c r="M64" s="7"/>
      <c r="N64" s="7"/>
      <c r="O64" s="7"/>
      <c r="P64" s="7"/>
      <c r="Q64" s="7"/>
      <c r="R64" s="7"/>
      <c r="S64" s="7"/>
      <c r="T64" s="7"/>
      <c r="U64" s="7"/>
      <c r="V64" s="7"/>
      <c r="W64" s="7"/>
      <c r="X64" s="7"/>
      <c r="Y64" s="7"/>
      <c r="Z64" s="7"/>
      <c r="AA64" s="7"/>
    </row>
    <row r="65" ht="15.75" customHeight="1">
      <c r="A65" s="7" t="s">
        <v>509</v>
      </c>
      <c r="B65" s="7" t="s">
        <v>602</v>
      </c>
      <c r="C65" s="7" t="s">
        <v>603</v>
      </c>
      <c r="D65" s="7" t="s">
        <v>885</v>
      </c>
      <c r="E65" s="31">
        <v>4.0</v>
      </c>
      <c r="F65" s="53">
        <v>2.0</v>
      </c>
      <c r="G65" s="37" t="s">
        <v>932</v>
      </c>
      <c r="H65" s="37" t="s">
        <v>933</v>
      </c>
      <c r="I65" s="84" t="s">
        <v>1997</v>
      </c>
      <c r="J65" s="7" t="s">
        <v>2116</v>
      </c>
      <c r="K65" s="7"/>
      <c r="L65" s="7"/>
      <c r="M65" s="7"/>
      <c r="N65" s="7"/>
      <c r="O65" s="7"/>
      <c r="P65" s="7"/>
      <c r="Q65" s="7"/>
      <c r="R65" s="7"/>
      <c r="S65" s="7"/>
      <c r="T65" s="7"/>
      <c r="U65" s="7"/>
      <c r="V65" s="7"/>
      <c r="W65" s="7"/>
      <c r="X65" s="7"/>
      <c r="Y65" s="7"/>
      <c r="Z65" s="7"/>
      <c r="AA65" s="7"/>
    </row>
    <row r="66" ht="15.75" customHeight="1">
      <c r="A66" s="61" t="s">
        <v>221</v>
      </c>
      <c r="B66" s="61" t="s">
        <v>608</v>
      </c>
      <c r="C66" s="61" t="s">
        <v>605</v>
      </c>
      <c r="D66" s="61" t="s">
        <v>841</v>
      </c>
      <c r="E66" s="62">
        <v>4.0</v>
      </c>
      <c r="F66" s="62">
        <v>2.0</v>
      </c>
      <c r="G66" s="63" t="s">
        <v>941</v>
      </c>
      <c r="H66" s="63" t="s">
        <v>943</v>
      </c>
      <c r="I66" s="61" t="s">
        <v>2000</v>
      </c>
      <c r="J66" s="7" t="s">
        <v>2116</v>
      </c>
      <c r="K66" s="61"/>
      <c r="L66" s="61"/>
      <c r="M66" s="61"/>
      <c r="N66" s="61"/>
      <c r="O66" s="61"/>
      <c r="P66" s="61"/>
      <c r="Q66" s="61"/>
      <c r="R66" s="61"/>
      <c r="S66" s="61"/>
      <c r="T66" s="61"/>
      <c r="U66" s="61"/>
      <c r="V66" s="61"/>
      <c r="W66" s="61"/>
      <c r="X66" s="61"/>
      <c r="Y66" s="61"/>
      <c r="Z66" s="61"/>
      <c r="AA66" s="61"/>
    </row>
    <row r="67" ht="15.75" customHeight="1">
      <c r="A67" s="7" t="s">
        <v>354</v>
      </c>
      <c r="B67" s="7" t="s">
        <v>608</v>
      </c>
      <c r="C67" s="7" t="s">
        <v>605</v>
      </c>
      <c r="D67" s="7" t="s">
        <v>905</v>
      </c>
      <c r="E67" s="31">
        <v>6.0</v>
      </c>
      <c r="F67" s="31">
        <v>3.0</v>
      </c>
      <c r="G67" s="37" t="s">
        <v>946</v>
      </c>
      <c r="H67" s="37" t="s">
        <v>947</v>
      </c>
      <c r="I67" s="7" t="s">
        <v>2000</v>
      </c>
      <c r="J67" s="7" t="s">
        <v>2116</v>
      </c>
      <c r="K67" s="7"/>
      <c r="L67" s="7"/>
      <c r="M67" s="7"/>
      <c r="N67" s="7"/>
      <c r="O67" s="7"/>
      <c r="P67" s="7"/>
      <c r="Q67" s="7"/>
      <c r="R67" s="7"/>
      <c r="S67" s="7"/>
      <c r="T67" s="7"/>
      <c r="U67" s="7"/>
      <c r="V67" s="7"/>
      <c r="W67" s="7"/>
      <c r="X67" s="7"/>
      <c r="Y67" s="7"/>
      <c r="Z67" s="7"/>
      <c r="AA67" s="7"/>
    </row>
    <row r="68" ht="15.75" customHeight="1">
      <c r="A68" s="7" t="s">
        <v>483</v>
      </c>
      <c r="B68" s="7" t="s">
        <v>608</v>
      </c>
      <c r="C68" s="7" t="s">
        <v>605</v>
      </c>
      <c r="D68" s="7" t="s">
        <v>803</v>
      </c>
      <c r="E68" s="31">
        <v>4.0</v>
      </c>
      <c r="F68" s="31">
        <v>2.0</v>
      </c>
      <c r="G68" s="37" t="s">
        <v>948</v>
      </c>
      <c r="H68" s="37" t="s">
        <v>950</v>
      </c>
      <c r="I68" s="7" t="s">
        <v>2000</v>
      </c>
      <c r="J68" s="7" t="s">
        <v>2116</v>
      </c>
      <c r="K68" s="7"/>
      <c r="L68" s="7"/>
      <c r="M68" s="7"/>
      <c r="N68" s="7"/>
      <c r="O68" s="7"/>
      <c r="P68" s="7"/>
      <c r="Q68" s="7"/>
      <c r="R68" s="7"/>
      <c r="S68" s="7"/>
      <c r="T68" s="7"/>
      <c r="U68" s="7"/>
      <c r="V68" s="7"/>
      <c r="W68" s="7"/>
      <c r="X68" s="7"/>
      <c r="Y68" s="7"/>
      <c r="Z68" s="7"/>
      <c r="AA68" s="7"/>
    </row>
    <row r="69" ht="15.75" customHeight="1">
      <c r="A69" s="7" t="s">
        <v>523</v>
      </c>
      <c r="B69" s="7" t="s">
        <v>608</v>
      </c>
      <c r="C69" s="7" t="s">
        <v>605</v>
      </c>
      <c r="D69" s="7" t="s">
        <v>872</v>
      </c>
      <c r="E69" s="31">
        <v>6.0</v>
      </c>
      <c r="F69" s="31">
        <v>3.0</v>
      </c>
      <c r="G69" s="37" t="s">
        <v>952</v>
      </c>
      <c r="H69" s="37" t="s">
        <v>953</v>
      </c>
      <c r="I69" s="7" t="s">
        <v>2000</v>
      </c>
      <c r="J69" s="7" t="s">
        <v>2116</v>
      </c>
      <c r="K69" s="7"/>
      <c r="L69" s="7"/>
      <c r="M69" s="7"/>
      <c r="N69" s="7"/>
      <c r="O69" s="7"/>
      <c r="P69" s="7"/>
      <c r="Q69" s="7"/>
      <c r="R69" s="7"/>
      <c r="S69" s="7"/>
      <c r="T69" s="7"/>
      <c r="U69" s="7"/>
      <c r="V69" s="7"/>
      <c r="W69" s="7"/>
      <c r="X69" s="7"/>
      <c r="Y69" s="7"/>
      <c r="Z69" s="7"/>
      <c r="AA69" s="7"/>
    </row>
    <row r="70" ht="15.75" customHeight="1">
      <c r="A70" s="7" t="s">
        <v>279</v>
      </c>
      <c r="B70" s="7" t="s">
        <v>608</v>
      </c>
      <c r="C70" s="7" t="s">
        <v>605</v>
      </c>
      <c r="D70" s="7" t="s">
        <v>956</v>
      </c>
      <c r="E70" s="31">
        <v>4.0</v>
      </c>
      <c r="F70" s="31">
        <v>2.0</v>
      </c>
      <c r="G70" s="37" t="s">
        <v>957</v>
      </c>
      <c r="H70" s="37" t="s">
        <v>958</v>
      </c>
      <c r="I70" s="7" t="s">
        <v>2000</v>
      </c>
      <c r="J70" s="7" t="s">
        <v>2116</v>
      </c>
      <c r="K70" s="7"/>
      <c r="L70" s="7"/>
      <c r="M70" s="7"/>
      <c r="N70" s="7"/>
      <c r="O70" s="7"/>
      <c r="P70" s="7"/>
      <c r="Q70" s="7"/>
      <c r="R70" s="7"/>
      <c r="S70" s="7"/>
      <c r="T70" s="7"/>
      <c r="U70" s="7"/>
      <c r="V70" s="7"/>
      <c r="W70" s="7"/>
      <c r="X70" s="7"/>
      <c r="Y70" s="7"/>
      <c r="Z70" s="7"/>
      <c r="AA70" s="7"/>
    </row>
    <row r="71" ht="15.75" customHeight="1">
      <c r="A71" s="7" t="s">
        <v>408</v>
      </c>
      <c r="B71" s="7" t="s">
        <v>608</v>
      </c>
      <c r="C71" s="7" t="s">
        <v>605</v>
      </c>
      <c r="D71" s="7" t="s">
        <v>847</v>
      </c>
      <c r="E71" s="31">
        <v>4.0</v>
      </c>
      <c r="F71" s="31">
        <v>2.0</v>
      </c>
      <c r="G71" s="37" t="s">
        <v>961</v>
      </c>
      <c r="H71" s="37" t="s">
        <v>962</v>
      </c>
      <c r="I71" s="7" t="s">
        <v>2000</v>
      </c>
      <c r="J71" s="7" t="s">
        <v>2116</v>
      </c>
      <c r="K71" s="7"/>
      <c r="L71" s="7"/>
      <c r="M71" s="7"/>
      <c r="N71" s="7"/>
      <c r="O71" s="7"/>
      <c r="P71" s="7"/>
      <c r="Q71" s="7"/>
      <c r="R71" s="7"/>
      <c r="S71" s="7"/>
      <c r="T71" s="7"/>
      <c r="U71" s="7"/>
      <c r="V71" s="7"/>
      <c r="W71" s="7"/>
      <c r="X71" s="7"/>
      <c r="Y71" s="7"/>
      <c r="Z71" s="7"/>
      <c r="AA71" s="7"/>
    </row>
    <row r="72" ht="15.75" customHeight="1">
      <c r="A72" s="7" t="s">
        <v>497</v>
      </c>
      <c r="B72" s="7" t="s">
        <v>608</v>
      </c>
      <c r="C72" s="7" t="s">
        <v>605</v>
      </c>
      <c r="D72" s="7" t="s">
        <v>912</v>
      </c>
      <c r="E72" s="31">
        <v>4.0</v>
      </c>
      <c r="F72" s="31">
        <v>2.0</v>
      </c>
      <c r="G72" s="37" t="s">
        <v>964</v>
      </c>
      <c r="H72" s="37" t="s">
        <v>966</v>
      </c>
      <c r="I72" s="7" t="s">
        <v>2000</v>
      </c>
      <c r="J72" s="7" t="s">
        <v>2116</v>
      </c>
      <c r="K72" s="7"/>
      <c r="L72" s="7"/>
      <c r="M72" s="7"/>
      <c r="N72" s="7"/>
      <c r="O72" s="7"/>
      <c r="P72" s="7"/>
      <c r="Q72" s="7"/>
      <c r="R72" s="7"/>
      <c r="S72" s="7"/>
      <c r="T72" s="7"/>
      <c r="U72" s="7"/>
      <c r="V72" s="7"/>
      <c r="W72" s="7"/>
      <c r="X72" s="7"/>
      <c r="Y72" s="7"/>
      <c r="Z72" s="7"/>
      <c r="AA72" s="7"/>
    </row>
    <row r="73" ht="15.75" customHeight="1">
      <c r="A73" s="7" t="s">
        <v>160</v>
      </c>
      <c r="B73" s="7" t="s">
        <v>608</v>
      </c>
      <c r="C73" s="7" t="s">
        <v>605</v>
      </c>
      <c r="D73" s="7" t="s">
        <v>937</v>
      </c>
      <c r="E73" s="31">
        <v>4.0</v>
      </c>
      <c r="F73" s="31">
        <v>2.0</v>
      </c>
      <c r="G73" s="37" t="s">
        <v>967</v>
      </c>
      <c r="H73" s="37" t="s">
        <v>969</v>
      </c>
      <c r="I73" s="7" t="s">
        <v>2000</v>
      </c>
      <c r="J73" s="7" t="s">
        <v>2116</v>
      </c>
      <c r="K73" s="7"/>
      <c r="L73" s="7"/>
      <c r="M73" s="7"/>
      <c r="N73" s="7"/>
      <c r="O73" s="7"/>
      <c r="P73" s="7"/>
      <c r="Q73" s="7"/>
      <c r="R73" s="7"/>
      <c r="S73" s="7"/>
      <c r="T73" s="7"/>
      <c r="U73" s="7"/>
      <c r="V73" s="7"/>
      <c r="W73" s="7"/>
      <c r="X73" s="7"/>
      <c r="Y73" s="7"/>
      <c r="Z73" s="7"/>
      <c r="AA73" s="7"/>
    </row>
    <row r="74" ht="15.75" customHeight="1">
      <c r="A74" s="7" t="s">
        <v>324</v>
      </c>
      <c r="B74" s="7" t="s">
        <v>608</v>
      </c>
      <c r="C74" s="7" t="s">
        <v>605</v>
      </c>
      <c r="D74" s="7" t="s">
        <v>970</v>
      </c>
      <c r="E74" s="31">
        <v>4.0</v>
      </c>
      <c r="F74" s="31">
        <v>2.0</v>
      </c>
      <c r="G74" s="37" t="s">
        <v>971</v>
      </c>
      <c r="H74" s="37" t="s">
        <v>973</v>
      </c>
      <c r="I74" s="7" t="s">
        <v>2000</v>
      </c>
      <c r="J74" s="7" t="s">
        <v>2116</v>
      </c>
      <c r="K74" s="7"/>
      <c r="L74" s="7"/>
      <c r="M74" s="7"/>
      <c r="N74" s="7"/>
      <c r="O74" s="7"/>
      <c r="P74" s="7"/>
      <c r="Q74" s="7"/>
      <c r="R74" s="7"/>
      <c r="S74" s="7"/>
      <c r="T74" s="7"/>
      <c r="U74" s="7"/>
      <c r="V74" s="7"/>
      <c r="W74" s="7"/>
      <c r="X74" s="7"/>
      <c r="Y74" s="7"/>
      <c r="Z74" s="7"/>
      <c r="AA74" s="7"/>
    </row>
    <row r="75" ht="15.75" customHeight="1">
      <c r="G75" s="64"/>
      <c r="H75" s="64"/>
    </row>
    <row r="76" ht="15.75" customHeight="1">
      <c r="G76" s="64"/>
      <c r="H76" s="64"/>
    </row>
    <row r="77" ht="15.75" customHeight="1">
      <c r="G77" s="64"/>
      <c r="H77" s="64"/>
    </row>
    <row r="78" ht="15.75" customHeight="1">
      <c r="A78" s="25" t="s">
        <v>2201</v>
      </c>
      <c r="G78" s="64"/>
      <c r="H78" s="64"/>
    </row>
    <row r="79" ht="15.75" customHeight="1">
      <c r="G79" s="64"/>
      <c r="H79" s="64"/>
    </row>
    <row r="80" ht="15.75" customHeight="1">
      <c r="A80" s="25" t="s">
        <v>2202</v>
      </c>
      <c r="G80" s="64"/>
      <c r="H80" s="64"/>
    </row>
    <row r="81" ht="15.75" customHeight="1">
      <c r="G81" s="64"/>
      <c r="H81" s="64"/>
    </row>
    <row r="82" ht="15.75" customHeight="1">
      <c r="A82" s="25" t="s">
        <v>2203</v>
      </c>
      <c r="G82" s="64"/>
      <c r="H82" s="64"/>
    </row>
    <row r="83" ht="15.75" customHeight="1">
      <c r="A83" s="85" t="s">
        <v>2204</v>
      </c>
      <c r="G83" s="64"/>
      <c r="H83" s="64"/>
    </row>
    <row r="84" ht="15.75" customHeight="1">
      <c r="A84" s="85" t="s">
        <v>2205</v>
      </c>
      <c r="G84" s="64"/>
      <c r="H84" s="64"/>
    </row>
    <row r="85" ht="15.75" customHeight="1">
      <c r="A85" s="85" t="s">
        <v>2206</v>
      </c>
      <c r="G85" s="64"/>
      <c r="H85" s="64"/>
    </row>
    <row r="86" ht="15.75" customHeight="1">
      <c r="A86" s="85" t="s">
        <v>2207</v>
      </c>
      <c r="G86" s="64"/>
      <c r="H86" s="64"/>
    </row>
    <row r="87" ht="15.75" customHeight="1">
      <c r="A87" s="85" t="s">
        <v>2208</v>
      </c>
      <c r="G87" s="64"/>
      <c r="H87" s="64"/>
    </row>
    <row r="88" ht="15.75" customHeight="1">
      <c r="A88" s="25" t="s">
        <v>2209</v>
      </c>
      <c r="G88" s="64"/>
      <c r="H88" s="64"/>
    </row>
    <row r="89" ht="15.75" customHeight="1">
      <c r="G89" s="64"/>
      <c r="H89" s="64"/>
    </row>
    <row r="90" ht="15.75" customHeight="1">
      <c r="G90" s="64"/>
      <c r="H90" s="64"/>
    </row>
    <row r="91" ht="15.75" customHeight="1">
      <c r="G91" s="64"/>
      <c r="H91" s="64"/>
    </row>
    <row r="92" ht="15.75" customHeight="1">
      <c r="G92" s="64"/>
      <c r="H92" s="64"/>
    </row>
    <row r="93" ht="15.75" customHeight="1">
      <c r="G93" s="64"/>
      <c r="H93" s="64"/>
    </row>
    <row r="94" ht="15.75" customHeight="1">
      <c r="G94" s="64"/>
      <c r="H94" s="64"/>
    </row>
    <row r="95" ht="15.75" customHeight="1">
      <c r="G95" s="64"/>
      <c r="H95" s="64"/>
    </row>
    <row r="96" ht="15.75" customHeight="1">
      <c r="G96" s="64"/>
      <c r="H96" s="64"/>
    </row>
    <row r="97" ht="15.75" customHeight="1">
      <c r="G97" s="64"/>
      <c r="H97" s="64"/>
    </row>
    <row r="98" ht="15.75" customHeight="1">
      <c r="G98" s="64"/>
      <c r="H98" s="64"/>
    </row>
    <row r="99" ht="15.75" customHeight="1">
      <c r="G99" s="64"/>
      <c r="H99" s="64"/>
    </row>
    <row r="100" ht="15.75" customHeight="1">
      <c r="G100" s="64"/>
      <c r="H100" s="64"/>
    </row>
    <row r="101" ht="15.75" customHeight="1">
      <c r="G101" s="64"/>
      <c r="H101" s="64"/>
    </row>
    <row r="102" ht="15.75" customHeight="1">
      <c r="G102" s="64"/>
      <c r="H102" s="64"/>
    </row>
    <row r="103" ht="15.75" customHeight="1">
      <c r="G103" s="64"/>
      <c r="H103" s="64"/>
    </row>
    <row r="104" ht="15.75" customHeight="1">
      <c r="G104" s="64"/>
      <c r="H104" s="64"/>
    </row>
    <row r="105" ht="15.75" customHeight="1">
      <c r="G105" s="64"/>
      <c r="H105" s="64"/>
    </row>
    <row r="106" ht="15.75" customHeight="1">
      <c r="G106" s="64"/>
      <c r="H106" s="64"/>
    </row>
    <row r="107" ht="15.75" customHeight="1">
      <c r="G107" s="64"/>
      <c r="H107" s="64"/>
    </row>
    <row r="108" ht="15.75" customHeight="1">
      <c r="G108" s="64"/>
      <c r="H108" s="64"/>
    </row>
    <row r="109" ht="15.75" customHeight="1">
      <c r="G109" s="64"/>
      <c r="H109" s="64"/>
    </row>
    <row r="110" ht="15.75" customHeight="1">
      <c r="G110" s="64"/>
      <c r="H110" s="64"/>
    </row>
    <row r="111" ht="15.75" customHeight="1">
      <c r="G111" s="64"/>
      <c r="H111" s="64"/>
    </row>
    <row r="112" ht="15.75" customHeight="1">
      <c r="G112" s="64"/>
      <c r="H112" s="64"/>
    </row>
    <row r="113" ht="15.75" customHeight="1">
      <c r="G113" s="64"/>
      <c r="H113" s="64"/>
    </row>
    <row r="114" ht="15.75" customHeight="1">
      <c r="G114" s="64"/>
      <c r="H114" s="64"/>
    </row>
    <row r="115" ht="15.75" customHeight="1">
      <c r="G115" s="64"/>
      <c r="H115" s="64"/>
    </row>
    <row r="116" ht="15.75" customHeight="1">
      <c r="G116" s="64"/>
      <c r="H116" s="64"/>
    </row>
    <row r="117" ht="15.75" customHeight="1">
      <c r="G117" s="64"/>
      <c r="H117" s="64"/>
    </row>
    <row r="118" ht="15.75" customHeight="1">
      <c r="G118" s="64"/>
      <c r="H118" s="64"/>
    </row>
    <row r="119" ht="15.75" customHeight="1">
      <c r="G119" s="64"/>
      <c r="H119" s="64"/>
    </row>
    <row r="120" ht="15.75" customHeight="1">
      <c r="G120" s="64"/>
      <c r="H120" s="64"/>
    </row>
    <row r="121" ht="15.75" customHeight="1">
      <c r="G121" s="64"/>
      <c r="H121" s="64"/>
    </row>
    <row r="122" ht="15.75" customHeight="1">
      <c r="G122" s="64"/>
      <c r="H122" s="64"/>
    </row>
    <row r="123" ht="15.75" customHeight="1">
      <c r="G123" s="64"/>
      <c r="H123" s="64"/>
    </row>
    <row r="124" ht="15.75" customHeight="1">
      <c r="G124" s="64"/>
      <c r="H124" s="64"/>
    </row>
    <row r="125" ht="15.75" customHeight="1">
      <c r="G125" s="64"/>
      <c r="H125" s="64"/>
    </row>
    <row r="126" ht="15.75" customHeight="1">
      <c r="G126" s="64"/>
      <c r="H126" s="64"/>
    </row>
    <row r="127" ht="15.75" customHeight="1">
      <c r="G127" s="64"/>
      <c r="H127" s="64"/>
    </row>
    <row r="128" ht="15.75" customHeight="1">
      <c r="G128" s="64"/>
      <c r="H128" s="64"/>
    </row>
    <row r="129" ht="15.75" customHeight="1">
      <c r="G129" s="64"/>
      <c r="H129" s="64"/>
    </row>
    <row r="130" ht="15.75" customHeight="1">
      <c r="G130" s="64"/>
      <c r="H130" s="64"/>
    </row>
    <row r="131" ht="15.75" customHeight="1">
      <c r="G131" s="64"/>
      <c r="H131" s="64"/>
    </row>
    <row r="132" ht="15.75" customHeight="1">
      <c r="G132" s="64"/>
      <c r="H132" s="64"/>
    </row>
    <row r="133" ht="15.75" customHeight="1">
      <c r="G133" s="64"/>
      <c r="H133" s="64"/>
    </row>
    <row r="134" ht="15.75" customHeight="1">
      <c r="G134" s="64"/>
      <c r="H134" s="64"/>
    </row>
    <row r="135" ht="15.75" customHeight="1">
      <c r="G135" s="64"/>
      <c r="H135" s="64"/>
    </row>
    <row r="136" ht="15.75" customHeight="1">
      <c r="G136" s="64"/>
      <c r="H136" s="64"/>
    </row>
    <row r="137" ht="15.75" customHeight="1">
      <c r="G137" s="64"/>
      <c r="H137" s="64"/>
    </row>
    <row r="138" ht="15.75" customHeight="1">
      <c r="G138" s="64"/>
      <c r="H138" s="64"/>
    </row>
    <row r="139" ht="15.75" customHeight="1">
      <c r="G139" s="64"/>
      <c r="H139" s="64"/>
    </row>
    <row r="140" ht="15.75" customHeight="1">
      <c r="G140" s="64"/>
      <c r="H140" s="64"/>
    </row>
    <row r="141" ht="15.75" customHeight="1">
      <c r="G141" s="64"/>
      <c r="H141" s="64"/>
    </row>
    <row r="142" ht="15.75" customHeight="1">
      <c r="G142" s="64"/>
      <c r="H142" s="64"/>
    </row>
    <row r="143" ht="15.75" customHeight="1">
      <c r="G143" s="64"/>
      <c r="H143" s="64"/>
    </row>
    <row r="144" ht="15.75" customHeight="1">
      <c r="G144" s="64"/>
      <c r="H144" s="64"/>
    </row>
    <row r="145" ht="15.75" customHeight="1">
      <c r="G145" s="64"/>
      <c r="H145" s="64"/>
    </row>
    <row r="146" ht="15.75" customHeight="1">
      <c r="G146" s="64"/>
      <c r="H146" s="64"/>
    </row>
    <row r="147" ht="15.75" customHeight="1">
      <c r="G147" s="64"/>
      <c r="H147" s="64"/>
    </row>
    <row r="148" ht="15.75" customHeight="1">
      <c r="G148" s="64"/>
      <c r="H148" s="64"/>
    </row>
    <row r="149" ht="15.75" customHeight="1">
      <c r="G149" s="64"/>
      <c r="H149" s="64"/>
    </row>
    <row r="150" ht="15.75" customHeight="1">
      <c r="G150" s="64"/>
      <c r="H150" s="64"/>
    </row>
    <row r="151" ht="15.75" customHeight="1">
      <c r="G151" s="64"/>
      <c r="H151" s="64"/>
    </row>
    <row r="152" ht="15.75" customHeight="1">
      <c r="G152" s="64"/>
      <c r="H152" s="64"/>
    </row>
    <row r="153" ht="15.75" customHeight="1">
      <c r="G153" s="64"/>
      <c r="H153" s="64"/>
    </row>
    <row r="154" ht="15.75" customHeight="1">
      <c r="G154" s="64"/>
      <c r="H154" s="64"/>
    </row>
    <row r="155" ht="15.75" customHeight="1">
      <c r="G155" s="64"/>
      <c r="H155" s="64"/>
    </row>
    <row r="156" ht="15.75" customHeight="1">
      <c r="G156" s="64"/>
      <c r="H156" s="64"/>
    </row>
    <row r="157" ht="15.75" customHeight="1">
      <c r="G157" s="64"/>
      <c r="H157" s="64"/>
    </row>
    <row r="158" ht="15.75" customHeight="1">
      <c r="G158" s="64"/>
      <c r="H158" s="64"/>
    </row>
    <row r="159" ht="15.75" customHeight="1">
      <c r="G159" s="64"/>
      <c r="H159" s="64"/>
    </row>
    <row r="160" ht="15.75" customHeight="1">
      <c r="G160" s="64"/>
      <c r="H160" s="64"/>
    </row>
    <row r="161" ht="15.75" customHeight="1">
      <c r="G161" s="64"/>
      <c r="H161" s="64"/>
    </row>
    <row r="162" ht="15.75" customHeight="1">
      <c r="G162" s="64"/>
      <c r="H162" s="64"/>
    </row>
    <row r="163" ht="15.75" customHeight="1">
      <c r="G163" s="64"/>
      <c r="H163" s="64"/>
    </row>
    <row r="164" ht="15.75" customHeight="1">
      <c r="G164" s="64"/>
      <c r="H164" s="64"/>
    </row>
    <row r="165" ht="15.75" customHeight="1">
      <c r="G165" s="64"/>
      <c r="H165" s="64"/>
    </row>
    <row r="166" ht="15.75" customHeight="1">
      <c r="G166" s="64"/>
      <c r="H166" s="64"/>
    </row>
    <row r="167" ht="15.75" customHeight="1">
      <c r="G167" s="64"/>
      <c r="H167" s="64"/>
    </row>
    <row r="168" ht="15.75" customHeight="1">
      <c r="G168" s="64"/>
      <c r="H168" s="64"/>
    </row>
    <row r="169" ht="15.75" customHeight="1">
      <c r="G169" s="64"/>
      <c r="H169" s="64"/>
    </row>
    <row r="170" ht="15.75" customHeight="1">
      <c r="G170" s="64"/>
      <c r="H170" s="64"/>
    </row>
    <row r="171" ht="15.75" customHeight="1">
      <c r="G171" s="64"/>
      <c r="H171" s="64"/>
    </row>
    <row r="172" ht="15.75" customHeight="1">
      <c r="G172" s="64"/>
      <c r="H172" s="64"/>
    </row>
    <row r="173" ht="15.75" customHeight="1">
      <c r="G173" s="64"/>
      <c r="H173" s="64"/>
    </row>
    <row r="174" ht="15.75" customHeight="1">
      <c r="G174" s="64"/>
      <c r="H174" s="64"/>
    </row>
    <row r="175" ht="15.75" customHeight="1">
      <c r="G175" s="64"/>
      <c r="H175" s="64"/>
    </row>
    <row r="176" ht="15.75" customHeight="1">
      <c r="G176" s="64"/>
      <c r="H176" s="64"/>
    </row>
    <row r="177" ht="15.75" customHeight="1">
      <c r="G177" s="64"/>
      <c r="H177" s="64"/>
    </row>
    <row r="178" ht="15.75" customHeight="1">
      <c r="G178" s="64"/>
      <c r="H178" s="64"/>
    </row>
    <row r="179" ht="15.75" customHeight="1">
      <c r="G179" s="64"/>
      <c r="H179" s="64"/>
    </row>
    <row r="180" ht="15.75" customHeight="1">
      <c r="G180" s="64"/>
      <c r="H180" s="64"/>
    </row>
    <row r="181" ht="15.75" customHeight="1">
      <c r="G181" s="64"/>
      <c r="H181" s="64"/>
    </row>
    <row r="182" ht="15.75" customHeight="1">
      <c r="G182" s="64"/>
      <c r="H182" s="64"/>
    </row>
    <row r="183" ht="15.75" customHeight="1">
      <c r="G183" s="64"/>
      <c r="H183" s="64"/>
    </row>
    <row r="184" ht="15.75" customHeight="1">
      <c r="G184" s="64"/>
      <c r="H184" s="64"/>
    </row>
    <row r="185" ht="15.75" customHeight="1">
      <c r="G185" s="64"/>
      <c r="H185" s="64"/>
    </row>
    <row r="186" ht="15.75" customHeight="1">
      <c r="G186" s="64"/>
      <c r="H186" s="64"/>
    </row>
    <row r="187" ht="15.75" customHeight="1">
      <c r="G187" s="64"/>
      <c r="H187" s="64"/>
    </row>
    <row r="188" ht="15.75" customHeight="1">
      <c r="G188" s="64"/>
      <c r="H188" s="64"/>
    </row>
    <row r="189" ht="15.75" customHeight="1">
      <c r="G189" s="64"/>
      <c r="H189" s="64"/>
    </row>
    <row r="190" ht="15.75" customHeight="1">
      <c r="G190" s="64"/>
      <c r="H190" s="64"/>
    </row>
    <row r="191" ht="15.75" customHeight="1">
      <c r="G191" s="64"/>
      <c r="H191" s="64"/>
    </row>
    <row r="192" ht="15.75" customHeight="1">
      <c r="G192" s="64"/>
      <c r="H192" s="64"/>
    </row>
    <row r="193" ht="15.75" customHeight="1">
      <c r="G193" s="64"/>
      <c r="H193" s="64"/>
    </row>
    <row r="194" ht="15.75" customHeight="1">
      <c r="G194" s="64"/>
      <c r="H194" s="64"/>
    </row>
    <row r="195" ht="15.75" customHeight="1">
      <c r="G195" s="64"/>
      <c r="H195" s="64"/>
    </row>
    <row r="196" ht="15.75" customHeight="1">
      <c r="G196" s="64"/>
      <c r="H196" s="64"/>
    </row>
    <row r="197" ht="15.75" customHeight="1">
      <c r="G197" s="64"/>
      <c r="H197" s="64"/>
    </row>
    <row r="198" ht="15.75" customHeight="1">
      <c r="G198" s="64"/>
      <c r="H198" s="64"/>
    </row>
    <row r="199" ht="15.75" customHeight="1">
      <c r="G199" s="64"/>
      <c r="H199" s="64"/>
    </row>
    <row r="200" ht="15.75" customHeight="1">
      <c r="G200" s="64"/>
      <c r="H200" s="64"/>
    </row>
    <row r="201" ht="15.75" customHeight="1">
      <c r="G201" s="64"/>
      <c r="H201" s="64"/>
    </row>
    <row r="202" ht="15.75" customHeight="1">
      <c r="G202" s="64"/>
      <c r="H202" s="64"/>
    </row>
    <row r="203" ht="15.75" customHeight="1">
      <c r="G203" s="64"/>
      <c r="H203" s="64"/>
    </row>
    <row r="204" ht="15.75" customHeight="1">
      <c r="G204" s="64"/>
      <c r="H204" s="64"/>
    </row>
    <row r="205" ht="15.75" customHeight="1">
      <c r="G205" s="64"/>
      <c r="H205" s="64"/>
    </row>
    <row r="206" ht="15.75" customHeight="1">
      <c r="G206" s="64"/>
      <c r="H206" s="64"/>
    </row>
    <row r="207" ht="15.75" customHeight="1">
      <c r="G207" s="64"/>
      <c r="H207" s="64"/>
    </row>
    <row r="208" ht="15.75" customHeight="1">
      <c r="G208" s="64"/>
      <c r="H208" s="64"/>
    </row>
    <row r="209" ht="15.75" customHeight="1">
      <c r="G209" s="64"/>
      <c r="H209" s="64"/>
    </row>
    <row r="210" ht="15.75" customHeight="1">
      <c r="G210" s="64"/>
      <c r="H210" s="64"/>
    </row>
    <row r="211" ht="15.75" customHeight="1">
      <c r="G211" s="64"/>
      <c r="H211" s="64"/>
    </row>
    <row r="212" ht="15.75" customHeight="1">
      <c r="G212" s="64"/>
      <c r="H212" s="64"/>
    </row>
    <row r="213" ht="15.75" customHeight="1">
      <c r="G213" s="64"/>
      <c r="H213" s="64"/>
    </row>
    <row r="214" ht="15.75" customHeight="1">
      <c r="G214" s="64"/>
      <c r="H214" s="64"/>
    </row>
    <row r="215" ht="15.75" customHeight="1">
      <c r="G215" s="64"/>
      <c r="H215" s="64"/>
    </row>
    <row r="216" ht="15.75" customHeight="1">
      <c r="G216" s="64"/>
      <c r="H216" s="64"/>
    </row>
    <row r="217" ht="15.75" customHeight="1">
      <c r="G217" s="64"/>
      <c r="H217" s="64"/>
    </row>
    <row r="218" ht="15.75" customHeight="1">
      <c r="G218" s="64"/>
      <c r="H218" s="64"/>
    </row>
    <row r="219" ht="15.75" customHeight="1">
      <c r="G219" s="64"/>
      <c r="H219" s="64"/>
    </row>
    <row r="220" ht="15.75" customHeight="1">
      <c r="G220" s="64"/>
      <c r="H220" s="64"/>
    </row>
    <row r="221" ht="15.75" customHeight="1">
      <c r="G221" s="64"/>
      <c r="H221" s="64"/>
    </row>
    <row r="222" ht="15.75" customHeight="1">
      <c r="G222" s="64"/>
      <c r="H222" s="64"/>
    </row>
    <row r="223" ht="15.75" customHeight="1">
      <c r="G223" s="64"/>
      <c r="H223" s="64"/>
    </row>
    <row r="224" ht="15.75" customHeight="1">
      <c r="G224" s="64"/>
      <c r="H224" s="64"/>
    </row>
    <row r="225" ht="15.75" customHeight="1">
      <c r="G225" s="64"/>
      <c r="H225" s="64"/>
    </row>
    <row r="226" ht="15.75" customHeight="1">
      <c r="G226" s="64"/>
      <c r="H226" s="64"/>
    </row>
    <row r="227" ht="15.75" customHeight="1">
      <c r="G227" s="64"/>
      <c r="H227" s="64"/>
    </row>
    <row r="228" ht="15.75" customHeight="1">
      <c r="G228" s="64"/>
      <c r="H228" s="64"/>
    </row>
    <row r="229" ht="15.75" customHeight="1">
      <c r="G229" s="64"/>
      <c r="H229" s="64"/>
    </row>
    <row r="230" ht="15.75" customHeight="1">
      <c r="G230" s="64"/>
      <c r="H230" s="64"/>
    </row>
    <row r="231" ht="15.75" customHeight="1">
      <c r="G231" s="64"/>
      <c r="H231" s="64"/>
    </row>
    <row r="232" ht="15.75" customHeight="1">
      <c r="G232" s="64"/>
      <c r="H232" s="64"/>
    </row>
    <row r="233" ht="15.75" customHeight="1">
      <c r="G233" s="64"/>
      <c r="H233" s="64"/>
    </row>
    <row r="234" ht="15.75" customHeight="1">
      <c r="G234" s="64"/>
      <c r="H234" s="64"/>
    </row>
    <row r="235" ht="15.75" customHeight="1">
      <c r="G235" s="64"/>
      <c r="H235" s="64"/>
    </row>
    <row r="236" ht="15.75" customHeight="1">
      <c r="G236" s="64"/>
      <c r="H236" s="64"/>
    </row>
    <row r="237" ht="15.75" customHeight="1">
      <c r="G237" s="64"/>
      <c r="H237" s="64"/>
    </row>
    <row r="238" ht="15.75" customHeight="1">
      <c r="G238" s="64"/>
      <c r="H238" s="64"/>
    </row>
    <row r="239" ht="15.75" customHeight="1">
      <c r="G239" s="64"/>
      <c r="H239" s="64"/>
    </row>
    <row r="240" ht="15.75" customHeight="1">
      <c r="G240" s="64"/>
      <c r="H240" s="64"/>
    </row>
    <row r="241" ht="15.75" customHeight="1">
      <c r="G241" s="64"/>
      <c r="H241" s="64"/>
    </row>
    <row r="242" ht="15.75" customHeight="1">
      <c r="G242" s="64"/>
      <c r="H242" s="64"/>
    </row>
    <row r="243" ht="15.75" customHeight="1">
      <c r="G243" s="64"/>
      <c r="H243" s="64"/>
    </row>
    <row r="244" ht="15.75" customHeight="1">
      <c r="G244" s="64"/>
      <c r="H244" s="64"/>
    </row>
    <row r="245" ht="15.75" customHeight="1">
      <c r="G245" s="64"/>
      <c r="H245" s="64"/>
    </row>
    <row r="246" ht="15.75" customHeight="1">
      <c r="G246" s="64"/>
      <c r="H246" s="64"/>
    </row>
    <row r="247" ht="15.75" customHeight="1">
      <c r="G247" s="64"/>
      <c r="H247" s="64"/>
    </row>
    <row r="248" ht="15.75" customHeight="1">
      <c r="G248" s="64"/>
      <c r="H248" s="64"/>
    </row>
    <row r="249" ht="15.75" customHeight="1">
      <c r="G249" s="64"/>
      <c r="H249" s="64"/>
    </row>
    <row r="250" ht="15.75" customHeight="1">
      <c r="G250" s="64"/>
      <c r="H250" s="64"/>
    </row>
    <row r="251" ht="15.75" customHeight="1">
      <c r="G251" s="64"/>
      <c r="H251" s="64"/>
    </row>
    <row r="252" ht="15.75" customHeight="1">
      <c r="G252" s="64"/>
      <c r="H252" s="64"/>
    </row>
    <row r="253" ht="15.75" customHeight="1">
      <c r="G253" s="64"/>
      <c r="H253" s="64"/>
    </row>
    <row r="254" ht="15.75" customHeight="1">
      <c r="G254" s="64"/>
      <c r="H254" s="64"/>
    </row>
    <row r="255" ht="15.75" customHeight="1">
      <c r="G255" s="64"/>
      <c r="H255" s="64"/>
    </row>
    <row r="256" ht="15.75" customHeight="1">
      <c r="G256" s="64"/>
      <c r="H256" s="64"/>
    </row>
    <row r="257" ht="15.75" customHeight="1">
      <c r="G257" s="64"/>
      <c r="H257" s="64"/>
    </row>
    <row r="258" ht="15.75" customHeight="1">
      <c r="G258" s="64"/>
      <c r="H258" s="64"/>
    </row>
    <row r="259" ht="15.75" customHeight="1">
      <c r="G259" s="64"/>
      <c r="H259" s="64"/>
    </row>
    <row r="260" ht="15.75" customHeight="1">
      <c r="G260" s="64"/>
      <c r="H260" s="64"/>
    </row>
    <row r="261" ht="15.75" customHeight="1">
      <c r="G261" s="64"/>
      <c r="H261" s="64"/>
    </row>
    <row r="262" ht="15.75" customHeight="1">
      <c r="G262" s="64"/>
      <c r="H262" s="64"/>
    </row>
    <row r="263" ht="15.75" customHeight="1">
      <c r="G263" s="64"/>
      <c r="H263" s="64"/>
    </row>
    <row r="264" ht="15.75" customHeight="1">
      <c r="G264" s="64"/>
      <c r="H264" s="64"/>
    </row>
    <row r="265" ht="15.75" customHeight="1">
      <c r="G265" s="64"/>
      <c r="H265" s="64"/>
    </row>
    <row r="266" ht="15.75" customHeight="1">
      <c r="G266" s="64"/>
      <c r="H266" s="64"/>
    </row>
    <row r="267" ht="15.75" customHeight="1">
      <c r="G267" s="64"/>
      <c r="H267" s="64"/>
    </row>
    <row r="268" ht="15.75" customHeight="1">
      <c r="G268" s="64"/>
      <c r="H268" s="64"/>
    </row>
    <row r="269" ht="15.75" customHeight="1">
      <c r="G269" s="64"/>
      <c r="H269" s="64"/>
    </row>
    <row r="270" ht="15.75" customHeight="1">
      <c r="G270" s="64"/>
      <c r="H270" s="64"/>
    </row>
    <row r="271" ht="15.75" customHeight="1">
      <c r="G271" s="64"/>
      <c r="H271" s="64"/>
    </row>
    <row r="272" ht="15.75" customHeight="1">
      <c r="G272" s="64"/>
      <c r="H272" s="64"/>
    </row>
    <row r="273" ht="15.75" customHeight="1">
      <c r="G273" s="64"/>
      <c r="H273" s="64"/>
    </row>
    <row r="274" ht="15.75" customHeight="1">
      <c r="G274" s="64"/>
      <c r="H274" s="64"/>
    </row>
    <row r="275" ht="15.75" customHeight="1">
      <c r="G275" s="64"/>
      <c r="H275" s="64"/>
    </row>
    <row r="276" ht="15.75" customHeight="1">
      <c r="G276" s="64"/>
      <c r="H276" s="64"/>
    </row>
    <row r="277" ht="15.75" customHeight="1">
      <c r="G277" s="64"/>
      <c r="H277" s="64"/>
    </row>
    <row r="278" ht="15.75" customHeight="1">
      <c r="G278" s="64"/>
      <c r="H278" s="64"/>
    </row>
    <row r="279" ht="15.75" customHeight="1">
      <c r="G279" s="64"/>
      <c r="H279" s="64"/>
    </row>
    <row r="280" ht="15.75" customHeight="1">
      <c r="G280" s="64"/>
      <c r="H280" s="64"/>
    </row>
    <row r="281" ht="15.75" customHeight="1">
      <c r="G281" s="64"/>
      <c r="H281" s="64"/>
    </row>
    <row r="282" ht="15.75" customHeight="1">
      <c r="G282" s="64"/>
      <c r="H282" s="64"/>
    </row>
    <row r="283" ht="15.75" customHeight="1">
      <c r="G283" s="64"/>
      <c r="H283" s="64"/>
    </row>
    <row r="284" ht="15.75" customHeight="1">
      <c r="G284" s="64"/>
      <c r="H284" s="64"/>
    </row>
    <row r="285" ht="15.75" customHeight="1">
      <c r="G285" s="64"/>
      <c r="H285" s="64"/>
    </row>
    <row r="286" ht="15.75" customHeight="1">
      <c r="G286" s="64"/>
      <c r="H286" s="64"/>
    </row>
    <row r="287" ht="15.75" customHeight="1">
      <c r="G287" s="64"/>
      <c r="H287" s="64"/>
    </row>
    <row r="288" ht="15.75" customHeight="1">
      <c r="G288" s="64"/>
      <c r="H288" s="64"/>
    </row>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83"/>
    <hyperlink r:id="rId2" ref="A84"/>
    <hyperlink r:id="rId3" ref="A85"/>
    <hyperlink r:id="rId4" ref="A86"/>
    <hyperlink r:id="rId5" ref="A87"/>
  </hyperlinks>
  <drawing r:id="rId6"/>
</worksheet>
</file>